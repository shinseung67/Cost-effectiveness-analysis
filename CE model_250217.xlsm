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kndj106\Downloads\"/>
    </mc:Choice>
  </mc:AlternateContent>
  <xr:revisionPtr revIDLastSave="0" documentId="13_ncr:1_{D46B35BD-FC83-4803-A3A7-C7549DB82D0D}" xr6:coauthVersionLast="47" xr6:coauthVersionMax="47" xr10:uidLastSave="{00000000-0000-0000-0000-000000000000}"/>
  <bookViews>
    <workbookView xWindow="-108" yWindow="-108" windowWidth="23256" windowHeight="13896" tabRatio="866" activeTab="1" xr2:uid="{00000000-000D-0000-FFFF-FFFF00000000}"/>
  </bookViews>
  <sheets>
    <sheet name="model structure" sheetId="5" r:id="rId1"/>
    <sheet name="input data" sheetId="4" r:id="rId2"/>
    <sheet name="start page" sheetId="6" r:id="rId3"/>
    <sheet name="control" sheetId="7" r:id="rId4"/>
    <sheet name="cost input" sheetId="8" r:id="rId5"/>
    <sheet name="utility input" sheetId="22" r:id="rId6"/>
    <sheet name="Tp" sheetId="39" r:id="rId7"/>
    <sheet name="no treatment" sheetId="38" r:id="rId8"/>
    <sheet name="Lecanemab" sheetId="40" r:id="rId9"/>
    <sheet name="no treatment_hcc" sheetId="42" r:id="rId10"/>
    <sheet name="Lecanemab_hcc" sheetId="41" r:id="rId11"/>
    <sheet name="simulation" sheetId="10" r:id="rId12"/>
    <sheet name="Mortality" sheetId="2" r:id="rId13"/>
    <sheet name="Life table" sheetId="15" r:id="rId14"/>
    <sheet name="One-way SA" sheetId="46" r:id="rId15"/>
  </sheets>
  <functionGroups builtInGroupCount="19"/>
  <definedNames>
    <definedName name="Alz_age">'no treatment'!$C$8:$C$78</definedName>
    <definedName name="Alz_cycle">'no treatment'!$B$8:$B$78</definedName>
    <definedName name="c_administration">'input data'!$C$15</definedName>
    <definedName name="c_AE">'input data'!$C$16</definedName>
    <definedName name="c_Com_MCI">'input data'!$C$17</definedName>
    <definedName name="c_Com_Mild">'input data'!$C$18</definedName>
    <definedName name="c_Com_Moderate">'input data'!$C$19</definedName>
    <definedName name="c_Com_Severe">'input data'!$C$20</definedName>
    <definedName name="c_lecanemab">'input data'!$C$13</definedName>
    <definedName name="c_LTC_MCI">'input data'!$C$21</definedName>
    <definedName name="c_LTC_Mild">'input data'!$C$22</definedName>
    <definedName name="c_LTC_Moderate">'input data'!$C$23</definedName>
    <definedName name="c_LTC_Severe">'input data'!$C$24</definedName>
    <definedName name="c_monitoring">'input data'!$C$14</definedName>
    <definedName name="CEAC_250">simulation!#REF!</definedName>
    <definedName name="CEAC_500">simulation!#REF!</definedName>
    <definedName name="CEAC_750">simulation!#REF!</definedName>
    <definedName name="cntrl_age_group">control!$D$8</definedName>
    <definedName name="DC_rate_trt">'input data'!$C$40</definedName>
    <definedName name="disc_rate_costs">'input data'!$C$43</definedName>
    <definedName name="disc_rate_effects">'input data'!$C$44</definedName>
    <definedName name="disu_Com_MCI">'utility input'!$D$37</definedName>
    <definedName name="disu_Com_Mild">'utility input'!$D$38</definedName>
    <definedName name="disu_Com_Moderate">'utility input'!$D$39</definedName>
    <definedName name="disu_Com_Severe">'utility input'!$D$40</definedName>
    <definedName name="disu_LTC_MCI">'utility input'!$D$41</definedName>
    <definedName name="disu_LTC_Mild">'utility input'!$D$42</definedName>
    <definedName name="disu_LTC_Moderate">'utility input'!$D$43</definedName>
    <definedName name="disu_LTC_Severe">'utility input'!$D$44</definedName>
    <definedName name="HR_illness">'input data'!$C$37</definedName>
    <definedName name="Initial_MCI">'input data'!$C$47</definedName>
    <definedName name="Initial_Mild">'input data'!$C$48</definedName>
    <definedName name="LTC_MCI">'input data'!$C$51</definedName>
    <definedName name="LTC_Mild">'input data'!$C$52</definedName>
    <definedName name="LTC_Moderate">'input data'!$C$53</definedName>
    <definedName name="LTC_Severe">'input data'!$C$54</definedName>
    <definedName name="model_type">control!$D$4</definedName>
    <definedName name="Mort_HR_MCI">'input data'!$C$58</definedName>
    <definedName name="Mort_HR_Mild">'input data'!$C$59</definedName>
    <definedName name="Mort_HR_Moderate">'input data'!$C$60</definedName>
    <definedName name="Mort_HR_Severe">'input data'!$C$61</definedName>
    <definedName name="perspective">control!$D$20</definedName>
    <definedName name="prob_ce">simulation!$N$6</definedName>
    <definedName name="RR_illness">'input data'!$C$37</definedName>
    <definedName name="start_age">control!$D$9</definedName>
    <definedName name="table_C_Com_MCI">#REF!</definedName>
    <definedName name="table_C_Com_Mild">#REF!</definedName>
    <definedName name="table_C_Com_Moderate">#REF!</definedName>
    <definedName name="table_C_Com_Severe">#REF!</definedName>
    <definedName name="table_C_LTC_MCI">#REF!</definedName>
    <definedName name="table_C_LTC_Mild">#REF!</definedName>
    <definedName name="table_C_LTC_Moderate">#REF!</definedName>
    <definedName name="table_C_LTC_Severe">#REF!</definedName>
    <definedName name="table_consumption">#REF!</definedName>
    <definedName name="table_LTC_MCI">Mortality!#REF!</definedName>
    <definedName name="table_LTC_Mild">Mortality!#REF!</definedName>
    <definedName name="table_LTC_Moderate">Mortality!#REF!</definedName>
    <definedName name="table_LTC_Severe">Mortality!#REF!</definedName>
    <definedName name="table_MCI_to_Mild">Mortality!$E$5:$F$75</definedName>
    <definedName name="table_Mild_to_MCI">Mortality!$H$5:$I$75</definedName>
    <definedName name="table_Mild_to_Moderate">Mortality!$N$5:$O$75</definedName>
    <definedName name="table_Mild_to_Severe">Mortality!$Q$5:$R$75</definedName>
    <definedName name="table_Moderate_to_Mild">Mortality!$T$5:$U$75</definedName>
    <definedName name="table_Moderate_to_Severe">Mortality!$Z$5:$AA$75</definedName>
    <definedName name="table_mort_MCI">Mortality!$AI$5:$AJ$75</definedName>
    <definedName name="table_mort_Mild">Mortality!$AL$5:$AM$75</definedName>
    <definedName name="table_mort_Moderate">Mortality!$AO$5:$AP$75</definedName>
    <definedName name="table_mort_Severe">Mortality!$AR$5:$AS$75</definedName>
    <definedName name="table_prodloss">#REF!</definedName>
    <definedName name="table_Severe_to_Moderate">Mortality!$AC$5:$AD$75</definedName>
    <definedName name="table_U_Com_MCI">'utility input'!#REF!</definedName>
    <definedName name="table_U_Com_Mild">'utility input'!#REF!</definedName>
    <definedName name="table_U_Com_Moderate">'utility input'!#REF!</definedName>
    <definedName name="table_U_Com_Severe">'utility input'!#REF!</definedName>
    <definedName name="table_U_LTC_MCI">'utility input'!#REF!</definedName>
    <definedName name="table_U_LTC_Mild">'utility input'!#REF!</definedName>
    <definedName name="table_U_LTC_Moderate">'utility input'!#REF!</definedName>
    <definedName name="table_U_LTC_Severe">'utility input'!#REF!</definedName>
    <definedName name="talbe_mort_Mild">Mortality!$AL$5:$AM$75</definedName>
    <definedName name="threshold">control!$D$25</definedName>
    <definedName name="time_horizon">control!$D$15</definedName>
    <definedName name="total_costs_lecanemab">Lecanemab_hcc!$AZ$6</definedName>
    <definedName name="total_costs_no_treatment">'no treatment_hcc'!$AL$6</definedName>
    <definedName name="total_qalys_lecanemab">Lecanemab_hcc!$BH$6</definedName>
    <definedName name="total_qalys_no_treatment">'no treatment_hcc'!$AT$6</definedName>
    <definedName name="Trt_mci_mild">Tp!$L$5</definedName>
    <definedName name="Trt_mild_mod">Tp!$L$6</definedName>
    <definedName name="Trt_mild_sev">Tp!$L$7</definedName>
    <definedName name="U_Com_MCI">'input data'!$C$27</definedName>
    <definedName name="U_Com_Mild">'input data'!$C$28</definedName>
    <definedName name="U_Com_Moderate">'input data'!$C$29</definedName>
    <definedName name="U_Com_Severe">'input data'!$C$30</definedName>
    <definedName name="U_LTC_MCI">'input data'!$C$31</definedName>
    <definedName name="U_LTC_Mild">'input data'!$C$32</definedName>
    <definedName name="U_LTC_Moderate">'input data'!$C$33</definedName>
    <definedName name="U_LTC_Severe">'input data'!$C$34</definedName>
    <definedName name="wtp">simulation!$O$3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27" i="4" l="1"/>
  <c r="W27" i="4" s="1"/>
  <c r="V29" i="4"/>
  <c r="U34" i="4" l="1"/>
  <c r="T34" i="4"/>
  <c r="S34" i="4"/>
  <c r="R34" i="4"/>
  <c r="K34" i="4"/>
  <c r="J34" i="4"/>
  <c r="I34" i="4"/>
  <c r="H34" i="4"/>
  <c r="U33" i="4"/>
  <c r="T33" i="4"/>
  <c r="S33" i="4"/>
  <c r="R33" i="4"/>
  <c r="K33" i="4"/>
  <c r="J33" i="4"/>
  <c r="I33" i="4"/>
  <c r="H33" i="4"/>
  <c r="U32" i="4"/>
  <c r="T32" i="4"/>
  <c r="S32" i="4"/>
  <c r="R32" i="4"/>
  <c r="K32" i="4"/>
  <c r="J32" i="4"/>
  <c r="I32" i="4"/>
  <c r="H32" i="4"/>
  <c r="U31" i="4"/>
  <c r="T31" i="4"/>
  <c r="S31" i="4"/>
  <c r="R31" i="4"/>
  <c r="K31" i="4"/>
  <c r="J31" i="4"/>
  <c r="I31" i="4"/>
  <c r="H31" i="4"/>
  <c r="U30" i="4"/>
  <c r="T30" i="4"/>
  <c r="S30" i="4"/>
  <c r="R30" i="4"/>
  <c r="K30" i="4"/>
  <c r="J30" i="4"/>
  <c r="I30" i="4"/>
  <c r="H30" i="4"/>
  <c r="U29" i="4"/>
  <c r="T29" i="4"/>
  <c r="S29" i="4"/>
  <c r="R29" i="4"/>
  <c r="K29" i="4"/>
  <c r="J29" i="4"/>
  <c r="I29" i="4"/>
  <c r="H29" i="4"/>
  <c r="U28" i="4"/>
  <c r="T28" i="4"/>
  <c r="S28" i="4"/>
  <c r="R28" i="4"/>
  <c r="K28" i="4"/>
  <c r="J28" i="4"/>
  <c r="I28" i="4"/>
  <c r="H28" i="4"/>
  <c r="U27" i="4"/>
  <c r="T27" i="4"/>
  <c r="S27" i="4"/>
  <c r="R27" i="4"/>
  <c r="K27" i="4"/>
  <c r="J27" i="4"/>
  <c r="I27" i="4"/>
  <c r="H27" i="4"/>
  <c r="U24" i="4"/>
  <c r="T24" i="4"/>
  <c r="S24" i="4"/>
  <c r="R24" i="4"/>
  <c r="K24" i="4"/>
  <c r="J24" i="4"/>
  <c r="I24" i="4"/>
  <c r="H24" i="4"/>
  <c r="U23" i="4"/>
  <c r="T23" i="4"/>
  <c r="S23" i="4"/>
  <c r="R23" i="4"/>
  <c r="K23" i="4"/>
  <c r="J23" i="4"/>
  <c r="I23" i="4"/>
  <c r="H23" i="4"/>
  <c r="U22" i="4"/>
  <c r="T22" i="4"/>
  <c r="S22" i="4"/>
  <c r="R22" i="4"/>
  <c r="K22" i="4"/>
  <c r="J22" i="4"/>
  <c r="I22" i="4"/>
  <c r="H22" i="4"/>
  <c r="U21" i="4"/>
  <c r="T21" i="4"/>
  <c r="S21" i="4"/>
  <c r="R21" i="4"/>
  <c r="K21" i="4"/>
  <c r="J21" i="4"/>
  <c r="I21" i="4"/>
  <c r="H21" i="4"/>
  <c r="U20" i="4"/>
  <c r="T20" i="4"/>
  <c r="S20" i="4"/>
  <c r="R20" i="4"/>
  <c r="K20" i="4"/>
  <c r="J20" i="4"/>
  <c r="I20" i="4"/>
  <c r="H20" i="4"/>
  <c r="U19" i="4"/>
  <c r="T19" i="4"/>
  <c r="S19" i="4"/>
  <c r="R19" i="4"/>
  <c r="K19" i="4"/>
  <c r="J19" i="4"/>
  <c r="I19" i="4"/>
  <c r="H19" i="4"/>
  <c r="U18" i="4"/>
  <c r="T18" i="4"/>
  <c r="S18" i="4"/>
  <c r="R18" i="4"/>
  <c r="K18" i="4"/>
  <c r="J18" i="4"/>
  <c r="I18" i="4"/>
  <c r="U17" i="4"/>
  <c r="T17" i="4"/>
  <c r="S17" i="4"/>
  <c r="R17" i="4"/>
  <c r="K17" i="4"/>
  <c r="J17" i="4"/>
  <c r="I17" i="4"/>
  <c r="H18" i="4"/>
  <c r="H17" i="4"/>
  <c r="O44" i="8"/>
  <c r="F44" i="8"/>
  <c r="L44" i="8" s="1"/>
  <c r="O43" i="8"/>
  <c r="L43" i="8"/>
  <c r="F43" i="8"/>
  <c r="J43" i="8" s="1"/>
  <c r="O42" i="8"/>
  <c r="F42" i="8"/>
  <c r="L42" i="8" s="1"/>
  <c r="O41" i="8"/>
  <c r="F41" i="8"/>
  <c r="L41" i="8" s="1"/>
  <c r="O39" i="8"/>
  <c r="L39" i="8"/>
  <c r="F39" i="8"/>
  <c r="J39" i="8" s="1"/>
  <c r="O38" i="8"/>
  <c r="F38" i="8"/>
  <c r="L38" i="8" s="1"/>
  <c r="O37" i="8"/>
  <c r="F37" i="8"/>
  <c r="L37" i="8" s="1"/>
  <c r="O36" i="8"/>
  <c r="L36" i="8"/>
  <c r="F36" i="8"/>
  <c r="J36" i="8" s="1"/>
  <c r="O34" i="8"/>
  <c r="F34" i="8"/>
  <c r="J34" i="8" s="1"/>
  <c r="O33" i="8"/>
  <c r="F33" i="8"/>
  <c r="L33" i="8" s="1"/>
  <c r="O32" i="8"/>
  <c r="L32" i="8"/>
  <c r="F32" i="8"/>
  <c r="J32" i="8" s="1"/>
  <c r="O31" i="8"/>
  <c r="F31" i="8"/>
  <c r="L31" i="8" s="1"/>
  <c r="O29" i="8"/>
  <c r="F29" i="8"/>
  <c r="L29" i="8" s="1"/>
  <c r="O28" i="8"/>
  <c r="L28" i="8"/>
  <c r="F28" i="8"/>
  <c r="J28" i="8" s="1"/>
  <c r="O27" i="8"/>
  <c r="F27" i="8"/>
  <c r="L27" i="8" s="1"/>
  <c r="L26" i="8"/>
  <c r="F26" i="8"/>
  <c r="J26" i="8" s="1"/>
  <c r="O24" i="8"/>
  <c r="L24" i="8"/>
  <c r="J24" i="8"/>
  <c r="F24" i="8"/>
  <c r="O23" i="8"/>
  <c r="F23" i="8"/>
  <c r="J23" i="8" s="1"/>
  <c r="O22" i="8"/>
  <c r="L22" i="8"/>
  <c r="F22" i="8"/>
  <c r="J22" i="8" s="1"/>
  <c r="L21" i="8"/>
  <c r="J21" i="8"/>
  <c r="F21" i="8"/>
  <c r="O19" i="8"/>
  <c r="L19" i="8"/>
  <c r="J19" i="8"/>
  <c r="F19" i="8"/>
  <c r="O18" i="8"/>
  <c r="F18" i="8"/>
  <c r="J18" i="8" s="1"/>
  <c r="O17" i="8"/>
  <c r="F17" i="8"/>
  <c r="L17" i="8" s="1"/>
  <c r="O16" i="8"/>
  <c r="F16" i="8"/>
  <c r="L16" i="8" s="1"/>
  <c r="O14" i="8"/>
  <c r="F14" i="8"/>
  <c r="L14" i="8" s="1"/>
  <c r="O13" i="8"/>
  <c r="L13" i="8"/>
  <c r="J13" i="8"/>
  <c r="F13" i="8"/>
  <c r="O12" i="8"/>
  <c r="F12" i="8"/>
  <c r="J12" i="8" s="1"/>
  <c r="O11" i="8"/>
  <c r="F11" i="8"/>
  <c r="J11" i="8" s="1"/>
  <c r="S10" i="8"/>
  <c r="F9" i="8"/>
  <c r="L9" i="8" s="1"/>
  <c r="L8" i="8"/>
  <c r="F8" i="8"/>
  <c r="J8" i="8" s="1"/>
  <c r="F7" i="8"/>
  <c r="L7" i="8" s="1"/>
  <c r="F5" i="8"/>
  <c r="L5" i="8" s="1"/>
  <c r="F4" i="8"/>
  <c r="L4" i="8" s="1"/>
  <c r="S15" i="8" l="1"/>
  <c r="S19" i="8"/>
  <c r="S18" i="8"/>
  <c r="S14" i="8"/>
  <c r="S11" i="8"/>
  <c r="S7" i="8"/>
  <c r="J7" i="8"/>
  <c r="J38" i="8"/>
  <c r="J17" i="8"/>
  <c r="L34" i="8"/>
  <c r="S21" i="8" s="1"/>
  <c r="L11" i="8"/>
  <c r="J14" i="8"/>
  <c r="L23" i="8"/>
  <c r="S6" i="8" s="1"/>
  <c r="J4" i="8"/>
  <c r="J5" i="8"/>
  <c r="L12" i="8"/>
  <c r="L18" i="8"/>
  <c r="J9" i="8"/>
  <c r="J16" i="8"/>
  <c r="J29" i="8"/>
  <c r="J33" i="8"/>
  <c r="J37" i="8"/>
  <c r="J41" i="8"/>
  <c r="J44" i="8"/>
  <c r="J27" i="8"/>
  <c r="J31" i="8"/>
  <c r="J42" i="8"/>
  <c r="S17" i="8" l="1"/>
  <c r="S16" i="8"/>
  <c r="S20" i="8"/>
  <c r="S9" i="8"/>
  <c r="S5" i="8"/>
  <c r="S8" i="8"/>
  <c r="S4" i="8"/>
  <c r="C48" i="4" l="1"/>
  <c r="G6" i="15" l="1"/>
  <c r="G5" i="15"/>
  <c r="G4" i="15"/>
  <c r="G3" i="15"/>
  <c r="AG8" i="39"/>
  <c r="AF8" i="39"/>
  <c r="AD8" i="39"/>
  <c r="M8" i="38"/>
  <c r="L8" i="38"/>
  <c r="J8" i="38"/>
  <c r="E7" i="8" l="1"/>
  <c r="H13" i="4" l="1"/>
  <c r="E11" i="8"/>
  <c r="E34" i="8" l="1"/>
  <c r="E33" i="8"/>
  <c r="E32" i="8"/>
  <c r="E31" i="8"/>
  <c r="I6" i="39" l="1"/>
  <c r="I7" i="39"/>
  <c r="I5" i="39"/>
  <c r="J5" i="39" l="1"/>
  <c r="K5" i="39" s="1"/>
  <c r="J7" i="39"/>
  <c r="K7" i="39" s="1"/>
  <c r="K6" i="39"/>
  <c r="E12" i="39" s="1"/>
  <c r="J6" i="39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I54" i="10"/>
  <c r="I55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I88" i="10"/>
  <c r="I89" i="10"/>
  <c r="I90" i="10"/>
  <c r="I91" i="10"/>
  <c r="I92" i="10"/>
  <c r="I93" i="10"/>
  <c r="I94" i="10"/>
  <c r="I95" i="10"/>
  <c r="I96" i="10"/>
  <c r="I97" i="10"/>
  <c r="I98" i="10"/>
  <c r="I99" i="10"/>
  <c r="I100" i="10"/>
  <c r="I101" i="10"/>
  <c r="I102" i="10"/>
  <c r="I103" i="10"/>
  <c r="I104" i="10"/>
  <c r="I105" i="10"/>
  <c r="I106" i="10"/>
  <c r="I107" i="10"/>
  <c r="I108" i="10"/>
  <c r="I109" i="10"/>
  <c r="I110" i="10"/>
  <c r="I111" i="10"/>
  <c r="I112" i="10"/>
  <c r="I113" i="10"/>
  <c r="I114" i="10"/>
  <c r="I115" i="10"/>
  <c r="I116" i="10"/>
  <c r="I117" i="10"/>
  <c r="I118" i="10"/>
  <c r="I119" i="10"/>
  <c r="I120" i="10"/>
  <c r="I121" i="10"/>
  <c r="I122" i="10"/>
  <c r="I123" i="10"/>
  <c r="I124" i="10"/>
  <c r="I125" i="10"/>
  <c r="I126" i="10"/>
  <c r="I127" i="10"/>
  <c r="I128" i="10"/>
  <c r="I129" i="10"/>
  <c r="I130" i="10"/>
  <c r="I131" i="10"/>
  <c r="I132" i="10"/>
  <c r="I133" i="10"/>
  <c r="I134" i="10"/>
  <c r="I135" i="10"/>
  <c r="I136" i="10"/>
  <c r="I137" i="10"/>
  <c r="I138" i="10"/>
  <c r="I139" i="10"/>
  <c r="I140" i="10"/>
  <c r="I141" i="10"/>
  <c r="I142" i="10"/>
  <c r="I143" i="10"/>
  <c r="I144" i="10"/>
  <c r="I145" i="10"/>
  <c r="I146" i="10"/>
  <c r="I147" i="10"/>
  <c r="I148" i="10"/>
  <c r="I149" i="10"/>
  <c r="I150" i="10"/>
  <c r="I151" i="10"/>
  <c r="I152" i="10"/>
  <c r="I153" i="10"/>
  <c r="I154" i="10"/>
  <c r="I155" i="10"/>
  <c r="I156" i="10"/>
  <c r="I157" i="10"/>
  <c r="I158" i="10"/>
  <c r="I159" i="10"/>
  <c r="I160" i="10"/>
  <c r="I161" i="10"/>
  <c r="I162" i="10"/>
  <c r="I163" i="10"/>
  <c r="I164" i="10"/>
  <c r="I165" i="10"/>
  <c r="I166" i="10"/>
  <c r="I167" i="10"/>
  <c r="I168" i="10"/>
  <c r="I169" i="10"/>
  <c r="I170" i="10"/>
  <c r="I171" i="10"/>
  <c r="I172" i="10"/>
  <c r="I173" i="10"/>
  <c r="I174" i="10"/>
  <c r="I175" i="10"/>
  <c r="I176" i="10"/>
  <c r="I177" i="10"/>
  <c r="I178" i="10"/>
  <c r="I179" i="10"/>
  <c r="I180" i="10"/>
  <c r="I181" i="10"/>
  <c r="I182" i="10"/>
  <c r="I183" i="10"/>
  <c r="I184" i="10"/>
  <c r="I185" i="10"/>
  <c r="I186" i="10"/>
  <c r="I187" i="10"/>
  <c r="I188" i="10"/>
  <c r="I189" i="10"/>
  <c r="I190" i="10"/>
  <c r="I191" i="10"/>
  <c r="I192" i="10"/>
  <c r="I193" i="10"/>
  <c r="I194" i="10"/>
  <c r="I195" i="10"/>
  <c r="I196" i="10"/>
  <c r="I197" i="10"/>
  <c r="I198" i="10"/>
  <c r="I199" i="10"/>
  <c r="I200" i="10"/>
  <c r="I201" i="10"/>
  <c r="I202" i="10"/>
  <c r="I203" i="10"/>
  <c r="I204" i="10"/>
  <c r="I205" i="10"/>
  <c r="I206" i="10"/>
  <c r="I207" i="10"/>
  <c r="I208" i="10"/>
  <c r="I209" i="10"/>
  <c r="I210" i="10"/>
  <c r="I211" i="10"/>
  <c r="I212" i="10"/>
  <c r="I213" i="10"/>
  <c r="I214" i="10"/>
  <c r="I215" i="10"/>
  <c r="I216" i="10"/>
  <c r="I217" i="10"/>
  <c r="I218" i="10"/>
  <c r="I219" i="10"/>
  <c r="I220" i="10"/>
  <c r="I221" i="10"/>
  <c r="I222" i="10"/>
  <c r="I223" i="10"/>
  <c r="I224" i="10"/>
  <c r="I225" i="10"/>
  <c r="I226" i="10"/>
  <c r="I227" i="10"/>
  <c r="I228" i="10"/>
  <c r="I229" i="10"/>
  <c r="I230" i="10"/>
  <c r="I231" i="10"/>
  <c r="I232" i="10"/>
  <c r="I233" i="10"/>
  <c r="I234" i="10"/>
  <c r="I235" i="10"/>
  <c r="I236" i="10"/>
  <c r="I237" i="10"/>
  <c r="I238" i="10"/>
  <c r="I239" i="10"/>
  <c r="I240" i="10"/>
  <c r="I241" i="10"/>
  <c r="I242" i="10"/>
  <c r="I243" i="10"/>
  <c r="I244" i="10"/>
  <c r="I245" i="10"/>
  <c r="I246" i="10"/>
  <c r="I247" i="10"/>
  <c r="I248" i="10"/>
  <c r="I249" i="10"/>
  <c r="I250" i="10"/>
  <c r="I251" i="10"/>
  <c r="I252" i="10"/>
  <c r="I253" i="10"/>
  <c r="I254" i="10"/>
  <c r="I255" i="10"/>
  <c r="I256" i="10"/>
  <c r="I257" i="10"/>
  <c r="I258" i="10"/>
  <c r="I259" i="10"/>
  <c r="I260" i="10"/>
  <c r="I261" i="10"/>
  <c r="I262" i="10"/>
  <c r="I263" i="10"/>
  <c r="I264" i="10"/>
  <c r="I265" i="10"/>
  <c r="I266" i="10"/>
  <c r="I267" i="10"/>
  <c r="I268" i="10"/>
  <c r="I269" i="10"/>
  <c r="I270" i="10"/>
  <c r="I271" i="10"/>
  <c r="I272" i="10"/>
  <c r="I273" i="10"/>
  <c r="I274" i="10"/>
  <c r="I275" i="10"/>
  <c r="I276" i="10"/>
  <c r="I277" i="10"/>
  <c r="I278" i="10"/>
  <c r="I279" i="10"/>
  <c r="I280" i="10"/>
  <c r="I281" i="10"/>
  <c r="I282" i="10"/>
  <c r="I283" i="10"/>
  <c r="I284" i="10"/>
  <c r="I285" i="10"/>
  <c r="I286" i="10"/>
  <c r="I287" i="10"/>
  <c r="I288" i="10"/>
  <c r="I289" i="10"/>
  <c r="I290" i="10"/>
  <c r="I291" i="10"/>
  <c r="I292" i="10"/>
  <c r="I293" i="10"/>
  <c r="I294" i="10"/>
  <c r="I295" i="10"/>
  <c r="I296" i="10"/>
  <c r="I297" i="10"/>
  <c r="I298" i="10"/>
  <c r="I299" i="10"/>
  <c r="I300" i="10"/>
  <c r="I301" i="10"/>
  <c r="I302" i="10"/>
  <c r="I303" i="10"/>
  <c r="I304" i="10"/>
  <c r="I305" i="10"/>
  <c r="I306" i="10"/>
  <c r="I307" i="10"/>
  <c r="I308" i="10"/>
  <c r="I309" i="10"/>
  <c r="I310" i="10"/>
  <c r="I311" i="10"/>
  <c r="I312" i="10"/>
  <c r="I313" i="10"/>
  <c r="I314" i="10"/>
  <c r="I315" i="10"/>
  <c r="I316" i="10"/>
  <c r="I317" i="10"/>
  <c r="I318" i="10"/>
  <c r="I319" i="10"/>
  <c r="I320" i="10"/>
  <c r="I321" i="10"/>
  <c r="I322" i="10"/>
  <c r="I323" i="10"/>
  <c r="I324" i="10"/>
  <c r="I325" i="10"/>
  <c r="I326" i="10"/>
  <c r="I327" i="10"/>
  <c r="I328" i="10"/>
  <c r="I329" i="10"/>
  <c r="I330" i="10"/>
  <c r="I331" i="10"/>
  <c r="I332" i="10"/>
  <c r="I333" i="10"/>
  <c r="I334" i="10"/>
  <c r="I335" i="10"/>
  <c r="I336" i="10"/>
  <c r="I337" i="10"/>
  <c r="I338" i="10"/>
  <c r="I339" i="10"/>
  <c r="I340" i="10"/>
  <c r="I341" i="10"/>
  <c r="I342" i="10"/>
  <c r="I343" i="10"/>
  <c r="I344" i="10"/>
  <c r="I345" i="10"/>
  <c r="I346" i="10"/>
  <c r="I347" i="10"/>
  <c r="I348" i="10"/>
  <c r="I349" i="10"/>
  <c r="I350" i="10"/>
  <c r="I351" i="10"/>
  <c r="I352" i="10"/>
  <c r="I353" i="10"/>
  <c r="I354" i="10"/>
  <c r="I355" i="10"/>
  <c r="I356" i="10"/>
  <c r="I357" i="10"/>
  <c r="I358" i="10"/>
  <c r="I359" i="10"/>
  <c r="I360" i="10"/>
  <c r="I361" i="10"/>
  <c r="I362" i="10"/>
  <c r="I363" i="10"/>
  <c r="I364" i="10"/>
  <c r="I365" i="10"/>
  <c r="I366" i="10"/>
  <c r="I367" i="10"/>
  <c r="I368" i="10"/>
  <c r="I369" i="10"/>
  <c r="I370" i="10"/>
  <c r="I371" i="10"/>
  <c r="I372" i="10"/>
  <c r="I373" i="10"/>
  <c r="I374" i="10"/>
  <c r="I375" i="10"/>
  <c r="I376" i="10"/>
  <c r="I377" i="10"/>
  <c r="I378" i="10"/>
  <c r="I379" i="10"/>
  <c r="I380" i="10"/>
  <c r="I381" i="10"/>
  <c r="I382" i="10"/>
  <c r="I383" i="10"/>
  <c r="I384" i="10"/>
  <c r="I385" i="10"/>
  <c r="I386" i="10"/>
  <c r="I387" i="10"/>
  <c r="I388" i="10"/>
  <c r="I389" i="10"/>
  <c r="I390" i="10"/>
  <c r="I391" i="10"/>
  <c r="I392" i="10"/>
  <c r="I393" i="10"/>
  <c r="I394" i="10"/>
  <c r="I395" i="10"/>
  <c r="I396" i="10"/>
  <c r="I397" i="10"/>
  <c r="I398" i="10"/>
  <c r="I399" i="10"/>
  <c r="I400" i="10"/>
  <c r="I401" i="10"/>
  <c r="I402" i="10"/>
  <c r="I403" i="10"/>
  <c r="I404" i="10"/>
  <c r="I405" i="10"/>
  <c r="I406" i="10"/>
  <c r="I407" i="10"/>
  <c r="I408" i="10"/>
  <c r="I409" i="10"/>
  <c r="I410" i="10"/>
  <c r="I411" i="10"/>
  <c r="I412" i="10"/>
  <c r="I413" i="10"/>
  <c r="I414" i="10"/>
  <c r="I415" i="10"/>
  <c r="I416" i="10"/>
  <c r="I417" i="10"/>
  <c r="I418" i="10"/>
  <c r="I419" i="10"/>
  <c r="I420" i="10"/>
  <c r="I421" i="10"/>
  <c r="I422" i="10"/>
  <c r="I423" i="10"/>
  <c r="I424" i="10"/>
  <c r="I425" i="10"/>
  <c r="I426" i="10"/>
  <c r="I427" i="10"/>
  <c r="I428" i="10"/>
  <c r="I429" i="10"/>
  <c r="I430" i="10"/>
  <c r="I431" i="10"/>
  <c r="I432" i="10"/>
  <c r="I433" i="10"/>
  <c r="I434" i="10"/>
  <c r="I435" i="10"/>
  <c r="I436" i="10"/>
  <c r="I437" i="10"/>
  <c r="I438" i="10"/>
  <c r="I439" i="10"/>
  <c r="I440" i="10"/>
  <c r="I441" i="10"/>
  <c r="I442" i="10"/>
  <c r="I443" i="10"/>
  <c r="I444" i="10"/>
  <c r="I445" i="10"/>
  <c r="I446" i="10"/>
  <c r="I447" i="10"/>
  <c r="I448" i="10"/>
  <c r="I449" i="10"/>
  <c r="I450" i="10"/>
  <c r="I451" i="10"/>
  <c r="I452" i="10"/>
  <c r="I453" i="10"/>
  <c r="I454" i="10"/>
  <c r="I455" i="10"/>
  <c r="I456" i="10"/>
  <c r="I457" i="10"/>
  <c r="I458" i="10"/>
  <c r="I459" i="10"/>
  <c r="I460" i="10"/>
  <c r="I461" i="10"/>
  <c r="I462" i="10"/>
  <c r="I463" i="10"/>
  <c r="I464" i="10"/>
  <c r="I465" i="10"/>
  <c r="I466" i="10"/>
  <c r="I467" i="10"/>
  <c r="I468" i="10"/>
  <c r="I469" i="10"/>
  <c r="I470" i="10"/>
  <c r="I471" i="10"/>
  <c r="I472" i="10"/>
  <c r="I473" i="10"/>
  <c r="I474" i="10"/>
  <c r="I475" i="10"/>
  <c r="I476" i="10"/>
  <c r="I477" i="10"/>
  <c r="I478" i="10"/>
  <c r="I479" i="10"/>
  <c r="I480" i="10"/>
  <c r="I481" i="10"/>
  <c r="I482" i="10"/>
  <c r="I483" i="10"/>
  <c r="I484" i="10"/>
  <c r="I485" i="10"/>
  <c r="I486" i="10"/>
  <c r="I487" i="10"/>
  <c r="I488" i="10"/>
  <c r="I489" i="10"/>
  <c r="I490" i="10"/>
  <c r="I491" i="10"/>
  <c r="I492" i="10"/>
  <c r="I493" i="10"/>
  <c r="I494" i="10"/>
  <c r="I495" i="10"/>
  <c r="I496" i="10"/>
  <c r="I497" i="10"/>
  <c r="I498" i="10"/>
  <c r="I499" i="10"/>
  <c r="I500" i="10"/>
  <c r="I501" i="10"/>
  <c r="I502" i="10"/>
  <c r="I503" i="10"/>
  <c r="I504" i="10"/>
  <c r="I505" i="10"/>
  <c r="I506" i="10"/>
  <c r="I507" i="10"/>
  <c r="I508" i="10"/>
  <c r="I509" i="10"/>
  <c r="I510" i="10"/>
  <c r="I511" i="10"/>
  <c r="I512" i="10"/>
  <c r="I513" i="10"/>
  <c r="I514" i="10"/>
  <c r="I515" i="10"/>
  <c r="I516" i="10"/>
  <c r="I517" i="10"/>
  <c r="I518" i="10"/>
  <c r="I519" i="10"/>
  <c r="I520" i="10"/>
  <c r="I521" i="10"/>
  <c r="I522" i="10"/>
  <c r="I523" i="10"/>
  <c r="I524" i="10"/>
  <c r="I525" i="10"/>
  <c r="I526" i="10"/>
  <c r="I527" i="10"/>
  <c r="I528" i="10"/>
  <c r="I529" i="10"/>
  <c r="I530" i="10"/>
  <c r="I531" i="10"/>
  <c r="I532" i="10"/>
  <c r="I533" i="10"/>
  <c r="I534" i="10"/>
  <c r="I535" i="10"/>
  <c r="I536" i="10"/>
  <c r="I537" i="10"/>
  <c r="I538" i="10"/>
  <c r="I539" i="10"/>
  <c r="I540" i="10"/>
  <c r="I541" i="10"/>
  <c r="I542" i="10"/>
  <c r="I543" i="10"/>
  <c r="I544" i="10"/>
  <c r="I545" i="10"/>
  <c r="I546" i="10"/>
  <c r="I547" i="10"/>
  <c r="I548" i="10"/>
  <c r="I549" i="10"/>
  <c r="I550" i="10"/>
  <c r="I551" i="10"/>
  <c r="I552" i="10"/>
  <c r="I553" i="10"/>
  <c r="I554" i="10"/>
  <c r="I555" i="10"/>
  <c r="I556" i="10"/>
  <c r="I557" i="10"/>
  <c r="I558" i="10"/>
  <c r="I559" i="10"/>
  <c r="I560" i="10"/>
  <c r="I561" i="10"/>
  <c r="I562" i="10"/>
  <c r="I563" i="10"/>
  <c r="I564" i="10"/>
  <c r="I565" i="10"/>
  <c r="I566" i="10"/>
  <c r="I567" i="10"/>
  <c r="I568" i="10"/>
  <c r="I569" i="10"/>
  <c r="I570" i="10"/>
  <c r="I571" i="10"/>
  <c r="I572" i="10"/>
  <c r="I573" i="10"/>
  <c r="I574" i="10"/>
  <c r="I575" i="10"/>
  <c r="I576" i="10"/>
  <c r="I577" i="10"/>
  <c r="I578" i="10"/>
  <c r="I579" i="10"/>
  <c r="I580" i="10"/>
  <c r="I581" i="10"/>
  <c r="I582" i="10"/>
  <c r="I583" i="10"/>
  <c r="I584" i="10"/>
  <c r="I585" i="10"/>
  <c r="I586" i="10"/>
  <c r="I587" i="10"/>
  <c r="I588" i="10"/>
  <c r="I589" i="10"/>
  <c r="I590" i="10"/>
  <c r="I591" i="10"/>
  <c r="I592" i="10"/>
  <c r="I593" i="10"/>
  <c r="I594" i="10"/>
  <c r="I595" i="10"/>
  <c r="I596" i="10"/>
  <c r="I597" i="10"/>
  <c r="I598" i="10"/>
  <c r="I599" i="10"/>
  <c r="I600" i="10"/>
  <c r="I601" i="10"/>
  <c r="I602" i="10"/>
  <c r="I603" i="10"/>
  <c r="I604" i="10"/>
  <c r="I605" i="10"/>
  <c r="I606" i="10"/>
  <c r="I607" i="10"/>
  <c r="I608" i="10"/>
  <c r="I609" i="10"/>
  <c r="I610" i="10"/>
  <c r="I611" i="10"/>
  <c r="I612" i="10"/>
  <c r="I613" i="10"/>
  <c r="I614" i="10"/>
  <c r="I615" i="10"/>
  <c r="I616" i="10"/>
  <c r="I617" i="10"/>
  <c r="I618" i="10"/>
  <c r="I619" i="10"/>
  <c r="I620" i="10"/>
  <c r="I621" i="10"/>
  <c r="I622" i="10"/>
  <c r="I623" i="10"/>
  <c r="I624" i="10"/>
  <c r="I625" i="10"/>
  <c r="I626" i="10"/>
  <c r="I627" i="10"/>
  <c r="I628" i="10"/>
  <c r="I629" i="10"/>
  <c r="I630" i="10"/>
  <c r="I631" i="10"/>
  <c r="I632" i="10"/>
  <c r="I633" i="10"/>
  <c r="I634" i="10"/>
  <c r="I635" i="10"/>
  <c r="I636" i="10"/>
  <c r="I637" i="10"/>
  <c r="I638" i="10"/>
  <c r="I639" i="10"/>
  <c r="I640" i="10"/>
  <c r="I641" i="10"/>
  <c r="I642" i="10"/>
  <c r="I643" i="10"/>
  <c r="I644" i="10"/>
  <c r="I645" i="10"/>
  <c r="I646" i="10"/>
  <c r="I647" i="10"/>
  <c r="I648" i="10"/>
  <c r="I649" i="10"/>
  <c r="I650" i="10"/>
  <c r="I651" i="10"/>
  <c r="I652" i="10"/>
  <c r="I653" i="10"/>
  <c r="I654" i="10"/>
  <c r="I655" i="10"/>
  <c r="I656" i="10"/>
  <c r="I657" i="10"/>
  <c r="I658" i="10"/>
  <c r="I659" i="10"/>
  <c r="I660" i="10"/>
  <c r="I661" i="10"/>
  <c r="I662" i="10"/>
  <c r="I663" i="10"/>
  <c r="I664" i="10"/>
  <c r="I665" i="10"/>
  <c r="I666" i="10"/>
  <c r="I667" i="10"/>
  <c r="I668" i="10"/>
  <c r="I669" i="10"/>
  <c r="I670" i="10"/>
  <c r="I671" i="10"/>
  <c r="I672" i="10"/>
  <c r="I673" i="10"/>
  <c r="I674" i="10"/>
  <c r="I675" i="10"/>
  <c r="I676" i="10"/>
  <c r="I677" i="10"/>
  <c r="I678" i="10"/>
  <c r="I679" i="10"/>
  <c r="I680" i="10"/>
  <c r="I681" i="10"/>
  <c r="I682" i="10"/>
  <c r="I683" i="10"/>
  <c r="I684" i="10"/>
  <c r="I685" i="10"/>
  <c r="I686" i="10"/>
  <c r="I687" i="10"/>
  <c r="I688" i="10"/>
  <c r="I689" i="10"/>
  <c r="I690" i="10"/>
  <c r="I691" i="10"/>
  <c r="I692" i="10"/>
  <c r="I693" i="10"/>
  <c r="I694" i="10"/>
  <c r="I695" i="10"/>
  <c r="I696" i="10"/>
  <c r="I697" i="10"/>
  <c r="I698" i="10"/>
  <c r="I699" i="10"/>
  <c r="I700" i="10"/>
  <c r="I701" i="10"/>
  <c r="I702" i="10"/>
  <c r="I703" i="10"/>
  <c r="I704" i="10"/>
  <c r="I705" i="10"/>
  <c r="I706" i="10"/>
  <c r="I707" i="10"/>
  <c r="I708" i="10"/>
  <c r="I709" i="10"/>
  <c r="I710" i="10"/>
  <c r="I711" i="10"/>
  <c r="I712" i="10"/>
  <c r="I713" i="10"/>
  <c r="I714" i="10"/>
  <c r="I715" i="10"/>
  <c r="I716" i="10"/>
  <c r="I717" i="10"/>
  <c r="I718" i="10"/>
  <c r="I719" i="10"/>
  <c r="I720" i="10"/>
  <c r="I721" i="10"/>
  <c r="I722" i="10"/>
  <c r="I723" i="10"/>
  <c r="I724" i="10"/>
  <c r="I725" i="10"/>
  <c r="I726" i="10"/>
  <c r="I727" i="10"/>
  <c r="I728" i="10"/>
  <c r="I729" i="10"/>
  <c r="I730" i="10"/>
  <c r="I731" i="10"/>
  <c r="I732" i="10"/>
  <c r="I733" i="10"/>
  <c r="I734" i="10"/>
  <c r="I735" i="10"/>
  <c r="I736" i="10"/>
  <c r="I737" i="10"/>
  <c r="I738" i="10"/>
  <c r="I739" i="10"/>
  <c r="I740" i="10"/>
  <c r="I741" i="10"/>
  <c r="I742" i="10"/>
  <c r="I743" i="10"/>
  <c r="I744" i="10"/>
  <c r="I745" i="10"/>
  <c r="I746" i="10"/>
  <c r="I747" i="10"/>
  <c r="I748" i="10"/>
  <c r="I749" i="10"/>
  <c r="I750" i="10"/>
  <c r="I751" i="10"/>
  <c r="I752" i="10"/>
  <c r="I753" i="10"/>
  <c r="I754" i="10"/>
  <c r="I755" i="10"/>
  <c r="I756" i="10"/>
  <c r="I757" i="10"/>
  <c r="I758" i="10"/>
  <c r="I759" i="10"/>
  <c r="I760" i="10"/>
  <c r="I761" i="10"/>
  <c r="I762" i="10"/>
  <c r="I763" i="10"/>
  <c r="I764" i="10"/>
  <c r="I765" i="10"/>
  <c r="I766" i="10"/>
  <c r="I767" i="10"/>
  <c r="I768" i="10"/>
  <c r="I769" i="10"/>
  <c r="I770" i="10"/>
  <c r="I771" i="10"/>
  <c r="I772" i="10"/>
  <c r="I773" i="10"/>
  <c r="I774" i="10"/>
  <c r="I775" i="10"/>
  <c r="I776" i="10"/>
  <c r="I777" i="10"/>
  <c r="I778" i="10"/>
  <c r="I779" i="10"/>
  <c r="I780" i="10"/>
  <c r="I781" i="10"/>
  <c r="I782" i="10"/>
  <c r="I783" i="10"/>
  <c r="I784" i="10"/>
  <c r="I785" i="10"/>
  <c r="I786" i="10"/>
  <c r="I787" i="10"/>
  <c r="I788" i="10"/>
  <c r="I789" i="10"/>
  <c r="I790" i="10"/>
  <c r="I791" i="10"/>
  <c r="I792" i="10"/>
  <c r="I793" i="10"/>
  <c r="I794" i="10"/>
  <c r="I795" i="10"/>
  <c r="I796" i="10"/>
  <c r="I797" i="10"/>
  <c r="I798" i="10"/>
  <c r="I799" i="10"/>
  <c r="I800" i="10"/>
  <c r="I801" i="10"/>
  <c r="I802" i="10"/>
  <c r="I803" i="10"/>
  <c r="I804" i="10"/>
  <c r="I805" i="10"/>
  <c r="I806" i="10"/>
  <c r="I807" i="10"/>
  <c r="I808" i="10"/>
  <c r="I809" i="10"/>
  <c r="I810" i="10"/>
  <c r="I811" i="10"/>
  <c r="I812" i="10"/>
  <c r="I813" i="10"/>
  <c r="I814" i="10"/>
  <c r="I815" i="10"/>
  <c r="I816" i="10"/>
  <c r="I817" i="10"/>
  <c r="I818" i="10"/>
  <c r="I819" i="10"/>
  <c r="I820" i="10"/>
  <c r="I821" i="10"/>
  <c r="I822" i="10"/>
  <c r="I823" i="10"/>
  <c r="I824" i="10"/>
  <c r="I825" i="10"/>
  <c r="I826" i="10"/>
  <c r="I827" i="10"/>
  <c r="I828" i="10"/>
  <c r="I829" i="10"/>
  <c r="I830" i="10"/>
  <c r="I831" i="10"/>
  <c r="I832" i="10"/>
  <c r="I833" i="10"/>
  <c r="I834" i="10"/>
  <c r="I835" i="10"/>
  <c r="I836" i="10"/>
  <c r="I837" i="10"/>
  <c r="I838" i="10"/>
  <c r="I839" i="10"/>
  <c r="I840" i="10"/>
  <c r="I841" i="10"/>
  <c r="I842" i="10"/>
  <c r="I843" i="10"/>
  <c r="I844" i="10"/>
  <c r="I845" i="10"/>
  <c r="I846" i="10"/>
  <c r="I847" i="10"/>
  <c r="I848" i="10"/>
  <c r="I849" i="10"/>
  <c r="I850" i="10"/>
  <c r="I851" i="10"/>
  <c r="I852" i="10"/>
  <c r="I853" i="10"/>
  <c r="I854" i="10"/>
  <c r="I855" i="10"/>
  <c r="I856" i="10"/>
  <c r="I857" i="10"/>
  <c r="I858" i="10"/>
  <c r="I859" i="10"/>
  <c r="I860" i="10"/>
  <c r="I861" i="10"/>
  <c r="I862" i="10"/>
  <c r="I863" i="10"/>
  <c r="I864" i="10"/>
  <c r="I865" i="10"/>
  <c r="I866" i="10"/>
  <c r="I867" i="10"/>
  <c r="I868" i="10"/>
  <c r="I869" i="10"/>
  <c r="I870" i="10"/>
  <c r="I871" i="10"/>
  <c r="I872" i="10"/>
  <c r="I873" i="10"/>
  <c r="I874" i="10"/>
  <c r="I875" i="10"/>
  <c r="I876" i="10"/>
  <c r="I877" i="10"/>
  <c r="I878" i="10"/>
  <c r="I879" i="10"/>
  <c r="I880" i="10"/>
  <c r="I881" i="10"/>
  <c r="I882" i="10"/>
  <c r="I883" i="10"/>
  <c r="I884" i="10"/>
  <c r="I885" i="10"/>
  <c r="I886" i="10"/>
  <c r="I887" i="10"/>
  <c r="I888" i="10"/>
  <c r="I889" i="10"/>
  <c r="I890" i="10"/>
  <c r="I891" i="10"/>
  <c r="I892" i="10"/>
  <c r="I893" i="10"/>
  <c r="I894" i="10"/>
  <c r="I895" i="10"/>
  <c r="I896" i="10"/>
  <c r="I897" i="10"/>
  <c r="I898" i="10"/>
  <c r="I899" i="10"/>
  <c r="I900" i="10"/>
  <c r="I901" i="10"/>
  <c r="I902" i="10"/>
  <c r="I903" i="10"/>
  <c r="I904" i="10"/>
  <c r="I905" i="10"/>
  <c r="I906" i="10"/>
  <c r="I907" i="10"/>
  <c r="I908" i="10"/>
  <c r="I909" i="10"/>
  <c r="I910" i="10"/>
  <c r="I911" i="10"/>
  <c r="I912" i="10"/>
  <c r="I913" i="10"/>
  <c r="I914" i="10"/>
  <c r="I915" i="10"/>
  <c r="I916" i="10"/>
  <c r="I917" i="10"/>
  <c r="I918" i="10"/>
  <c r="I919" i="10"/>
  <c r="I920" i="10"/>
  <c r="I921" i="10"/>
  <c r="I922" i="10"/>
  <c r="I923" i="10"/>
  <c r="I924" i="10"/>
  <c r="I925" i="10"/>
  <c r="I926" i="10"/>
  <c r="I927" i="10"/>
  <c r="I928" i="10"/>
  <c r="I929" i="10"/>
  <c r="I930" i="10"/>
  <c r="I931" i="10"/>
  <c r="I932" i="10"/>
  <c r="I933" i="10"/>
  <c r="I934" i="10"/>
  <c r="I935" i="10"/>
  <c r="I936" i="10"/>
  <c r="I937" i="10"/>
  <c r="I938" i="10"/>
  <c r="I939" i="10"/>
  <c r="I940" i="10"/>
  <c r="I941" i="10"/>
  <c r="I942" i="10"/>
  <c r="I943" i="10"/>
  <c r="I944" i="10"/>
  <c r="I945" i="10"/>
  <c r="I946" i="10"/>
  <c r="I947" i="10"/>
  <c r="I948" i="10"/>
  <c r="I949" i="10"/>
  <c r="I950" i="10"/>
  <c r="I951" i="10"/>
  <c r="I952" i="10"/>
  <c r="I953" i="10"/>
  <c r="I954" i="10"/>
  <c r="I955" i="10"/>
  <c r="I956" i="10"/>
  <c r="I957" i="10"/>
  <c r="I958" i="10"/>
  <c r="I959" i="10"/>
  <c r="I960" i="10"/>
  <c r="I961" i="10"/>
  <c r="I962" i="10"/>
  <c r="I963" i="10"/>
  <c r="I964" i="10"/>
  <c r="I965" i="10"/>
  <c r="I966" i="10"/>
  <c r="I967" i="10"/>
  <c r="I968" i="10"/>
  <c r="I969" i="10"/>
  <c r="I970" i="10"/>
  <c r="I971" i="10"/>
  <c r="I972" i="10"/>
  <c r="I973" i="10"/>
  <c r="I974" i="10"/>
  <c r="I975" i="10"/>
  <c r="I976" i="10"/>
  <c r="I977" i="10"/>
  <c r="I978" i="10"/>
  <c r="I979" i="10"/>
  <c r="I980" i="10"/>
  <c r="I981" i="10"/>
  <c r="I982" i="10"/>
  <c r="I983" i="10"/>
  <c r="I984" i="10"/>
  <c r="I985" i="10"/>
  <c r="I986" i="10"/>
  <c r="I987" i="10"/>
  <c r="I988" i="10"/>
  <c r="I989" i="10"/>
  <c r="I990" i="10"/>
  <c r="I991" i="10"/>
  <c r="I992" i="10"/>
  <c r="I993" i="10"/>
  <c r="I994" i="10"/>
  <c r="I995" i="10"/>
  <c r="I996" i="10"/>
  <c r="I997" i="10"/>
  <c r="I998" i="10"/>
  <c r="I999" i="10"/>
  <c r="I1000" i="10"/>
  <c r="I1001" i="10"/>
  <c r="I1002" i="10"/>
  <c r="I1003" i="10"/>
  <c r="I1004" i="10"/>
  <c r="I1005" i="10"/>
  <c r="I1006" i="10"/>
  <c r="I1007" i="10"/>
  <c r="I8" i="10"/>
  <c r="J46" i="10"/>
  <c r="J47" i="10"/>
  <c r="J106" i="10"/>
  <c r="J107" i="10"/>
  <c r="J151" i="10"/>
  <c r="J165" i="10"/>
  <c r="J206" i="10"/>
  <c r="J207" i="10"/>
  <c r="J250" i="10"/>
  <c r="J251" i="10"/>
  <c r="J305" i="10"/>
  <c r="J306" i="10"/>
  <c r="J347" i="10"/>
  <c r="J350" i="10"/>
  <c r="J391" i="10"/>
  <c r="J405" i="10"/>
  <c r="J446" i="10"/>
  <c r="J447" i="10"/>
  <c r="J490" i="10"/>
  <c r="J491" i="10"/>
  <c r="J545" i="10"/>
  <c r="J546" i="10"/>
  <c r="J587" i="10"/>
  <c r="J590" i="10"/>
  <c r="J631" i="10"/>
  <c r="J645" i="10"/>
  <c r="J686" i="10"/>
  <c r="J687" i="10"/>
  <c r="J730" i="10"/>
  <c r="J731" i="10"/>
  <c r="J770" i="10"/>
  <c r="J771" i="10"/>
  <c r="J810" i="10"/>
  <c r="J811" i="10"/>
  <c r="J846" i="10"/>
  <c r="J847" i="10"/>
  <c r="J874" i="10"/>
  <c r="J883" i="10"/>
  <c r="J885" i="10"/>
  <c r="J911" i="10"/>
  <c r="J914" i="10"/>
  <c r="J947" i="10"/>
  <c r="J950" i="10"/>
  <c r="J985" i="10"/>
  <c r="J986" i="10"/>
  <c r="D25" i="7"/>
  <c r="J51" i="10" s="1"/>
  <c r="L7" i="39" l="1"/>
  <c r="F12" i="39"/>
  <c r="D11" i="39"/>
  <c r="L5" i="39"/>
  <c r="J974" i="10"/>
  <c r="J945" i="10"/>
  <c r="J907" i="10"/>
  <c r="J871" i="10"/>
  <c r="J843" i="10"/>
  <c r="J806" i="10"/>
  <c r="J766" i="10"/>
  <c r="J726" i="10"/>
  <c r="J671" i="10"/>
  <c r="J627" i="10"/>
  <c r="J585" i="10"/>
  <c r="J530" i="10"/>
  <c r="J486" i="10"/>
  <c r="J431" i="10"/>
  <c r="J387" i="10"/>
  <c r="J345" i="10"/>
  <c r="J290" i="10"/>
  <c r="J246" i="10"/>
  <c r="J191" i="10"/>
  <c r="J147" i="10"/>
  <c r="J91" i="10"/>
  <c r="J31" i="10"/>
  <c r="J807" i="10"/>
  <c r="J487" i="10"/>
  <c r="J105" i="10"/>
  <c r="J1007" i="10"/>
  <c r="J971" i="10"/>
  <c r="J943" i="10"/>
  <c r="J906" i="10"/>
  <c r="J870" i="10"/>
  <c r="J834" i="10"/>
  <c r="J805" i="10"/>
  <c r="J765" i="10"/>
  <c r="J725" i="10"/>
  <c r="J670" i="10"/>
  <c r="J626" i="10"/>
  <c r="J571" i="10"/>
  <c r="J527" i="10"/>
  <c r="J485" i="10"/>
  <c r="J430" i="10"/>
  <c r="J386" i="10"/>
  <c r="J331" i="10"/>
  <c r="J287" i="10"/>
  <c r="J245" i="10"/>
  <c r="J190" i="10"/>
  <c r="J146" i="10"/>
  <c r="J87" i="10"/>
  <c r="J27" i="10"/>
  <c r="L6" i="39"/>
  <c r="J983" i="10"/>
  <c r="J630" i="10"/>
  <c r="J291" i="10"/>
  <c r="J1006" i="10"/>
  <c r="J970" i="10"/>
  <c r="J934" i="10"/>
  <c r="J905" i="10"/>
  <c r="J867" i="10"/>
  <c r="J831" i="10"/>
  <c r="J803" i="10"/>
  <c r="J763" i="10"/>
  <c r="J711" i="10"/>
  <c r="J667" i="10"/>
  <c r="J625" i="10"/>
  <c r="J570" i="10"/>
  <c r="J526" i="10"/>
  <c r="J471" i="10"/>
  <c r="J427" i="10"/>
  <c r="J385" i="10"/>
  <c r="J330" i="10"/>
  <c r="J286" i="10"/>
  <c r="J231" i="10"/>
  <c r="J187" i="10"/>
  <c r="J145" i="10"/>
  <c r="J86" i="10"/>
  <c r="J26" i="10"/>
  <c r="J845" i="10"/>
  <c r="J445" i="10"/>
  <c r="J1005" i="10"/>
  <c r="J967" i="10"/>
  <c r="J931" i="10"/>
  <c r="J903" i="10"/>
  <c r="J866" i="10"/>
  <c r="J830" i="10"/>
  <c r="J791" i="10"/>
  <c r="J751" i="10"/>
  <c r="J710" i="10"/>
  <c r="J666" i="10"/>
  <c r="J611" i="10"/>
  <c r="J567" i="10"/>
  <c r="J525" i="10"/>
  <c r="J470" i="10"/>
  <c r="J426" i="10"/>
  <c r="J371" i="10"/>
  <c r="J327" i="10"/>
  <c r="J285" i="10"/>
  <c r="J230" i="10"/>
  <c r="J186" i="10"/>
  <c r="J131" i="10"/>
  <c r="J85" i="10"/>
  <c r="J25" i="10"/>
  <c r="J247" i="10"/>
  <c r="J467" i="10"/>
  <c r="J425" i="10"/>
  <c r="J370" i="10"/>
  <c r="J326" i="10"/>
  <c r="J271" i="10"/>
  <c r="J227" i="10"/>
  <c r="J185" i="10"/>
  <c r="J130" i="10"/>
  <c r="J71" i="10"/>
  <c r="J11" i="10"/>
  <c r="J727" i="10"/>
  <c r="J150" i="10"/>
  <c r="J865" i="10"/>
  <c r="J610" i="10"/>
  <c r="J994" i="10"/>
  <c r="J965" i="10"/>
  <c r="J927" i="10"/>
  <c r="J891" i="10"/>
  <c r="J863" i="10"/>
  <c r="J826" i="10"/>
  <c r="J787" i="10"/>
  <c r="J747" i="10"/>
  <c r="J706" i="10"/>
  <c r="J651" i="10"/>
  <c r="J607" i="10"/>
  <c r="J565" i="10"/>
  <c r="J510" i="10"/>
  <c r="J466" i="10"/>
  <c r="J411" i="10"/>
  <c r="J367" i="10"/>
  <c r="J325" i="10"/>
  <c r="J270" i="10"/>
  <c r="J226" i="10"/>
  <c r="J171" i="10"/>
  <c r="J127" i="10"/>
  <c r="J67" i="10"/>
  <c r="J946" i="10"/>
  <c r="J767" i="10"/>
  <c r="J586" i="10"/>
  <c r="J390" i="10"/>
  <c r="J45" i="10"/>
  <c r="J930" i="10"/>
  <c r="J511" i="10"/>
  <c r="J991" i="10"/>
  <c r="J963" i="10"/>
  <c r="J926" i="10"/>
  <c r="J890" i="10"/>
  <c r="J854" i="10"/>
  <c r="J825" i="10"/>
  <c r="J786" i="10"/>
  <c r="J746" i="10"/>
  <c r="J705" i="10"/>
  <c r="J650" i="10"/>
  <c r="J606" i="10"/>
  <c r="J551" i="10"/>
  <c r="J507" i="10"/>
  <c r="J465" i="10"/>
  <c r="J410" i="10"/>
  <c r="J366" i="10"/>
  <c r="J311" i="10"/>
  <c r="J267" i="10"/>
  <c r="J225" i="10"/>
  <c r="J170" i="10"/>
  <c r="J126" i="10"/>
  <c r="J66" i="10"/>
  <c r="J910" i="10"/>
  <c r="J531" i="10"/>
  <c r="J205" i="10"/>
  <c r="J1003" i="10"/>
  <c r="J894" i="10"/>
  <c r="J790" i="10"/>
  <c r="J707" i="10"/>
  <c r="J566" i="10"/>
  <c r="J990" i="10"/>
  <c r="J954" i="10"/>
  <c r="J925" i="10"/>
  <c r="J887" i="10"/>
  <c r="J851" i="10"/>
  <c r="J823" i="10"/>
  <c r="J785" i="10"/>
  <c r="J745" i="10"/>
  <c r="J691" i="10"/>
  <c r="J647" i="10"/>
  <c r="J605" i="10"/>
  <c r="J550" i="10"/>
  <c r="J506" i="10"/>
  <c r="J451" i="10"/>
  <c r="J407" i="10"/>
  <c r="J365" i="10"/>
  <c r="J310" i="10"/>
  <c r="J266" i="10"/>
  <c r="J211" i="10"/>
  <c r="J167" i="10"/>
  <c r="J125" i="10"/>
  <c r="J65" i="10"/>
  <c r="J685" i="10"/>
  <c r="J346" i="10"/>
  <c r="J966" i="10"/>
  <c r="J827" i="10"/>
  <c r="J750" i="10"/>
  <c r="J665" i="10"/>
  <c r="J987" i="10"/>
  <c r="J951" i="10"/>
  <c r="J923" i="10"/>
  <c r="J886" i="10"/>
  <c r="J850" i="10"/>
  <c r="J814" i="10"/>
  <c r="J783" i="10"/>
  <c r="J743" i="10"/>
  <c r="J690" i="10"/>
  <c r="J646" i="10"/>
  <c r="J591" i="10"/>
  <c r="J547" i="10"/>
  <c r="J505" i="10"/>
  <c r="J450" i="10"/>
  <c r="J406" i="10"/>
  <c r="J351" i="10"/>
  <c r="J307" i="10"/>
  <c r="J265" i="10"/>
  <c r="J210" i="10"/>
  <c r="J166" i="10"/>
  <c r="J111" i="10"/>
  <c r="M13" i="10"/>
  <c r="N13" i="10" s="1"/>
  <c r="M287" i="10"/>
  <c r="N287" i="10" s="1"/>
  <c r="M295" i="10"/>
  <c r="N295" i="10" s="1"/>
  <c r="M303" i="10"/>
  <c r="N303" i="10" s="1"/>
  <c r="J1004" i="10"/>
  <c r="J984" i="10"/>
  <c r="J964" i="10"/>
  <c r="J944" i="10"/>
  <c r="J924" i="10"/>
  <c r="J904" i="10"/>
  <c r="J884" i="10"/>
  <c r="J864" i="10"/>
  <c r="J844" i="10"/>
  <c r="J824" i="10"/>
  <c r="J804" i="10"/>
  <c r="J784" i="10"/>
  <c r="J764" i="10"/>
  <c r="J744" i="10"/>
  <c r="J724" i="10"/>
  <c r="J704" i="10"/>
  <c r="J684" i="10"/>
  <c r="J664" i="10"/>
  <c r="J644" i="10"/>
  <c r="J624" i="10"/>
  <c r="J604" i="10"/>
  <c r="J584" i="10"/>
  <c r="J564" i="10"/>
  <c r="J544" i="10"/>
  <c r="J524" i="10"/>
  <c r="J504" i="10"/>
  <c r="J484" i="10"/>
  <c r="J464" i="10"/>
  <c r="J444" i="10"/>
  <c r="J424" i="10"/>
  <c r="J404" i="10"/>
  <c r="J384" i="10"/>
  <c r="J364" i="10"/>
  <c r="J344" i="10"/>
  <c r="J324" i="10"/>
  <c r="J304" i="10"/>
  <c r="J284" i="10"/>
  <c r="J264" i="10"/>
  <c r="J244" i="10"/>
  <c r="J224" i="10"/>
  <c r="J204" i="10"/>
  <c r="J184" i="10"/>
  <c r="J164" i="10"/>
  <c r="J144" i="10"/>
  <c r="J124" i="10"/>
  <c r="J104" i="10"/>
  <c r="J84" i="10"/>
  <c r="J64" i="10"/>
  <c r="J44" i="10"/>
  <c r="J24" i="10"/>
  <c r="J663" i="10"/>
  <c r="J503" i="10"/>
  <c r="J303" i="10"/>
  <c r="J63" i="10"/>
  <c r="J703" i="10"/>
  <c r="J603" i="10"/>
  <c r="J523" i="10"/>
  <c r="J443" i="10"/>
  <c r="J423" i="10"/>
  <c r="J383" i="10"/>
  <c r="J343" i="10"/>
  <c r="J323" i="10"/>
  <c r="J283" i="10"/>
  <c r="J203" i="10"/>
  <c r="J183" i="10"/>
  <c r="J163" i="10"/>
  <c r="J83" i="10"/>
  <c r="J1002" i="10"/>
  <c r="J982" i="10"/>
  <c r="J962" i="10"/>
  <c r="J942" i="10"/>
  <c r="J922" i="10"/>
  <c r="J902" i="10"/>
  <c r="J882" i="10"/>
  <c r="J862" i="10"/>
  <c r="J842" i="10"/>
  <c r="J822" i="10"/>
  <c r="J802" i="10"/>
  <c r="J782" i="10"/>
  <c r="J762" i="10"/>
  <c r="J742" i="10"/>
  <c r="J722" i="10"/>
  <c r="J702" i="10"/>
  <c r="J682" i="10"/>
  <c r="J662" i="10"/>
  <c r="J642" i="10"/>
  <c r="J622" i="10"/>
  <c r="J602" i="10"/>
  <c r="J582" i="10"/>
  <c r="J562" i="10"/>
  <c r="J542" i="10"/>
  <c r="J522" i="10"/>
  <c r="J502" i="10"/>
  <c r="J482" i="10"/>
  <c r="J462" i="10"/>
  <c r="J442" i="10"/>
  <c r="J422" i="10"/>
  <c r="J402" i="10"/>
  <c r="J382" i="10"/>
  <c r="J362" i="10"/>
  <c r="J342" i="10"/>
  <c r="J322" i="10"/>
  <c r="J302" i="10"/>
  <c r="J282" i="10"/>
  <c r="J262" i="10"/>
  <c r="J242" i="10"/>
  <c r="J222" i="10"/>
  <c r="J202" i="10"/>
  <c r="J182" i="10"/>
  <c r="J162" i="10"/>
  <c r="J142" i="10"/>
  <c r="J122" i="10"/>
  <c r="J102" i="10"/>
  <c r="J82" i="10"/>
  <c r="J62" i="10"/>
  <c r="J42" i="10"/>
  <c r="J22" i="10"/>
  <c r="J643" i="10"/>
  <c r="J563" i="10"/>
  <c r="J403" i="10"/>
  <c r="J263" i="10"/>
  <c r="J43" i="10"/>
  <c r="J1001" i="10"/>
  <c r="J981" i="10"/>
  <c r="J941" i="10"/>
  <c r="J921" i="10"/>
  <c r="J881" i="10"/>
  <c r="J841" i="10"/>
  <c r="J801" i="10"/>
  <c r="J761" i="10"/>
  <c r="J721" i="10"/>
  <c r="J661" i="10"/>
  <c r="J621" i="10"/>
  <c r="J581" i="10"/>
  <c r="J541" i="10"/>
  <c r="J501" i="10"/>
  <c r="J461" i="10"/>
  <c r="J421" i="10"/>
  <c r="J361" i="10"/>
  <c r="J281" i="10"/>
  <c r="J181" i="10"/>
  <c r="J41" i="10"/>
  <c r="J623" i="10"/>
  <c r="J463" i="10"/>
  <c r="J363" i="10"/>
  <c r="J223" i="10"/>
  <c r="J23" i="10"/>
  <c r="J961" i="10"/>
  <c r="J901" i="10"/>
  <c r="J861" i="10"/>
  <c r="J821" i="10"/>
  <c r="J781" i="10"/>
  <c r="J741" i="10"/>
  <c r="J701" i="10"/>
  <c r="J681" i="10"/>
  <c r="J641" i="10"/>
  <c r="J601" i="10"/>
  <c r="J561" i="10"/>
  <c r="J521" i="10"/>
  <c r="J481" i="10"/>
  <c r="J441" i="10"/>
  <c r="J401" i="10"/>
  <c r="J381" i="10"/>
  <c r="J341" i="10"/>
  <c r="J321" i="10"/>
  <c r="J301" i="10"/>
  <c r="J261" i="10"/>
  <c r="J241" i="10"/>
  <c r="J221" i="10"/>
  <c r="J201" i="10"/>
  <c r="J161" i="10"/>
  <c r="J141" i="10"/>
  <c r="J121" i="10"/>
  <c r="J101" i="10"/>
  <c r="J81" i="10"/>
  <c r="J61" i="10"/>
  <c r="J21" i="10"/>
  <c r="J1000" i="10"/>
  <c r="J980" i="10"/>
  <c r="J960" i="10"/>
  <c r="J940" i="10"/>
  <c r="J920" i="10"/>
  <c r="J900" i="10"/>
  <c r="J880" i="10"/>
  <c r="J860" i="10"/>
  <c r="J840" i="10"/>
  <c r="J820" i="10"/>
  <c r="J800" i="10"/>
  <c r="J780" i="10"/>
  <c r="J760" i="10"/>
  <c r="J740" i="10"/>
  <c r="J720" i="10"/>
  <c r="J700" i="10"/>
  <c r="J680" i="10"/>
  <c r="J660" i="10"/>
  <c r="J640" i="10"/>
  <c r="J620" i="10"/>
  <c r="J600" i="10"/>
  <c r="J580" i="10"/>
  <c r="J560" i="10"/>
  <c r="J540" i="10"/>
  <c r="J520" i="10"/>
  <c r="J500" i="10"/>
  <c r="J480" i="10"/>
  <c r="J460" i="10"/>
  <c r="J440" i="10"/>
  <c r="J420" i="10"/>
  <c r="J400" i="10"/>
  <c r="J380" i="10"/>
  <c r="J360" i="10"/>
  <c r="J340" i="10"/>
  <c r="J320" i="10"/>
  <c r="J300" i="10"/>
  <c r="J280" i="10"/>
  <c r="J260" i="10"/>
  <c r="J240" i="10"/>
  <c r="J220" i="10"/>
  <c r="J200" i="10"/>
  <c r="J180" i="10"/>
  <c r="J160" i="10"/>
  <c r="J140" i="10"/>
  <c r="J120" i="10"/>
  <c r="J100" i="10"/>
  <c r="J80" i="10"/>
  <c r="J60" i="10"/>
  <c r="J40" i="10"/>
  <c r="J20" i="10"/>
  <c r="J583" i="10"/>
  <c r="J103" i="10"/>
  <c r="J959" i="10"/>
  <c r="J899" i="10"/>
  <c r="J859" i="10"/>
  <c r="J799" i="10"/>
  <c r="J759" i="10"/>
  <c r="J699" i="10"/>
  <c r="J619" i="10"/>
  <c r="J579" i="10"/>
  <c r="J539" i="10"/>
  <c r="J479" i="10"/>
  <c r="J439" i="10"/>
  <c r="J379" i="10"/>
  <c r="J319" i="10"/>
  <c r="J259" i="10"/>
  <c r="J219" i="10"/>
  <c r="J159" i="10"/>
  <c r="J119" i="10"/>
  <c r="J59" i="10"/>
  <c r="J998" i="10"/>
  <c r="J978" i="10"/>
  <c r="J958" i="10"/>
  <c r="J938" i="10"/>
  <c r="J918" i="10"/>
  <c r="J898" i="10"/>
  <c r="J878" i="10"/>
  <c r="J858" i="10"/>
  <c r="J838" i="10"/>
  <c r="J818" i="10"/>
  <c r="J798" i="10"/>
  <c r="J778" i="10"/>
  <c r="J758" i="10"/>
  <c r="J738" i="10"/>
  <c r="J718" i="10"/>
  <c r="J698" i="10"/>
  <c r="J678" i="10"/>
  <c r="J658" i="10"/>
  <c r="J638" i="10"/>
  <c r="J618" i="10"/>
  <c r="J598" i="10"/>
  <c r="J578" i="10"/>
  <c r="J558" i="10"/>
  <c r="J538" i="10"/>
  <c r="J518" i="10"/>
  <c r="J498" i="10"/>
  <c r="J478" i="10"/>
  <c r="J458" i="10"/>
  <c r="J438" i="10"/>
  <c r="J418" i="10"/>
  <c r="J398" i="10"/>
  <c r="J378" i="10"/>
  <c r="J358" i="10"/>
  <c r="J338" i="10"/>
  <c r="J318" i="10"/>
  <c r="J298" i="10"/>
  <c r="J278" i="10"/>
  <c r="J258" i="10"/>
  <c r="J238" i="10"/>
  <c r="J218" i="10"/>
  <c r="J198" i="10"/>
  <c r="J178" i="10"/>
  <c r="J158" i="10"/>
  <c r="J138" i="10"/>
  <c r="J118" i="10"/>
  <c r="J98" i="10"/>
  <c r="J78" i="10"/>
  <c r="J58" i="10"/>
  <c r="J38" i="10"/>
  <c r="J18" i="10"/>
  <c r="J683" i="10"/>
  <c r="J483" i="10"/>
  <c r="J143" i="10"/>
  <c r="J999" i="10"/>
  <c r="J919" i="10"/>
  <c r="J819" i="10"/>
  <c r="J739" i="10"/>
  <c r="J639" i="10"/>
  <c r="J519" i="10"/>
  <c r="J419" i="10"/>
  <c r="J299" i="10"/>
  <c r="J199" i="10"/>
  <c r="J99" i="10"/>
  <c r="J19" i="10"/>
  <c r="J997" i="10"/>
  <c r="J977" i="10"/>
  <c r="J957" i="10"/>
  <c r="J937" i="10"/>
  <c r="J917" i="10"/>
  <c r="J897" i="10"/>
  <c r="J877" i="10"/>
  <c r="J857" i="10"/>
  <c r="J837" i="10"/>
  <c r="J817" i="10"/>
  <c r="J797" i="10"/>
  <c r="J777" i="10"/>
  <c r="J757" i="10"/>
  <c r="J737" i="10"/>
  <c r="J717" i="10"/>
  <c r="J697" i="10"/>
  <c r="J677" i="10"/>
  <c r="J657" i="10"/>
  <c r="J637" i="10"/>
  <c r="J617" i="10"/>
  <c r="J597" i="10"/>
  <c r="J577" i="10"/>
  <c r="J557" i="10"/>
  <c r="J537" i="10"/>
  <c r="J517" i="10"/>
  <c r="J497" i="10"/>
  <c r="J477" i="10"/>
  <c r="J457" i="10"/>
  <c r="J437" i="10"/>
  <c r="J417" i="10"/>
  <c r="J397" i="10"/>
  <c r="J377" i="10"/>
  <c r="J357" i="10"/>
  <c r="J337" i="10"/>
  <c r="J317" i="10"/>
  <c r="J297" i="10"/>
  <c r="J277" i="10"/>
  <c r="J257" i="10"/>
  <c r="J237" i="10"/>
  <c r="J217" i="10"/>
  <c r="J197" i="10"/>
  <c r="J177" i="10"/>
  <c r="J157" i="10"/>
  <c r="J137" i="10"/>
  <c r="J117" i="10"/>
  <c r="J97" i="10"/>
  <c r="J77" i="10"/>
  <c r="J57" i="10"/>
  <c r="J37" i="10"/>
  <c r="J17" i="10"/>
  <c r="J243" i="10"/>
  <c r="J979" i="10"/>
  <c r="J659" i="10"/>
  <c r="J339" i="10"/>
  <c r="J39" i="10"/>
  <c r="J996" i="10"/>
  <c r="J956" i="10"/>
  <c r="J916" i="10"/>
  <c r="J876" i="10"/>
  <c r="J856" i="10"/>
  <c r="J836" i="10"/>
  <c r="J796" i="10"/>
  <c r="J776" i="10"/>
  <c r="J756" i="10"/>
  <c r="J736" i="10"/>
  <c r="J716" i="10"/>
  <c r="J696" i="10"/>
  <c r="J676" i="10"/>
  <c r="J656" i="10"/>
  <c r="J636" i="10"/>
  <c r="J616" i="10"/>
  <c r="J596" i="10"/>
  <c r="J576" i="10"/>
  <c r="J556" i="10"/>
  <c r="J536" i="10"/>
  <c r="J516" i="10"/>
  <c r="J496" i="10"/>
  <c r="J476" i="10"/>
  <c r="J456" i="10"/>
  <c r="J436" i="10"/>
  <c r="J416" i="10"/>
  <c r="J396" i="10"/>
  <c r="J376" i="10"/>
  <c r="J356" i="10"/>
  <c r="J336" i="10"/>
  <c r="J316" i="10"/>
  <c r="J296" i="10"/>
  <c r="J276" i="10"/>
  <c r="J256" i="10"/>
  <c r="J236" i="10"/>
  <c r="J216" i="10"/>
  <c r="J196" i="10"/>
  <c r="J176" i="10"/>
  <c r="J156" i="10"/>
  <c r="J136" i="10"/>
  <c r="J116" i="10"/>
  <c r="J96" i="10"/>
  <c r="J76" i="10"/>
  <c r="J56" i="10"/>
  <c r="J36" i="10"/>
  <c r="J16" i="10"/>
  <c r="J723" i="10"/>
  <c r="J543" i="10"/>
  <c r="J123" i="10"/>
  <c r="J939" i="10"/>
  <c r="J879" i="10"/>
  <c r="J839" i="10"/>
  <c r="J779" i="10"/>
  <c r="J719" i="10"/>
  <c r="J679" i="10"/>
  <c r="J599" i="10"/>
  <c r="J559" i="10"/>
  <c r="J499" i="10"/>
  <c r="J459" i="10"/>
  <c r="J399" i="10"/>
  <c r="J359" i="10"/>
  <c r="J279" i="10"/>
  <c r="J239" i="10"/>
  <c r="J179" i="10"/>
  <c r="J139" i="10"/>
  <c r="J79" i="10"/>
  <c r="J976" i="10"/>
  <c r="J936" i="10"/>
  <c r="J896" i="10"/>
  <c r="J816" i="10"/>
  <c r="J995" i="10"/>
  <c r="J975" i="10"/>
  <c r="J955" i="10"/>
  <c r="J935" i="10"/>
  <c r="J915" i="10"/>
  <c r="J895" i="10"/>
  <c r="J875" i="10"/>
  <c r="J855" i="10"/>
  <c r="J835" i="10"/>
  <c r="J815" i="10"/>
  <c r="J795" i="10"/>
  <c r="J775" i="10"/>
  <c r="J755" i="10"/>
  <c r="J735" i="10"/>
  <c r="J715" i="10"/>
  <c r="J695" i="10"/>
  <c r="J675" i="10"/>
  <c r="J655" i="10"/>
  <c r="J635" i="10"/>
  <c r="J615" i="10"/>
  <c r="J595" i="10"/>
  <c r="J575" i="10"/>
  <c r="J555" i="10"/>
  <c r="J535" i="10"/>
  <c r="J515" i="10"/>
  <c r="J495" i="10"/>
  <c r="J475" i="10"/>
  <c r="J455" i="10"/>
  <c r="J435" i="10"/>
  <c r="J415" i="10"/>
  <c r="J395" i="10"/>
  <c r="J375" i="10"/>
  <c r="J355" i="10"/>
  <c r="J335" i="10"/>
  <c r="J315" i="10"/>
  <c r="J295" i="10"/>
  <c r="J275" i="10"/>
  <c r="J255" i="10"/>
  <c r="J235" i="10"/>
  <c r="J215" i="10"/>
  <c r="J195" i="10"/>
  <c r="J175" i="10"/>
  <c r="J155" i="10"/>
  <c r="J135" i="10"/>
  <c r="J115" i="10"/>
  <c r="J95" i="10"/>
  <c r="J75" i="10"/>
  <c r="J55" i="10"/>
  <c r="J35" i="10"/>
  <c r="J15" i="10"/>
  <c r="J794" i="10"/>
  <c r="J754" i="10"/>
  <c r="J714" i="10"/>
  <c r="J694" i="10"/>
  <c r="J674" i="10"/>
  <c r="J634" i="10"/>
  <c r="J594" i="10"/>
  <c r="J554" i="10"/>
  <c r="J514" i="10"/>
  <c r="J474" i="10"/>
  <c r="J454" i="10"/>
  <c r="J414" i="10"/>
  <c r="J394" i="10"/>
  <c r="J354" i="10"/>
  <c r="J334" i="10"/>
  <c r="J294" i="10"/>
  <c r="J274" i="10"/>
  <c r="J254" i="10"/>
  <c r="J214" i="10"/>
  <c r="J194" i="10"/>
  <c r="J154" i="10"/>
  <c r="J134" i="10"/>
  <c r="J94" i="10"/>
  <c r="J74" i="10"/>
  <c r="J34" i="10"/>
  <c r="J993" i="10"/>
  <c r="J973" i="10"/>
  <c r="J953" i="10"/>
  <c r="J933" i="10"/>
  <c r="J913" i="10"/>
  <c r="J893" i="10"/>
  <c r="J873" i="10"/>
  <c r="J853" i="10"/>
  <c r="J833" i="10"/>
  <c r="J813" i="10"/>
  <c r="J793" i="10"/>
  <c r="J773" i="10"/>
  <c r="J753" i="10"/>
  <c r="J733" i="10"/>
  <c r="J713" i="10"/>
  <c r="J693" i="10"/>
  <c r="J673" i="10"/>
  <c r="J653" i="10"/>
  <c r="J633" i="10"/>
  <c r="J613" i="10"/>
  <c r="J593" i="10"/>
  <c r="J573" i="10"/>
  <c r="J553" i="10"/>
  <c r="J533" i="10"/>
  <c r="J513" i="10"/>
  <c r="J493" i="10"/>
  <c r="J473" i="10"/>
  <c r="J453" i="10"/>
  <c r="J433" i="10"/>
  <c r="J413" i="10"/>
  <c r="J393" i="10"/>
  <c r="J373" i="10"/>
  <c r="J353" i="10"/>
  <c r="J333" i="10"/>
  <c r="J313" i="10"/>
  <c r="J293" i="10"/>
  <c r="J273" i="10"/>
  <c r="J253" i="10"/>
  <c r="J233" i="10"/>
  <c r="J213" i="10"/>
  <c r="J193" i="10"/>
  <c r="J173" i="10"/>
  <c r="J153" i="10"/>
  <c r="J133" i="10"/>
  <c r="J113" i="10"/>
  <c r="J93" i="10"/>
  <c r="J73" i="10"/>
  <c r="J53" i="10"/>
  <c r="J33" i="10"/>
  <c r="J13" i="10"/>
  <c r="J774" i="10"/>
  <c r="J734" i="10"/>
  <c r="J654" i="10"/>
  <c r="J614" i="10"/>
  <c r="J574" i="10"/>
  <c r="J534" i="10"/>
  <c r="J494" i="10"/>
  <c r="J434" i="10"/>
  <c r="J374" i="10"/>
  <c r="J314" i="10"/>
  <c r="J234" i="10"/>
  <c r="J174" i="10"/>
  <c r="J114" i="10"/>
  <c r="J54" i="10"/>
  <c r="J14" i="10"/>
  <c r="J992" i="10"/>
  <c r="J972" i="10"/>
  <c r="J952" i="10"/>
  <c r="J932" i="10"/>
  <c r="J912" i="10"/>
  <c r="J892" i="10"/>
  <c r="J872" i="10"/>
  <c r="J852" i="10"/>
  <c r="J832" i="10"/>
  <c r="J812" i="10"/>
  <c r="J792" i="10"/>
  <c r="J772" i="10"/>
  <c r="J752" i="10"/>
  <c r="J732" i="10"/>
  <c r="J712" i="10"/>
  <c r="J692" i="10"/>
  <c r="J672" i="10"/>
  <c r="J652" i="10"/>
  <c r="J632" i="10"/>
  <c r="J612" i="10"/>
  <c r="J592" i="10"/>
  <c r="J572" i="10"/>
  <c r="J552" i="10"/>
  <c r="J532" i="10"/>
  <c r="J512" i="10"/>
  <c r="J492" i="10"/>
  <c r="J472" i="10"/>
  <c r="J452" i="10"/>
  <c r="J432" i="10"/>
  <c r="J412" i="10"/>
  <c r="J392" i="10"/>
  <c r="J372" i="10"/>
  <c r="J352" i="10"/>
  <c r="J332" i="10"/>
  <c r="J312" i="10"/>
  <c r="J292" i="10"/>
  <c r="J272" i="10"/>
  <c r="J252" i="10"/>
  <c r="J232" i="10"/>
  <c r="J212" i="10"/>
  <c r="J192" i="10"/>
  <c r="J172" i="10"/>
  <c r="J152" i="10"/>
  <c r="J132" i="10"/>
  <c r="J112" i="10"/>
  <c r="J92" i="10"/>
  <c r="J72" i="10"/>
  <c r="J52" i="10"/>
  <c r="J32" i="10"/>
  <c r="J12" i="10"/>
  <c r="M47" i="10"/>
  <c r="N47" i="10" s="1"/>
  <c r="M14" i="10"/>
  <c r="N14" i="10" s="1"/>
  <c r="J110" i="10"/>
  <c r="J90" i="10"/>
  <c r="J70" i="10"/>
  <c r="J50" i="10"/>
  <c r="J30" i="10"/>
  <c r="J10" i="10"/>
  <c r="J929" i="10"/>
  <c r="J909" i="10"/>
  <c r="J889" i="10"/>
  <c r="J869" i="10"/>
  <c r="J849" i="10"/>
  <c r="J829" i="10"/>
  <c r="J809" i="10"/>
  <c r="J789" i="10"/>
  <c r="J769" i="10"/>
  <c r="J749" i="10"/>
  <c r="J729" i="10"/>
  <c r="J709" i="10"/>
  <c r="J689" i="10"/>
  <c r="J669" i="10"/>
  <c r="J649" i="10"/>
  <c r="J629" i="10"/>
  <c r="J609" i="10"/>
  <c r="J589" i="10"/>
  <c r="J569" i="10"/>
  <c r="J549" i="10"/>
  <c r="J529" i="10"/>
  <c r="J509" i="10"/>
  <c r="J489" i="10"/>
  <c r="J469" i="10"/>
  <c r="J449" i="10"/>
  <c r="J429" i="10"/>
  <c r="J409" i="10"/>
  <c r="J389" i="10"/>
  <c r="J369" i="10"/>
  <c r="J349" i="10"/>
  <c r="J329" i="10"/>
  <c r="J309" i="10"/>
  <c r="J289" i="10"/>
  <c r="J269" i="10"/>
  <c r="J249" i="10"/>
  <c r="J229" i="10"/>
  <c r="J209" i="10"/>
  <c r="J189" i="10"/>
  <c r="J169" i="10"/>
  <c r="J149" i="10"/>
  <c r="J129" i="10"/>
  <c r="J109" i="10"/>
  <c r="J89" i="10"/>
  <c r="J69" i="10"/>
  <c r="J49" i="10"/>
  <c r="J29" i="10"/>
  <c r="J9" i="10"/>
  <c r="J989" i="10"/>
  <c r="J969" i="10"/>
  <c r="J949" i="10"/>
  <c r="J8" i="10"/>
  <c r="J988" i="10"/>
  <c r="J968" i="10"/>
  <c r="J948" i="10"/>
  <c r="J928" i="10"/>
  <c r="J908" i="10"/>
  <c r="J888" i="10"/>
  <c r="J868" i="10"/>
  <c r="J848" i="10"/>
  <c r="J828" i="10"/>
  <c r="J808" i="10"/>
  <c r="J788" i="10"/>
  <c r="J768" i="10"/>
  <c r="J748" i="10"/>
  <c r="J728" i="10"/>
  <c r="J708" i="10"/>
  <c r="J688" i="10"/>
  <c r="J668" i="10"/>
  <c r="J648" i="10"/>
  <c r="J628" i="10"/>
  <c r="J608" i="10"/>
  <c r="J588" i="10"/>
  <c r="J568" i="10"/>
  <c r="J548" i="10"/>
  <c r="J528" i="10"/>
  <c r="J508" i="10"/>
  <c r="J488" i="10"/>
  <c r="J468" i="10"/>
  <c r="J448" i="10"/>
  <c r="J428" i="10"/>
  <c r="J408" i="10"/>
  <c r="J388" i="10"/>
  <c r="J368" i="10"/>
  <c r="J348" i="10"/>
  <c r="J328" i="10"/>
  <c r="J308" i="10"/>
  <c r="J288" i="10"/>
  <c r="J268" i="10"/>
  <c r="J248" i="10"/>
  <c r="J228" i="10"/>
  <c r="J208" i="10"/>
  <c r="J188" i="10"/>
  <c r="J168" i="10"/>
  <c r="J148" i="10"/>
  <c r="J128" i="10"/>
  <c r="J108" i="10"/>
  <c r="J88" i="10"/>
  <c r="J68" i="10"/>
  <c r="J48" i="10"/>
  <c r="J28" i="10"/>
  <c r="M300" i="10"/>
  <c r="N300" i="10" s="1"/>
  <c r="M292" i="10"/>
  <c r="N292" i="10" s="1"/>
  <c r="M284" i="10"/>
  <c r="N284" i="10" s="1"/>
  <c r="M276" i="10"/>
  <c r="N276" i="10" s="1"/>
  <c r="M268" i="10"/>
  <c r="N268" i="10" s="1"/>
  <c r="M260" i="10"/>
  <c r="N260" i="10" s="1"/>
  <c r="M252" i="10"/>
  <c r="N252" i="10" s="1"/>
  <c r="M244" i="10"/>
  <c r="N244" i="10" s="1"/>
  <c r="M236" i="10"/>
  <c r="N236" i="10" s="1"/>
  <c r="M228" i="10"/>
  <c r="N228" i="10" s="1"/>
  <c r="M220" i="10"/>
  <c r="N220" i="10" s="1"/>
  <c r="M212" i="10"/>
  <c r="N212" i="10" s="1"/>
  <c r="M204" i="10"/>
  <c r="N204" i="10" s="1"/>
  <c r="M196" i="10"/>
  <c r="N196" i="10" s="1"/>
  <c r="M188" i="10"/>
  <c r="N188" i="10" s="1"/>
  <c r="M180" i="10"/>
  <c r="N180" i="10" s="1"/>
  <c r="M172" i="10"/>
  <c r="N172" i="10" s="1"/>
  <c r="M164" i="10"/>
  <c r="N164" i="10" s="1"/>
  <c r="M156" i="10"/>
  <c r="N156" i="10" s="1"/>
  <c r="M148" i="10"/>
  <c r="N148" i="10" s="1"/>
  <c r="M140" i="10"/>
  <c r="N140" i="10" s="1"/>
  <c r="M132" i="10"/>
  <c r="N132" i="10" s="1"/>
  <c r="M124" i="10"/>
  <c r="N124" i="10" s="1"/>
  <c r="M116" i="10"/>
  <c r="N116" i="10" s="1"/>
  <c r="M108" i="10"/>
  <c r="N108" i="10" s="1"/>
  <c r="M100" i="10"/>
  <c r="N100" i="10" s="1"/>
  <c r="M92" i="10"/>
  <c r="N92" i="10" s="1"/>
  <c r="M84" i="10"/>
  <c r="N84" i="10" s="1"/>
  <c r="M76" i="10"/>
  <c r="N76" i="10" s="1"/>
  <c r="M68" i="10"/>
  <c r="N68" i="10" s="1"/>
  <c r="M60" i="10"/>
  <c r="N60" i="10" s="1"/>
  <c r="M52" i="10"/>
  <c r="N52" i="10" s="1"/>
  <c r="M44" i="10"/>
  <c r="N44" i="10" s="1"/>
  <c r="M36" i="10"/>
  <c r="N36" i="10" s="1"/>
  <c r="M28" i="10"/>
  <c r="N28" i="10" s="1"/>
  <c r="M20" i="10"/>
  <c r="N20" i="10" s="1"/>
  <c r="M12" i="10"/>
  <c r="N12" i="10" s="1"/>
  <c r="M239" i="10"/>
  <c r="N239" i="10" s="1"/>
  <c r="M199" i="10"/>
  <c r="N199" i="10" s="1"/>
  <c r="M143" i="10"/>
  <c r="N143" i="10" s="1"/>
  <c r="M103" i="10"/>
  <c r="N103" i="10" s="1"/>
  <c r="M55" i="10"/>
  <c r="N55" i="10" s="1"/>
  <c r="M8" i="10"/>
  <c r="N8" i="10" s="1"/>
  <c r="M299" i="10"/>
  <c r="N299" i="10" s="1"/>
  <c r="M291" i="10"/>
  <c r="N291" i="10" s="1"/>
  <c r="M283" i="10"/>
  <c r="N283" i="10" s="1"/>
  <c r="M275" i="10"/>
  <c r="N275" i="10" s="1"/>
  <c r="M267" i="10"/>
  <c r="N267" i="10" s="1"/>
  <c r="M259" i="10"/>
  <c r="N259" i="10" s="1"/>
  <c r="M251" i="10"/>
  <c r="N251" i="10" s="1"/>
  <c r="M243" i="10"/>
  <c r="N243" i="10" s="1"/>
  <c r="M235" i="10"/>
  <c r="N235" i="10" s="1"/>
  <c r="M227" i="10"/>
  <c r="N227" i="10" s="1"/>
  <c r="M219" i="10"/>
  <c r="N219" i="10" s="1"/>
  <c r="M211" i="10"/>
  <c r="N211" i="10" s="1"/>
  <c r="M203" i="10"/>
  <c r="N203" i="10" s="1"/>
  <c r="M195" i="10"/>
  <c r="N195" i="10" s="1"/>
  <c r="M187" i="10"/>
  <c r="N187" i="10" s="1"/>
  <c r="M179" i="10"/>
  <c r="N179" i="10" s="1"/>
  <c r="M171" i="10"/>
  <c r="N171" i="10" s="1"/>
  <c r="M163" i="10"/>
  <c r="N163" i="10" s="1"/>
  <c r="M155" i="10"/>
  <c r="N155" i="10" s="1"/>
  <c r="M147" i="10"/>
  <c r="N147" i="10" s="1"/>
  <c r="M139" i="10"/>
  <c r="N139" i="10" s="1"/>
  <c r="M131" i="10"/>
  <c r="N131" i="10" s="1"/>
  <c r="M123" i="10"/>
  <c r="N123" i="10" s="1"/>
  <c r="M115" i="10"/>
  <c r="N115" i="10" s="1"/>
  <c r="M107" i="10"/>
  <c r="N107" i="10" s="1"/>
  <c r="M99" i="10"/>
  <c r="N99" i="10" s="1"/>
  <c r="M91" i="10"/>
  <c r="N91" i="10" s="1"/>
  <c r="M83" i="10"/>
  <c r="N83" i="10" s="1"/>
  <c r="M75" i="10"/>
  <c r="N75" i="10" s="1"/>
  <c r="M67" i="10"/>
  <c r="N67" i="10" s="1"/>
  <c r="M59" i="10"/>
  <c r="N59" i="10" s="1"/>
  <c r="M51" i="10"/>
  <c r="N51" i="10" s="1"/>
  <c r="M43" i="10"/>
  <c r="N43" i="10" s="1"/>
  <c r="M35" i="10"/>
  <c r="N35" i="10" s="1"/>
  <c r="M27" i="10"/>
  <c r="N27" i="10" s="1"/>
  <c r="M19" i="10"/>
  <c r="N19" i="10" s="1"/>
  <c r="M11" i="10"/>
  <c r="N11" i="10" s="1"/>
  <c r="M306" i="10"/>
  <c r="N306" i="10" s="1"/>
  <c r="M298" i="10"/>
  <c r="N298" i="10" s="1"/>
  <c r="M290" i="10"/>
  <c r="N290" i="10" s="1"/>
  <c r="M282" i="10"/>
  <c r="N282" i="10" s="1"/>
  <c r="M274" i="10"/>
  <c r="N274" i="10" s="1"/>
  <c r="M266" i="10"/>
  <c r="N266" i="10" s="1"/>
  <c r="M258" i="10"/>
  <c r="N258" i="10" s="1"/>
  <c r="M250" i="10"/>
  <c r="N250" i="10" s="1"/>
  <c r="M242" i="10"/>
  <c r="N242" i="10" s="1"/>
  <c r="M234" i="10"/>
  <c r="N234" i="10" s="1"/>
  <c r="M226" i="10"/>
  <c r="N226" i="10" s="1"/>
  <c r="M218" i="10"/>
  <c r="N218" i="10" s="1"/>
  <c r="M210" i="10"/>
  <c r="N210" i="10" s="1"/>
  <c r="M202" i="10"/>
  <c r="N202" i="10" s="1"/>
  <c r="M194" i="10"/>
  <c r="N194" i="10" s="1"/>
  <c r="M186" i="10"/>
  <c r="N186" i="10" s="1"/>
  <c r="M178" i="10"/>
  <c r="N178" i="10" s="1"/>
  <c r="M170" i="10"/>
  <c r="N170" i="10" s="1"/>
  <c r="M162" i="10"/>
  <c r="N162" i="10" s="1"/>
  <c r="M154" i="10"/>
  <c r="N154" i="10" s="1"/>
  <c r="M146" i="10"/>
  <c r="N146" i="10" s="1"/>
  <c r="M138" i="10"/>
  <c r="N138" i="10" s="1"/>
  <c r="M130" i="10"/>
  <c r="N130" i="10" s="1"/>
  <c r="M122" i="10"/>
  <c r="N122" i="10" s="1"/>
  <c r="M114" i="10"/>
  <c r="N114" i="10" s="1"/>
  <c r="M106" i="10"/>
  <c r="N106" i="10" s="1"/>
  <c r="M98" i="10"/>
  <c r="N98" i="10" s="1"/>
  <c r="M90" i="10"/>
  <c r="N90" i="10" s="1"/>
  <c r="M82" i="10"/>
  <c r="N82" i="10" s="1"/>
  <c r="M74" i="10"/>
  <c r="N74" i="10" s="1"/>
  <c r="M66" i="10"/>
  <c r="N66" i="10" s="1"/>
  <c r="M58" i="10"/>
  <c r="N58" i="10" s="1"/>
  <c r="M50" i="10"/>
  <c r="N50" i="10" s="1"/>
  <c r="M42" i="10"/>
  <c r="N42" i="10" s="1"/>
  <c r="M34" i="10"/>
  <c r="N34" i="10" s="1"/>
  <c r="M26" i="10"/>
  <c r="N26" i="10" s="1"/>
  <c r="M18" i="10"/>
  <c r="N18" i="10" s="1"/>
  <c r="M10" i="10"/>
  <c r="N10" i="10" s="1"/>
  <c r="M271" i="10"/>
  <c r="N271" i="10" s="1"/>
  <c r="M223" i="10"/>
  <c r="N223" i="10" s="1"/>
  <c r="M175" i="10"/>
  <c r="N175" i="10" s="1"/>
  <c r="M127" i="10"/>
  <c r="N127" i="10" s="1"/>
  <c r="M87" i="10"/>
  <c r="N87" i="10" s="1"/>
  <c r="M31" i="10"/>
  <c r="N31" i="10" s="1"/>
  <c r="M305" i="10"/>
  <c r="N305" i="10" s="1"/>
  <c r="M297" i="10"/>
  <c r="N297" i="10" s="1"/>
  <c r="M289" i="10"/>
  <c r="N289" i="10" s="1"/>
  <c r="M281" i="10"/>
  <c r="N281" i="10" s="1"/>
  <c r="M273" i="10"/>
  <c r="N273" i="10" s="1"/>
  <c r="M265" i="10"/>
  <c r="N265" i="10" s="1"/>
  <c r="M257" i="10"/>
  <c r="N257" i="10" s="1"/>
  <c r="M249" i="10"/>
  <c r="N249" i="10" s="1"/>
  <c r="M241" i="10"/>
  <c r="N241" i="10" s="1"/>
  <c r="M233" i="10"/>
  <c r="N233" i="10" s="1"/>
  <c r="M225" i="10"/>
  <c r="N225" i="10" s="1"/>
  <c r="M217" i="10"/>
  <c r="N217" i="10" s="1"/>
  <c r="M209" i="10"/>
  <c r="N209" i="10" s="1"/>
  <c r="M201" i="10"/>
  <c r="N201" i="10" s="1"/>
  <c r="M193" i="10"/>
  <c r="N193" i="10" s="1"/>
  <c r="M185" i="10"/>
  <c r="N185" i="10" s="1"/>
  <c r="M177" i="10"/>
  <c r="N177" i="10" s="1"/>
  <c r="M169" i="10"/>
  <c r="N169" i="10" s="1"/>
  <c r="M161" i="10"/>
  <c r="N161" i="10" s="1"/>
  <c r="M153" i="10"/>
  <c r="N153" i="10" s="1"/>
  <c r="M145" i="10"/>
  <c r="N145" i="10" s="1"/>
  <c r="M137" i="10"/>
  <c r="N137" i="10" s="1"/>
  <c r="M129" i="10"/>
  <c r="N129" i="10" s="1"/>
  <c r="M121" i="10"/>
  <c r="N121" i="10" s="1"/>
  <c r="M113" i="10"/>
  <c r="N113" i="10" s="1"/>
  <c r="M105" i="10"/>
  <c r="N105" i="10" s="1"/>
  <c r="M97" i="10"/>
  <c r="N97" i="10" s="1"/>
  <c r="M89" i="10"/>
  <c r="N89" i="10" s="1"/>
  <c r="M81" i="10"/>
  <c r="N81" i="10" s="1"/>
  <c r="M73" i="10"/>
  <c r="N73" i="10" s="1"/>
  <c r="M65" i="10"/>
  <c r="N65" i="10" s="1"/>
  <c r="M57" i="10"/>
  <c r="N57" i="10" s="1"/>
  <c r="M49" i="10"/>
  <c r="N49" i="10" s="1"/>
  <c r="M41" i="10"/>
  <c r="N41" i="10" s="1"/>
  <c r="M33" i="10"/>
  <c r="N33" i="10" s="1"/>
  <c r="M25" i="10"/>
  <c r="N25" i="10" s="1"/>
  <c r="M17" i="10"/>
  <c r="N17" i="10" s="1"/>
  <c r="M9" i="10"/>
  <c r="N9" i="10" s="1"/>
  <c r="M279" i="10"/>
  <c r="N279" i="10" s="1"/>
  <c r="M215" i="10"/>
  <c r="N215" i="10" s="1"/>
  <c r="M183" i="10"/>
  <c r="N183" i="10" s="1"/>
  <c r="M135" i="10"/>
  <c r="N135" i="10" s="1"/>
  <c r="M95" i="10"/>
  <c r="N95" i="10" s="1"/>
  <c r="M23" i="10"/>
  <c r="N23" i="10" s="1"/>
  <c r="M304" i="10"/>
  <c r="N304" i="10" s="1"/>
  <c r="M296" i="10"/>
  <c r="N296" i="10" s="1"/>
  <c r="M288" i="10"/>
  <c r="N288" i="10" s="1"/>
  <c r="M280" i="10"/>
  <c r="N280" i="10" s="1"/>
  <c r="M272" i="10"/>
  <c r="N272" i="10" s="1"/>
  <c r="M264" i="10"/>
  <c r="N264" i="10" s="1"/>
  <c r="M256" i="10"/>
  <c r="N256" i="10" s="1"/>
  <c r="M248" i="10"/>
  <c r="N248" i="10" s="1"/>
  <c r="M240" i="10"/>
  <c r="N240" i="10" s="1"/>
  <c r="M232" i="10"/>
  <c r="N232" i="10" s="1"/>
  <c r="M224" i="10"/>
  <c r="N224" i="10" s="1"/>
  <c r="M216" i="10"/>
  <c r="N216" i="10" s="1"/>
  <c r="M208" i="10"/>
  <c r="N208" i="10" s="1"/>
  <c r="M200" i="10"/>
  <c r="N200" i="10" s="1"/>
  <c r="M192" i="10"/>
  <c r="N192" i="10" s="1"/>
  <c r="M184" i="10"/>
  <c r="N184" i="10" s="1"/>
  <c r="M176" i="10"/>
  <c r="N176" i="10" s="1"/>
  <c r="M168" i="10"/>
  <c r="N168" i="10" s="1"/>
  <c r="M160" i="10"/>
  <c r="N160" i="10" s="1"/>
  <c r="M152" i="10"/>
  <c r="N152" i="10" s="1"/>
  <c r="M144" i="10"/>
  <c r="N144" i="10" s="1"/>
  <c r="M136" i="10"/>
  <c r="N136" i="10" s="1"/>
  <c r="M128" i="10"/>
  <c r="N128" i="10" s="1"/>
  <c r="M120" i="10"/>
  <c r="N120" i="10" s="1"/>
  <c r="M112" i="10"/>
  <c r="N112" i="10" s="1"/>
  <c r="M104" i="10"/>
  <c r="N104" i="10" s="1"/>
  <c r="M96" i="10"/>
  <c r="N96" i="10" s="1"/>
  <c r="M88" i="10"/>
  <c r="N88" i="10" s="1"/>
  <c r="M80" i="10"/>
  <c r="N80" i="10" s="1"/>
  <c r="M72" i="10"/>
  <c r="N72" i="10" s="1"/>
  <c r="M64" i="10"/>
  <c r="N64" i="10" s="1"/>
  <c r="M56" i="10"/>
  <c r="N56" i="10" s="1"/>
  <c r="M48" i="10"/>
  <c r="N48" i="10" s="1"/>
  <c r="M40" i="10"/>
  <c r="N40" i="10" s="1"/>
  <c r="M32" i="10"/>
  <c r="N32" i="10" s="1"/>
  <c r="M24" i="10"/>
  <c r="N24" i="10" s="1"/>
  <c r="M16" i="10"/>
  <c r="N16" i="10" s="1"/>
  <c r="M247" i="10"/>
  <c r="N247" i="10" s="1"/>
  <c r="M167" i="10"/>
  <c r="N167" i="10" s="1"/>
  <c r="M15" i="10"/>
  <c r="N15" i="10" s="1"/>
  <c r="M255" i="10"/>
  <c r="N255" i="10" s="1"/>
  <c r="M207" i="10"/>
  <c r="N207" i="10" s="1"/>
  <c r="M159" i="10"/>
  <c r="N159" i="10" s="1"/>
  <c r="M119" i="10"/>
  <c r="N119" i="10" s="1"/>
  <c r="M79" i="10"/>
  <c r="N79" i="10" s="1"/>
  <c r="M63" i="10"/>
  <c r="N63" i="10" s="1"/>
  <c r="M39" i="10"/>
  <c r="N39" i="10" s="1"/>
  <c r="M302" i="10"/>
  <c r="N302" i="10" s="1"/>
  <c r="M294" i="10"/>
  <c r="N294" i="10" s="1"/>
  <c r="M286" i="10"/>
  <c r="N286" i="10" s="1"/>
  <c r="M278" i="10"/>
  <c r="N278" i="10" s="1"/>
  <c r="M270" i="10"/>
  <c r="N270" i="10" s="1"/>
  <c r="M262" i="10"/>
  <c r="N262" i="10" s="1"/>
  <c r="M254" i="10"/>
  <c r="N254" i="10" s="1"/>
  <c r="M246" i="10"/>
  <c r="N246" i="10" s="1"/>
  <c r="M238" i="10"/>
  <c r="N238" i="10" s="1"/>
  <c r="M230" i="10"/>
  <c r="N230" i="10" s="1"/>
  <c r="M222" i="10"/>
  <c r="N222" i="10" s="1"/>
  <c r="M214" i="10"/>
  <c r="N214" i="10" s="1"/>
  <c r="M206" i="10"/>
  <c r="N206" i="10" s="1"/>
  <c r="M198" i="10"/>
  <c r="N198" i="10" s="1"/>
  <c r="M190" i="10"/>
  <c r="N190" i="10" s="1"/>
  <c r="M182" i="10"/>
  <c r="N182" i="10" s="1"/>
  <c r="M174" i="10"/>
  <c r="N174" i="10" s="1"/>
  <c r="M166" i="10"/>
  <c r="N166" i="10" s="1"/>
  <c r="M158" i="10"/>
  <c r="N158" i="10" s="1"/>
  <c r="M150" i="10"/>
  <c r="N150" i="10" s="1"/>
  <c r="M142" i="10"/>
  <c r="N142" i="10" s="1"/>
  <c r="M134" i="10"/>
  <c r="N134" i="10" s="1"/>
  <c r="M126" i="10"/>
  <c r="N126" i="10" s="1"/>
  <c r="M118" i="10"/>
  <c r="N118" i="10" s="1"/>
  <c r="M110" i="10"/>
  <c r="N110" i="10" s="1"/>
  <c r="M102" i="10"/>
  <c r="N102" i="10" s="1"/>
  <c r="M94" i="10"/>
  <c r="N94" i="10" s="1"/>
  <c r="M86" i="10"/>
  <c r="N86" i="10" s="1"/>
  <c r="M78" i="10"/>
  <c r="N78" i="10" s="1"/>
  <c r="M70" i="10"/>
  <c r="N70" i="10" s="1"/>
  <c r="M62" i="10"/>
  <c r="N62" i="10" s="1"/>
  <c r="M54" i="10"/>
  <c r="N54" i="10" s="1"/>
  <c r="M46" i="10"/>
  <c r="N46" i="10" s="1"/>
  <c r="M38" i="10"/>
  <c r="N38" i="10" s="1"/>
  <c r="M30" i="10"/>
  <c r="N30" i="10" s="1"/>
  <c r="M22" i="10"/>
  <c r="N22" i="10" s="1"/>
  <c r="M263" i="10"/>
  <c r="N263" i="10" s="1"/>
  <c r="M231" i="10"/>
  <c r="N231" i="10" s="1"/>
  <c r="M191" i="10"/>
  <c r="N191" i="10" s="1"/>
  <c r="M151" i="10"/>
  <c r="N151" i="10" s="1"/>
  <c r="M111" i="10"/>
  <c r="N111" i="10" s="1"/>
  <c r="M71" i="10"/>
  <c r="N71" i="10" s="1"/>
  <c r="M301" i="10"/>
  <c r="N301" i="10" s="1"/>
  <c r="M293" i="10"/>
  <c r="N293" i="10" s="1"/>
  <c r="M285" i="10"/>
  <c r="N285" i="10" s="1"/>
  <c r="M277" i="10"/>
  <c r="N277" i="10" s="1"/>
  <c r="M269" i="10"/>
  <c r="N269" i="10" s="1"/>
  <c r="M261" i="10"/>
  <c r="N261" i="10" s="1"/>
  <c r="M253" i="10"/>
  <c r="N253" i="10" s="1"/>
  <c r="M245" i="10"/>
  <c r="N245" i="10" s="1"/>
  <c r="M237" i="10"/>
  <c r="N237" i="10" s="1"/>
  <c r="M229" i="10"/>
  <c r="N229" i="10" s="1"/>
  <c r="M221" i="10"/>
  <c r="N221" i="10" s="1"/>
  <c r="M213" i="10"/>
  <c r="N213" i="10" s="1"/>
  <c r="M205" i="10"/>
  <c r="N205" i="10" s="1"/>
  <c r="M197" i="10"/>
  <c r="N197" i="10" s="1"/>
  <c r="M189" i="10"/>
  <c r="N189" i="10" s="1"/>
  <c r="M181" i="10"/>
  <c r="N181" i="10" s="1"/>
  <c r="M173" i="10"/>
  <c r="N173" i="10" s="1"/>
  <c r="M165" i="10"/>
  <c r="N165" i="10" s="1"/>
  <c r="M157" i="10"/>
  <c r="N157" i="10" s="1"/>
  <c r="M149" i="10"/>
  <c r="N149" i="10" s="1"/>
  <c r="M141" i="10"/>
  <c r="N141" i="10" s="1"/>
  <c r="M133" i="10"/>
  <c r="N133" i="10" s="1"/>
  <c r="M125" i="10"/>
  <c r="N125" i="10" s="1"/>
  <c r="M117" i="10"/>
  <c r="N117" i="10" s="1"/>
  <c r="M109" i="10"/>
  <c r="N109" i="10" s="1"/>
  <c r="M101" i="10"/>
  <c r="N101" i="10" s="1"/>
  <c r="M93" i="10"/>
  <c r="N93" i="10" s="1"/>
  <c r="M85" i="10"/>
  <c r="N85" i="10" s="1"/>
  <c r="M77" i="10"/>
  <c r="N77" i="10" s="1"/>
  <c r="M69" i="10"/>
  <c r="N69" i="10" s="1"/>
  <c r="M61" i="10"/>
  <c r="N61" i="10" s="1"/>
  <c r="M53" i="10"/>
  <c r="N53" i="10" s="1"/>
  <c r="M45" i="10"/>
  <c r="N45" i="10" s="1"/>
  <c r="M37" i="10"/>
  <c r="N37" i="10" s="1"/>
  <c r="M29" i="10"/>
  <c r="N29" i="10" s="1"/>
  <c r="M21" i="10"/>
  <c r="N21" i="10" s="1"/>
  <c r="E39" i="8" l="1"/>
  <c r="E38" i="8"/>
  <c r="E37" i="8"/>
  <c r="E36" i="8"/>
  <c r="E44" i="8" l="1"/>
  <c r="E43" i="8"/>
  <c r="E42" i="8"/>
  <c r="E41" i="8"/>
  <c r="E19" i="8"/>
  <c r="E18" i="8"/>
  <c r="E17" i="8"/>
  <c r="O8" i="40" l="1"/>
  <c r="L8" i="40"/>
  <c r="M8" i="40"/>
  <c r="N8" i="40"/>
  <c r="P8" i="40"/>
  <c r="Q8" i="40"/>
  <c r="AE8" i="40"/>
  <c r="AD8" i="40"/>
  <c r="AC8" i="40"/>
  <c r="AB8" i="40"/>
  <c r="AA8" i="40"/>
  <c r="Z8" i="40"/>
  <c r="Y8" i="40"/>
  <c r="X8" i="40"/>
  <c r="W8" i="40"/>
  <c r="V8" i="40"/>
  <c r="U8" i="40"/>
  <c r="T8" i="40"/>
  <c r="S8" i="40"/>
  <c r="R8" i="40"/>
  <c r="Y30" i="4" l="1"/>
  <c r="Y29" i="4" l="1"/>
  <c r="Y28" i="4"/>
  <c r="Y34" i="4"/>
  <c r="Y32" i="4"/>
  <c r="Y33" i="4"/>
  <c r="Y31" i="4"/>
  <c r="Y27" i="4"/>
  <c r="E16" i="8"/>
  <c r="G39" i="6"/>
  <c r="H35" i="4"/>
  <c r="I25" i="4"/>
  <c r="L27" i="4" l="1"/>
  <c r="M27" i="4" s="1"/>
  <c r="O27" i="4" s="1"/>
  <c r="L29" i="4"/>
  <c r="M29" i="4" s="1"/>
  <c r="L30" i="4"/>
  <c r="L33" i="4"/>
  <c r="M33" i="4" s="1"/>
  <c r="L28" i="4"/>
  <c r="M28" i="4" s="1"/>
  <c r="O28" i="4" s="1"/>
  <c r="L31" i="4"/>
  <c r="M31" i="4" s="1"/>
  <c r="L32" i="4"/>
  <c r="M32" i="4" s="1"/>
  <c r="L34" i="4"/>
  <c r="M34" i="4" s="1"/>
  <c r="O33" i="4" l="1"/>
  <c r="O34" i="4"/>
  <c r="O32" i="4"/>
  <c r="O29" i="4"/>
  <c r="M30" i="4"/>
  <c r="O30" i="4" s="1"/>
  <c r="O31" i="4"/>
  <c r="C31" i="4" s="1"/>
  <c r="C30" i="4" l="1"/>
  <c r="C29" i="4"/>
  <c r="C28" i="4"/>
  <c r="C27" i="4"/>
  <c r="C32" i="4" l="1"/>
  <c r="C34" i="4"/>
  <c r="C33" i="4"/>
  <c r="BE8" i="41" l="1"/>
  <c r="BD8" i="41"/>
  <c r="AS65" i="2" l="1"/>
  <c r="AP65" i="2"/>
  <c r="AM65" i="2"/>
  <c r="AJ65" i="2"/>
  <c r="AE78" i="40" l="1"/>
  <c r="AD78" i="40"/>
  <c r="AC78" i="40"/>
  <c r="AB78" i="40"/>
  <c r="AA78" i="40"/>
  <c r="Z78" i="40"/>
  <c r="Y78" i="40"/>
  <c r="X78" i="40"/>
  <c r="W78" i="40"/>
  <c r="V78" i="40"/>
  <c r="U78" i="40"/>
  <c r="T78" i="40"/>
  <c r="S78" i="40"/>
  <c r="R78" i="40"/>
  <c r="Q78" i="40"/>
  <c r="P78" i="40"/>
  <c r="O78" i="40"/>
  <c r="N78" i="40"/>
  <c r="M78" i="40"/>
  <c r="L78" i="40"/>
  <c r="AE77" i="40"/>
  <c r="AD77" i="40"/>
  <c r="AC77" i="40"/>
  <c r="AB77" i="40"/>
  <c r="AA77" i="40"/>
  <c r="Z77" i="40"/>
  <c r="Y77" i="40"/>
  <c r="X77" i="40"/>
  <c r="W77" i="40"/>
  <c r="V77" i="40"/>
  <c r="U77" i="40"/>
  <c r="T77" i="40"/>
  <c r="S77" i="40"/>
  <c r="R77" i="40"/>
  <c r="Q77" i="40"/>
  <c r="P77" i="40"/>
  <c r="O77" i="40"/>
  <c r="N77" i="40"/>
  <c r="M77" i="40"/>
  <c r="L77" i="40"/>
  <c r="AE76" i="40"/>
  <c r="AD76" i="40"/>
  <c r="AC76" i="40"/>
  <c r="AB76" i="40"/>
  <c r="AA76" i="40"/>
  <c r="Z76" i="40"/>
  <c r="Y76" i="40"/>
  <c r="X76" i="40"/>
  <c r="W76" i="40"/>
  <c r="V76" i="40"/>
  <c r="U76" i="40"/>
  <c r="T76" i="40"/>
  <c r="S76" i="40"/>
  <c r="R76" i="40"/>
  <c r="Q76" i="40"/>
  <c r="P76" i="40"/>
  <c r="O76" i="40"/>
  <c r="P76" i="41" s="1"/>
  <c r="N76" i="40"/>
  <c r="O76" i="41" s="1"/>
  <c r="M76" i="40"/>
  <c r="N76" i="41" s="1"/>
  <c r="L76" i="40"/>
  <c r="M76" i="41" s="1"/>
  <c r="AE75" i="40"/>
  <c r="AD75" i="40"/>
  <c r="AC75" i="40"/>
  <c r="AB75" i="40"/>
  <c r="AA75" i="40"/>
  <c r="Z75" i="40"/>
  <c r="Y75" i="40"/>
  <c r="X75" i="40"/>
  <c r="W75" i="40"/>
  <c r="V75" i="40"/>
  <c r="U75" i="40"/>
  <c r="T75" i="40"/>
  <c r="S75" i="40"/>
  <c r="R75" i="40"/>
  <c r="Q75" i="40"/>
  <c r="P75" i="40"/>
  <c r="O75" i="40"/>
  <c r="N75" i="40"/>
  <c r="M75" i="40"/>
  <c r="L75" i="40"/>
  <c r="AE74" i="40"/>
  <c r="AD74" i="40"/>
  <c r="AC74" i="40"/>
  <c r="AB74" i="40"/>
  <c r="AA74" i="40"/>
  <c r="Z74" i="40"/>
  <c r="Y74" i="40"/>
  <c r="X74" i="40"/>
  <c r="W74" i="40"/>
  <c r="V74" i="40"/>
  <c r="U74" i="40"/>
  <c r="T74" i="40"/>
  <c r="S74" i="40"/>
  <c r="R74" i="40"/>
  <c r="Q74" i="40"/>
  <c r="P74" i="40"/>
  <c r="O74" i="40"/>
  <c r="N74" i="40"/>
  <c r="M74" i="40"/>
  <c r="L74" i="40"/>
  <c r="AE73" i="40"/>
  <c r="AD73" i="40"/>
  <c r="AC73" i="40"/>
  <c r="AB73" i="40"/>
  <c r="AA73" i="40"/>
  <c r="Z73" i="40"/>
  <c r="Y73" i="40"/>
  <c r="X73" i="40"/>
  <c r="W73" i="40"/>
  <c r="V73" i="40"/>
  <c r="U73" i="40"/>
  <c r="T73" i="40"/>
  <c r="S73" i="40"/>
  <c r="R73" i="40"/>
  <c r="Q73" i="40"/>
  <c r="P73" i="40"/>
  <c r="O73" i="40"/>
  <c r="N73" i="40"/>
  <c r="O73" i="41" s="1"/>
  <c r="M73" i="40"/>
  <c r="L73" i="40"/>
  <c r="M73" i="41" s="1"/>
  <c r="AE72" i="40"/>
  <c r="AD72" i="40"/>
  <c r="AC72" i="40"/>
  <c r="AB72" i="40"/>
  <c r="AA72" i="40"/>
  <c r="Z72" i="40"/>
  <c r="Y72" i="40"/>
  <c r="X72" i="40"/>
  <c r="W72" i="40"/>
  <c r="V72" i="40"/>
  <c r="U72" i="40"/>
  <c r="T72" i="40"/>
  <c r="S72" i="40"/>
  <c r="R72" i="40"/>
  <c r="Q72" i="40"/>
  <c r="P72" i="40"/>
  <c r="O72" i="40"/>
  <c r="N72" i="40"/>
  <c r="M72" i="40"/>
  <c r="L72" i="40"/>
  <c r="AE71" i="40"/>
  <c r="AD71" i="40"/>
  <c r="AC71" i="40"/>
  <c r="AB71" i="40"/>
  <c r="AA71" i="40"/>
  <c r="Z71" i="40"/>
  <c r="Y71" i="40"/>
  <c r="X71" i="40"/>
  <c r="W71" i="40"/>
  <c r="V71" i="40"/>
  <c r="U71" i="40"/>
  <c r="T71" i="40"/>
  <c r="S71" i="40"/>
  <c r="R71" i="40"/>
  <c r="Q71" i="40"/>
  <c r="P71" i="40"/>
  <c r="O71" i="40"/>
  <c r="N71" i="40"/>
  <c r="M71" i="40"/>
  <c r="L71" i="40"/>
  <c r="AE70" i="40"/>
  <c r="AD70" i="40"/>
  <c r="AC70" i="40"/>
  <c r="AB70" i="40"/>
  <c r="AA70" i="40"/>
  <c r="Z70" i="40"/>
  <c r="Y70" i="40"/>
  <c r="X70" i="40"/>
  <c r="W70" i="40"/>
  <c r="V70" i="40"/>
  <c r="U70" i="40"/>
  <c r="T70" i="40"/>
  <c r="S70" i="40"/>
  <c r="R70" i="40"/>
  <c r="Q70" i="40"/>
  <c r="P70" i="40"/>
  <c r="O70" i="40"/>
  <c r="N70" i="40"/>
  <c r="M70" i="40"/>
  <c r="L70" i="40"/>
  <c r="M70" i="41" s="1"/>
  <c r="AE69" i="40"/>
  <c r="AD69" i="40"/>
  <c r="AC69" i="40"/>
  <c r="AB69" i="40"/>
  <c r="AA69" i="40"/>
  <c r="Z69" i="40"/>
  <c r="Y69" i="40"/>
  <c r="X69" i="40"/>
  <c r="W69" i="40"/>
  <c r="V69" i="40"/>
  <c r="U69" i="40"/>
  <c r="T69" i="40"/>
  <c r="S69" i="40"/>
  <c r="R69" i="40"/>
  <c r="Q69" i="40"/>
  <c r="P69" i="40"/>
  <c r="O69" i="40"/>
  <c r="N69" i="40"/>
  <c r="M69" i="40"/>
  <c r="L69" i="40"/>
  <c r="AE68" i="40"/>
  <c r="AD68" i="40"/>
  <c r="AC68" i="40"/>
  <c r="AB68" i="40"/>
  <c r="AA68" i="40"/>
  <c r="Z68" i="40"/>
  <c r="Y68" i="40"/>
  <c r="X68" i="40"/>
  <c r="W68" i="40"/>
  <c r="V68" i="40"/>
  <c r="U68" i="40"/>
  <c r="T68" i="40"/>
  <c r="S68" i="40"/>
  <c r="R68" i="40"/>
  <c r="Q68" i="40"/>
  <c r="P68" i="40"/>
  <c r="O68" i="40"/>
  <c r="N68" i="40"/>
  <c r="M68" i="40"/>
  <c r="L68" i="40"/>
  <c r="AE67" i="40"/>
  <c r="AD67" i="40"/>
  <c r="AC67" i="40"/>
  <c r="AB67" i="40"/>
  <c r="AA67" i="40"/>
  <c r="Z67" i="40"/>
  <c r="Y67" i="40"/>
  <c r="X67" i="40"/>
  <c r="W67" i="40"/>
  <c r="V67" i="40"/>
  <c r="U67" i="40"/>
  <c r="T67" i="40"/>
  <c r="S67" i="40"/>
  <c r="R67" i="40"/>
  <c r="Q67" i="40"/>
  <c r="P67" i="40"/>
  <c r="O67" i="40"/>
  <c r="N67" i="40"/>
  <c r="M67" i="40"/>
  <c r="L67" i="40"/>
  <c r="M67" i="41" s="1"/>
  <c r="AE66" i="40"/>
  <c r="AD66" i="40"/>
  <c r="AC66" i="40"/>
  <c r="AB66" i="40"/>
  <c r="AA66" i="40"/>
  <c r="Z66" i="40"/>
  <c r="Y66" i="40"/>
  <c r="X66" i="40"/>
  <c r="W66" i="40"/>
  <c r="V66" i="40"/>
  <c r="U66" i="40"/>
  <c r="T66" i="40"/>
  <c r="S66" i="40"/>
  <c r="R66" i="40"/>
  <c r="Q66" i="40"/>
  <c r="P66" i="40"/>
  <c r="O66" i="40"/>
  <c r="N66" i="40"/>
  <c r="M66" i="40"/>
  <c r="L66" i="40"/>
  <c r="AE65" i="40"/>
  <c r="AD65" i="40"/>
  <c r="AC65" i="40"/>
  <c r="AB65" i="40"/>
  <c r="AA65" i="40"/>
  <c r="Z65" i="40"/>
  <c r="Y65" i="40"/>
  <c r="X65" i="40"/>
  <c r="W65" i="40"/>
  <c r="V65" i="40"/>
  <c r="U65" i="40"/>
  <c r="T65" i="40"/>
  <c r="S65" i="40"/>
  <c r="R65" i="40"/>
  <c r="Q65" i="40"/>
  <c r="P65" i="40"/>
  <c r="O65" i="40"/>
  <c r="N65" i="40"/>
  <c r="M65" i="40"/>
  <c r="L65" i="40"/>
  <c r="AE64" i="40"/>
  <c r="AD64" i="40"/>
  <c r="AC64" i="40"/>
  <c r="AB64" i="40"/>
  <c r="AA64" i="40"/>
  <c r="Z64" i="40"/>
  <c r="Y64" i="40"/>
  <c r="X64" i="40"/>
  <c r="W64" i="40"/>
  <c r="V64" i="40"/>
  <c r="U64" i="40"/>
  <c r="T64" i="40"/>
  <c r="S64" i="40"/>
  <c r="R64" i="40"/>
  <c r="Q64" i="40"/>
  <c r="P64" i="40"/>
  <c r="O64" i="40"/>
  <c r="N64" i="40"/>
  <c r="M64" i="40"/>
  <c r="L64" i="40"/>
  <c r="M64" i="41" s="1"/>
  <c r="AE63" i="40"/>
  <c r="AD63" i="40"/>
  <c r="AC63" i="40"/>
  <c r="AB63" i="40"/>
  <c r="AA63" i="40"/>
  <c r="Z63" i="40"/>
  <c r="Y63" i="40"/>
  <c r="X63" i="40"/>
  <c r="W63" i="40"/>
  <c r="V63" i="40"/>
  <c r="U63" i="40"/>
  <c r="T63" i="40"/>
  <c r="S63" i="40"/>
  <c r="R63" i="40"/>
  <c r="Q63" i="40"/>
  <c r="P63" i="40"/>
  <c r="O63" i="40"/>
  <c r="N63" i="40"/>
  <c r="M63" i="40"/>
  <c r="L63" i="40"/>
  <c r="AE62" i="40"/>
  <c r="AD62" i="40"/>
  <c r="AC62" i="40"/>
  <c r="AB62" i="40"/>
  <c r="AA62" i="40"/>
  <c r="Z62" i="40"/>
  <c r="Y62" i="40"/>
  <c r="X62" i="40"/>
  <c r="W62" i="40"/>
  <c r="V62" i="40"/>
  <c r="U62" i="40"/>
  <c r="T62" i="40"/>
  <c r="S62" i="40"/>
  <c r="R62" i="40"/>
  <c r="Q62" i="40"/>
  <c r="P62" i="40"/>
  <c r="O62" i="40"/>
  <c r="N62" i="40"/>
  <c r="M62" i="40"/>
  <c r="L62" i="40"/>
  <c r="AE61" i="40"/>
  <c r="AD61" i="40"/>
  <c r="AC61" i="40"/>
  <c r="AB61" i="40"/>
  <c r="AA61" i="40"/>
  <c r="Z61" i="40"/>
  <c r="Y61" i="40"/>
  <c r="X61" i="40"/>
  <c r="W61" i="40"/>
  <c r="V61" i="40"/>
  <c r="U61" i="40"/>
  <c r="T61" i="40"/>
  <c r="S61" i="40"/>
  <c r="R61" i="40"/>
  <c r="Q61" i="40"/>
  <c r="P61" i="40"/>
  <c r="O61" i="40"/>
  <c r="N61" i="40"/>
  <c r="M61" i="40"/>
  <c r="L61" i="40"/>
  <c r="M61" i="41" s="1"/>
  <c r="AE60" i="40"/>
  <c r="AD60" i="40"/>
  <c r="AC60" i="40"/>
  <c r="AB60" i="40"/>
  <c r="AA60" i="40"/>
  <c r="Z60" i="40"/>
  <c r="Y60" i="40"/>
  <c r="X60" i="40"/>
  <c r="W60" i="40"/>
  <c r="V60" i="40"/>
  <c r="U60" i="40"/>
  <c r="T60" i="40"/>
  <c r="S60" i="40"/>
  <c r="R60" i="40"/>
  <c r="Q60" i="40"/>
  <c r="P60" i="40"/>
  <c r="O60" i="40"/>
  <c r="N60" i="40"/>
  <c r="M60" i="40"/>
  <c r="L60" i="40"/>
  <c r="AE59" i="40"/>
  <c r="AD59" i="40"/>
  <c r="AC59" i="40"/>
  <c r="AB59" i="40"/>
  <c r="AA59" i="40"/>
  <c r="Z59" i="40"/>
  <c r="Y59" i="40"/>
  <c r="X59" i="40"/>
  <c r="W59" i="40"/>
  <c r="V59" i="40"/>
  <c r="U59" i="40"/>
  <c r="T59" i="40"/>
  <c r="S59" i="40"/>
  <c r="R59" i="40"/>
  <c r="Q59" i="40"/>
  <c r="P59" i="40"/>
  <c r="O59" i="40"/>
  <c r="N59" i="40"/>
  <c r="M59" i="40"/>
  <c r="L59" i="40"/>
  <c r="AE58" i="40"/>
  <c r="AD58" i="40"/>
  <c r="AC58" i="40"/>
  <c r="AB58" i="40"/>
  <c r="AA58" i="40"/>
  <c r="Z58" i="40"/>
  <c r="Y58" i="40"/>
  <c r="X58" i="40"/>
  <c r="W58" i="40"/>
  <c r="V58" i="40"/>
  <c r="U58" i="40"/>
  <c r="T58" i="40"/>
  <c r="S58" i="40"/>
  <c r="R58" i="40"/>
  <c r="Q58" i="40"/>
  <c r="P58" i="40"/>
  <c r="O58" i="40"/>
  <c r="N58" i="40"/>
  <c r="M58" i="40"/>
  <c r="L58" i="40"/>
  <c r="M58" i="41" s="1"/>
  <c r="AE57" i="40"/>
  <c r="AD57" i="40"/>
  <c r="AC57" i="40"/>
  <c r="AB57" i="40"/>
  <c r="AA57" i="40"/>
  <c r="Z57" i="40"/>
  <c r="Y57" i="40"/>
  <c r="X57" i="40"/>
  <c r="W57" i="40"/>
  <c r="V57" i="40"/>
  <c r="U57" i="40"/>
  <c r="T57" i="40"/>
  <c r="S57" i="40"/>
  <c r="R57" i="40"/>
  <c r="Q57" i="40"/>
  <c r="P57" i="40"/>
  <c r="O57" i="40"/>
  <c r="N57" i="40"/>
  <c r="M57" i="40"/>
  <c r="L57" i="40"/>
  <c r="AE56" i="40"/>
  <c r="AD56" i="40"/>
  <c r="AC56" i="40"/>
  <c r="AB56" i="40"/>
  <c r="AA56" i="40"/>
  <c r="Z56" i="40"/>
  <c r="Y56" i="40"/>
  <c r="X56" i="40"/>
  <c r="W56" i="40"/>
  <c r="V56" i="40"/>
  <c r="U56" i="40"/>
  <c r="T56" i="40"/>
  <c r="S56" i="40"/>
  <c r="R56" i="40"/>
  <c r="Q56" i="40"/>
  <c r="P56" i="40"/>
  <c r="O56" i="40"/>
  <c r="N56" i="40"/>
  <c r="M56" i="40"/>
  <c r="L56" i="40"/>
  <c r="AE55" i="40"/>
  <c r="AD55" i="40"/>
  <c r="AC55" i="40"/>
  <c r="AB55" i="40"/>
  <c r="AA55" i="40"/>
  <c r="Z55" i="40"/>
  <c r="Y55" i="40"/>
  <c r="X55" i="40"/>
  <c r="W55" i="40"/>
  <c r="V55" i="40"/>
  <c r="U55" i="40"/>
  <c r="T55" i="40"/>
  <c r="S55" i="40"/>
  <c r="R55" i="40"/>
  <c r="Q55" i="40"/>
  <c r="P55" i="40"/>
  <c r="O55" i="40"/>
  <c r="N55" i="40"/>
  <c r="M55" i="40"/>
  <c r="L55" i="40"/>
  <c r="M55" i="41" s="1"/>
  <c r="AE54" i="40"/>
  <c r="AD54" i="40"/>
  <c r="AC54" i="40"/>
  <c r="AB54" i="40"/>
  <c r="AA54" i="40"/>
  <c r="Z54" i="40"/>
  <c r="Y54" i="40"/>
  <c r="X54" i="40"/>
  <c r="W54" i="40"/>
  <c r="V54" i="40"/>
  <c r="U54" i="40"/>
  <c r="T54" i="40"/>
  <c r="S54" i="40"/>
  <c r="R54" i="40"/>
  <c r="Q54" i="40"/>
  <c r="P54" i="40"/>
  <c r="O54" i="40"/>
  <c r="N54" i="40"/>
  <c r="M54" i="40"/>
  <c r="L54" i="40"/>
  <c r="AE53" i="40"/>
  <c r="AD53" i="40"/>
  <c r="AC53" i="40"/>
  <c r="AB53" i="40"/>
  <c r="AA53" i="40"/>
  <c r="Z53" i="40"/>
  <c r="Y53" i="40"/>
  <c r="X53" i="40"/>
  <c r="W53" i="40"/>
  <c r="V53" i="40"/>
  <c r="U53" i="40"/>
  <c r="T53" i="40"/>
  <c r="S53" i="40"/>
  <c r="R53" i="40"/>
  <c r="Q53" i="40"/>
  <c r="P53" i="40"/>
  <c r="O53" i="40"/>
  <c r="N53" i="40"/>
  <c r="M53" i="40"/>
  <c r="L53" i="40"/>
  <c r="AE52" i="40"/>
  <c r="AD52" i="40"/>
  <c r="AC52" i="40"/>
  <c r="AB52" i="40"/>
  <c r="AA52" i="40"/>
  <c r="Z52" i="40"/>
  <c r="Y52" i="40"/>
  <c r="X52" i="40"/>
  <c r="W52" i="40"/>
  <c r="V52" i="40"/>
  <c r="U52" i="40"/>
  <c r="T52" i="40"/>
  <c r="S52" i="40"/>
  <c r="R52" i="40"/>
  <c r="Q52" i="40"/>
  <c r="P52" i="40"/>
  <c r="O52" i="40"/>
  <c r="N52" i="40"/>
  <c r="M52" i="40"/>
  <c r="L52" i="40"/>
  <c r="M52" i="41" s="1"/>
  <c r="AE51" i="40"/>
  <c r="AD51" i="40"/>
  <c r="AC51" i="40"/>
  <c r="AB51" i="40"/>
  <c r="AA51" i="40"/>
  <c r="Z51" i="40"/>
  <c r="Y51" i="40"/>
  <c r="X51" i="40"/>
  <c r="W51" i="40"/>
  <c r="V51" i="40"/>
  <c r="U51" i="40"/>
  <c r="T51" i="40"/>
  <c r="S51" i="40"/>
  <c r="R51" i="40"/>
  <c r="Q51" i="40"/>
  <c r="P51" i="40"/>
  <c r="O51" i="40"/>
  <c r="N51" i="40"/>
  <c r="M51" i="40"/>
  <c r="L51" i="40"/>
  <c r="AE50" i="40"/>
  <c r="AD50" i="40"/>
  <c r="AC50" i="40"/>
  <c r="AB50" i="40"/>
  <c r="AA50" i="40"/>
  <c r="Z50" i="40"/>
  <c r="Y50" i="40"/>
  <c r="X50" i="40"/>
  <c r="W50" i="40"/>
  <c r="V50" i="40"/>
  <c r="U50" i="40"/>
  <c r="T50" i="40"/>
  <c r="S50" i="40"/>
  <c r="R50" i="40"/>
  <c r="Q50" i="40"/>
  <c r="P50" i="40"/>
  <c r="O50" i="40"/>
  <c r="N50" i="40"/>
  <c r="M50" i="40"/>
  <c r="L50" i="40"/>
  <c r="AE49" i="40"/>
  <c r="AD49" i="40"/>
  <c r="AC49" i="40"/>
  <c r="AB49" i="40"/>
  <c r="AA49" i="40"/>
  <c r="Z49" i="40"/>
  <c r="Y49" i="40"/>
  <c r="X49" i="40"/>
  <c r="W49" i="40"/>
  <c r="V49" i="40"/>
  <c r="U49" i="40"/>
  <c r="T49" i="40"/>
  <c r="S49" i="40"/>
  <c r="R49" i="40"/>
  <c r="Q49" i="40"/>
  <c r="P49" i="40"/>
  <c r="O49" i="40"/>
  <c r="N49" i="40"/>
  <c r="M49" i="40"/>
  <c r="L49" i="40"/>
  <c r="M49" i="41" s="1"/>
  <c r="AE48" i="40"/>
  <c r="AD48" i="40"/>
  <c r="AC48" i="40"/>
  <c r="AB48" i="40"/>
  <c r="AA48" i="40"/>
  <c r="Z48" i="40"/>
  <c r="Y48" i="40"/>
  <c r="X48" i="40"/>
  <c r="W48" i="40"/>
  <c r="V48" i="40"/>
  <c r="U48" i="40"/>
  <c r="T48" i="40"/>
  <c r="S48" i="40"/>
  <c r="R48" i="40"/>
  <c r="Q48" i="40"/>
  <c r="P48" i="40"/>
  <c r="O48" i="40"/>
  <c r="N48" i="40"/>
  <c r="M48" i="40"/>
  <c r="L48" i="40"/>
  <c r="O50" i="41" l="1"/>
  <c r="O53" i="41"/>
  <c r="O56" i="41"/>
  <c r="O59" i="41"/>
  <c r="O62" i="41"/>
  <c r="O65" i="41"/>
  <c r="O68" i="41"/>
  <c r="P68" i="41"/>
  <c r="P71" i="41"/>
  <c r="O51" i="41"/>
  <c r="O54" i="41"/>
  <c r="O57" i="41"/>
  <c r="O60" i="41"/>
  <c r="O63" i="41"/>
  <c r="P48" i="41"/>
  <c r="P54" i="41"/>
  <c r="P57" i="41"/>
  <c r="P51" i="41"/>
  <c r="O71" i="41"/>
  <c r="P50" i="41"/>
  <c r="P53" i="41"/>
  <c r="P56" i="41"/>
  <c r="P59" i="41"/>
  <c r="P62" i="41"/>
  <c r="P65" i="41"/>
  <c r="P74" i="41"/>
  <c r="M56" i="41"/>
  <c r="M59" i="41"/>
  <c r="M62" i="41"/>
  <c r="N50" i="41"/>
  <c r="N53" i="41"/>
  <c r="N56" i="41"/>
  <c r="N59" i="41"/>
  <c r="N62" i="41"/>
  <c r="N65" i="41"/>
  <c r="N68" i="41"/>
  <c r="N71" i="41"/>
  <c r="N74" i="41"/>
  <c r="N49" i="41"/>
  <c r="N58" i="41"/>
  <c r="O52" i="41"/>
  <c r="O55" i="41"/>
  <c r="O58" i="41"/>
  <c r="O61" i="41"/>
  <c r="O64" i="41"/>
  <c r="O67" i="41"/>
  <c r="O70" i="41"/>
  <c r="N61" i="41"/>
  <c r="N73" i="41"/>
  <c r="P49" i="41"/>
  <c r="P52" i="41"/>
  <c r="P55" i="41"/>
  <c r="P58" i="41"/>
  <c r="P61" i="41"/>
  <c r="P64" i="41"/>
  <c r="P67" i="41"/>
  <c r="P70" i="41"/>
  <c r="P73" i="41"/>
  <c r="M48" i="41"/>
  <c r="M51" i="41"/>
  <c r="M54" i="41"/>
  <c r="M57" i="41"/>
  <c r="M60" i="41"/>
  <c r="M63" i="41"/>
  <c r="M66" i="41"/>
  <c r="M69" i="41"/>
  <c r="M72" i="41"/>
  <c r="M75" i="41"/>
  <c r="N70" i="41"/>
  <c r="N48" i="41"/>
  <c r="N51" i="41"/>
  <c r="N54" i="41"/>
  <c r="N57" i="41"/>
  <c r="N60" i="41"/>
  <c r="N63" i="41"/>
  <c r="N66" i="41"/>
  <c r="N69" i="41"/>
  <c r="N72" i="41"/>
  <c r="N75" i="41"/>
  <c r="N52" i="41"/>
  <c r="O48" i="41"/>
  <c r="O66" i="41"/>
  <c r="O69" i="41"/>
  <c r="O72" i="41"/>
  <c r="O75" i="41"/>
  <c r="N67" i="41"/>
  <c r="P60" i="41"/>
  <c r="P63" i="41"/>
  <c r="P66" i="41"/>
  <c r="P69" i="41"/>
  <c r="P72" i="41"/>
  <c r="P75" i="41"/>
  <c r="N55" i="41"/>
  <c r="N64" i="41"/>
  <c r="O49" i="41"/>
  <c r="M50" i="41"/>
  <c r="M53" i="41"/>
  <c r="M65" i="41"/>
  <c r="M68" i="41"/>
  <c r="M71" i="41"/>
  <c r="M74" i="41"/>
  <c r="M77" i="41"/>
  <c r="N77" i="41"/>
  <c r="O74" i="41"/>
  <c r="O77" i="41"/>
  <c r="P77" i="41"/>
  <c r="D12" i="39"/>
  <c r="C11" i="39"/>
  <c r="AX8" i="39" l="1"/>
  <c r="AG8" i="40"/>
  <c r="T8" i="38"/>
  <c r="R74" i="2" l="1"/>
  <c r="I74" i="2"/>
  <c r="AD73" i="2"/>
  <c r="I69" i="2"/>
  <c r="AD71" i="2"/>
  <c r="L67" i="2"/>
  <c r="O74" i="2"/>
  <c r="O66" i="2"/>
  <c r="L68" i="2"/>
  <c r="O71" i="2"/>
  <c r="AA68" i="2"/>
  <c r="L73" i="2"/>
  <c r="R72" i="2"/>
  <c r="C74" i="2"/>
  <c r="L74" i="2"/>
  <c r="AD74" i="2"/>
  <c r="O67" i="2"/>
  <c r="AG74" i="2"/>
  <c r="AD66" i="2"/>
  <c r="AG66" i="2"/>
  <c r="I67" i="2"/>
  <c r="R67" i="2"/>
  <c r="AD67" i="2"/>
  <c r="AG67" i="2"/>
  <c r="I72" i="2"/>
  <c r="I73" i="2"/>
  <c r="AG72" i="2"/>
  <c r="R73" i="2"/>
  <c r="AD72" i="2"/>
  <c r="AG68" i="2"/>
  <c r="AD68" i="2"/>
  <c r="U66" i="2"/>
  <c r="AA66" i="2"/>
  <c r="AA67" i="2"/>
  <c r="U74" i="2"/>
  <c r="F74" i="2"/>
  <c r="AA74" i="2"/>
  <c r="U68" i="2"/>
  <c r="U67" i="2"/>
  <c r="O73" i="2"/>
  <c r="AD69" i="2"/>
  <c r="O72" i="2"/>
  <c r="AA69" i="2"/>
  <c r="AG71" i="2"/>
  <c r="L72" i="2"/>
  <c r="I68" i="2"/>
  <c r="R68" i="2"/>
  <c r="AD65" i="2"/>
  <c r="O68" i="2"/>
  <c r="AG69" i="2"/>
  <c r="U73" i="2"/>
  <c r="AA71" i="2"/>
  <c r="AG73" i="2"/>
  <c r="U72" i="2"/>
  <c r="U71" i="2"/>
  <c r="U69" i="2"/>
  <c r="L71" i="2"/>
  <c r="I71" i="2"/>
  <c r="AD75" i="2"/>
  <c r="AG75" i="2"/>
  <c r="AA72" i="2"/>
  <c r="AG65" i="2"/>
  <c r="R71" i="2"/>
  <c r="AA73" i="2"/>
  <c r="L66" i="2"/>
  <c r="I66" i="2"/>
  <c r="R66" i="2"/>
  <c r="R69" i="2"/>
  <c r="O69" i="2"/>
  <c r="L69" i="2"/>
  <c r="L70" i="2" l="1"/>
  <c r="I70" i="2"/>
  <c r="R70" i="2"/>
  <c r="O70" i="2"/>
  <c r="C73" i="2"/>
  <c r="F73" i="2"/>
  <c r="U70" i="2"/>
  <c r="AA70" i="2"/>
  <c r="R65" i="2"/>
  <c r="I65" i="2"/>
  <c r="L65" i="2"/>
  <c r="O65" i="2"/>
  <c r="F75" i="2"/>
  <c r="C75" i="2"/>
  <c r="AG70" i="2"/>
  <c r="AD70" i="2"/>
  <c r="I75" i="2"/>
  <c r="L75" i="2"/>
  <c r="O75" i="2"/>
  <c r="R75" i="2"/>
  <c r="U65" i="2"/>
  <c r="AA65" i="2"/>
  <c r="AA75" i="2"/>
  <c r="U75" i="2"/>
  <c r="C72" i="2" l="1"/>
  <c r="F72" i="2"/>
  <c r="C71" i="2"/>
  <c r="F71" i="2"/>
  <c r="F68" i="2"/>
  <c r="C68" i="2"/>
  <c r="C65" i="2" l="1"/>
  <c r="F65" i="2"/>
  <c r="C70" i="2"/>
  <c r="F70" i="2"/>
  <c r="C66" i="2"/>
  <c r="F66" i="2"/>
  <c r="C69" i="2"/>
  <c r="F69" i="2"/>
  <c r="B4" i="15"/>
  <c r="T4" i="15" s="1"/>
  <c r="B5" i="15"/>
  <c r="T5" i="15" s="1"/>
  <c r="B6" i="15"/>
  <c r="T6" i="15" s="1"/>
  <c r="B7" i="15"/>
  <c r="T7" i="15" s="1"/>
  <c r="B8" i="15"/>
  <c r="T8" i="15" s="1"/>
  <c r="B9" i="15"/>
  <c r="T9" i="15" s="1"/>
  <c r="B10" i="15"/>
  <c r="T10" i="15" s="1"/>
  <c r="B11" i="15"/>
  <c r="T11" i="15" s="1"/>
  <c r="B12" i="15"/>
  <c r="T12" i="15" s="1"/>
  <c r="B13" i="15"/>
  <c r="T13" i="15" s="1"/>
  <c r="B14" i="15"/>
  <c r="T14" i="15" s="1"/>
  <c r="B15" i="15"/>
  <c r="T15" i="15" s="1"/>
  <c r="B16" i="15"/>
  <c r="T16" i="15" s="1"/>
  <c r="B17" i="15"/>
  <c r="T17" i="15" s="1"/>
  <c r="B18" i="15"/>
  <c r="T18" i="15" s="1"/>
  <c r="B19" i="15"/>
  <c r="T19" i="15" s="1"/>
  <c r="B20" i="15"/>
  <c r="T20" i="15" s="1"/>
  <c r="B21" i="15"/>
  <c r="T21" i="15" s="1"/>
  <c r="B22" i="15"/>
  <c r="T22" i="15" s="1"/>
  <c r="B23" i="15"/>
  <c r="T23" i="15" s="1"/>
  <c r="B24" i="15"/>
  <c r="T24" i="15" s="1"/>
  <c r="B25" i="15"/>
  <c r="T25" i="15" s="1"/>
  <c r="B26" i="15"/>
  <c r="T26" i="15" s="1"/>
  <c r="B27" i="15"/>
  <c r="T27" i="15" s="1"/>
  <c r="B28" i="15"/>
  <c r="T28" i="15" s="1"/>
  <c r="B29" i="15"/>
  <c r="T29" i="15" s="1"/>
  <c r="B30" i="15"/>
  <c r="T30" i="15" s="1"/>
  <c r="B31" i="15"/>
  <c r="T31" i="15" s="1"/>
  <c r="B32" i="15"/>
  <c r="T32" i="15" s="1"/>
  <c r="B33" i="15"/>
  <c r="T33" i="15" s="1"/>
  <c r="B34" i="15"/>
  <c r="T34" i="15" s="1"/>
  <c r="B35" i="15"/>
  <c r="T35" i="15" s="1"/>
  <c r="B36" i="15"/>
  <c r="T36" i="15" s="1"/>
  <c r="B37" i="15"/>
  <c r="T37" i="15" s="1"/>
  <c r="B38" i="15"/>
  <c r="T38" i="15" s="1"/>
  <c r="B39" i="15"/>
  <c r="T39" i="15" s="1"/>
  <c r="B40" i="15"/>
  <c r="T40" i="15" s="1"/>
  <c r="B41" i="15"/>
  <c r="T41" i="15" s="1"/>
  <c r="B42" i="15"/>
  <c r="T42" i="15" s="1"/>
  <c r="B43" i="15"/>
  <c r="B44" i="15"/>
  <c r="T44" i="15" s="1"/>
  <c r="B45" i="15"/>
  <c r="B46" i="15"/>
  <c r="B47" i="15"/>
  <c r="B48" i="15"/>
  <c r="B49" i="15"/>
  <c r="B50" i="15"/>
  <c r="B51" i="15"/>
  <c r="B52" i="15"/>
  <c r="B53" i="15"/>
  <c r="B54" i="15"/>
  <c r="B55" i="15"/>
  <c r="B56" i="15"/>
  <c r="B57" i="15"/>
  <c r="B58" i="15"/>
  <c r="B59" i="15"/>
  <c r="B60" i="15"/>
  <c r="B61" i="15"/>
  <c r="T61" i="15" s="1"/>
  <c r="B62" i="15"/>
  <c r="T62" i="15" s="1"/>
  <c r="B63" i="15"/>
  <c r="T63" i="15" s="1"/>
  <c r="B64" i="15"/>
  <c r="T64" i="15" s="1"/>
  <c r="B65" i="15"/>
  <c r="B66" i="15"/>
  <c r="B67" i="15"/>
  <c r="B68" i="15"/>
  <c r="B69" i="15"/>
  <c r="B70" i="15"/>
  <c r="B71" i="15"/>
  <c r="B72" i="15"/>
  <c r="T72" i="15" s="1"/>
  <c r="B73" i="15"/>
  <c r="T73" i="15" s="1"/>
  <c r="B74" i="15"/>
  <c r="B75" i="15"/>
  <c r="B76" i="15"/>
  <c r="B77" i="15"/>
  <c r="B78" i="15"/>
  <c r="B79" i="15"/>
  <c r="B80" i="15"/>
  <c r="T80" i="15" s="1"/>
  <c r="B81" i="15"/>
  <c r="T81" i="15" s="1"/>
  <c r="B82" i="15"/>
  <c r="B83" i="15"/>
  <c r="T83" i="15" s="1"/>
  <c r="B84" i="15"/>
  <c r="B85" i="15"/>
  <c r="B86" i="15"/>
  <c r="B87" i="15"/>
  <c r="B88" i="15"/>
  <c r="B89" i="15"/>
  <c r="B90" i="15"/>
  <c r="T90" i="15" s="1"/>
  <c r="B91" i="15"/>
  <c r="B92" i="15"/>
  <c r="T92" i="15" s="1"/>
  <c r="B93" i="15"/>
  <c r="B94" i="15"/>
  <c r="T94" i="15" s="1"/>
  <c r="B95" i="15"/>
  <c r="B96" i="15"/>
  <c r="B97" i="15"/>
  <c r="T97" i="15" s="1"/>
  <c r="B98" i="15"/>
  <c r="B99" i="15"/>
  <c r="T99" i="15" s="1"/>
  <c r="B100" i="15"/>
  <c r="T100" i="15" s="1"/>
  <c r="B101" i="15"/>
  <c r="T101" i="15" s="1"/>
  <c r="B102" i="15"/>
  <c r="B103" i="15"/>
  <c r="T103" i="15" s="1"/>
  <c r="B3" i="15"/>
  <c r="T3" i="15" s="1"/>
  <c r="U31" i="15" l="1"/>
  <c r="K31" i="15" s="1"/>
  <c r="J31" i="15"/>
  <c r="V31" i="15"/>
  <c r="L31" i="15" s="1"/>
  <c r="W31" i="15"/>
  <c r="M31" i="15" s="1"/>
  <c r="X31" i="15"/>
  <c r="N31" i="15" s="1"/>
  <c r="T102" i="15"/>
  <c r="T54" i="15"/>
  <c r="U29" i="15"/>
  <c r="K29" i="15" s="1"/>
  <c r="V29" i="15"/>
  <c r="L29" i="15" s="1"/>
  <c r="W29" i="15"/>
  <c r="M29" i="15" s="1"/>
  <c r="X29" i="15"/>
  <c r="N29" i="15" s="1"/>
  <c r="J29" i="15"/>
  <c r="U64" i="15"/>
  <c r="K64" i="15" s="1"/>
  <c r="V64" i="15"/>
  <c r="L64" i="15" s="1"/>
  <c r="W64" i="15"/>
  <c r="M64" i="15" s="1"/>
  <c r="X64" i="15"/>
  <c r="N64" i="15" s="1"/>
  <c r="J64" i="15"/>
  <c r="T51" i="15"/>
  <c r="W39" i="15"/>
  <c r="M39" i="15" s="1"/>
  <c r="V39" i="15"/>
  <c r="L39" i="15" s="1"/>
  <c r="J39" i="15"/>
  <c r="U39" i="15"/>
  <c r="K39" i="15" s="1"/>
  <c r="X39" i="15"/>
  <c r="N39" i="15" s="1"/>
  <c r="X27" i="15"/>
  <c r="N27" i="15" s="1"/>
  <c r="V27" i="15"/>
  <c r="L27" i="15" s="1"/>
  <c r="W27" i="15"/>
  <c r="M27" i="15" s="1"/>
  <c r="J27" i="15"/>
  <c r="U27" i="15"/>
  <c r="K27" i="15" s="1"/>
  <c r="W15" i="15"/>
  <c r="M15" i="15" s="1"/>
  <c r="V15" i="15"/>
  <c r="L15" i="15" s="1"/>
  <c r="J15" i="15"/>
  <c r="X15" i="15"/>
  <c r="N15" i="15" s="1"/>
  <c r="U15" i="15"/>
  <c r="K15" i="15" s="1"/>
  <c r="U103" i="15"/>
  <c r="V103" i="15"/>
  <c r="W103" i="15"/>
  <c r="X103" i="15"/>
  <c r="U7" i="15"/>
  <c r="K7" i="15" s="1"/>
  <c r="V7" i="15"/>
  <c r="L7" i="15" s="1"/>
  <c r="W7" i="15"/>
  <c r="M7" i="15" s="1"/>
  <c r="J7" i="15"/>
  <c r="X7" i="15"/>
  <c r="N7" i="15" s="1"/>
  <c r="T66" i="15"/>
  <c r="U5" i="15"/>
  <c r="K5" i="15" s="1"/>
  <c r="V5" i="15"/>
  <c r="L5" i="15" s="1"/>
  <c r="J5" i="15"/>
  <c r="W5" i="15"/>
  <c r="M5" i="15" s="1"/>
  <c r="X5" i="15"/>
  <c r="N5" i="15" s="1"/>
  <c r="T76" i="15"/>
  <c r="U62" i="15"/>
  <c r="K62" i="15" s="1"/>
  <c r="V62" i="15"/>
  <c r="L62" i="15" s="1"/>
  <c r="J62" i="15"/>
  <c r="W62" i="15"/>
  <c r="M62" i="15" s="1"/>
  <c r="X62" i="15"/>
  <c r="N62" i="15" s="1"/>
  <c r="AS24" i="2" s="1"/>
  <c r="U26" i="15"/>
  <c r="K26" i="15" s="1"/>
  <c r="V26" i="15"/>
  <c r="L26" i="15" s="1"/>
  <c r="J26" i="15"/>
  <c r="W26" i="15"/>
  <c r="M26" i="15" s="1"/>
  <c r="X26" i="15"/>
  <c r="N26" i="15" s="1"/>
  <c r="U14" i="15"/>
  <c r="K14" i="15" s="1"/>
  <c r="V14" i="15"/>
  <c r="L14" i="15" s="1"/>
  <c r="J14" i="15"/>
  <c r="W14" i="15"/>
  <c r="M14" i="15" s="1"/>
  <c r="X14" i="15"/>
  <c r="N14" i="15" s="1"/>
  <c r="T43" i="15"/>
  <c r="W42" i="15"/>
  <c r="M42" i="15" s="1"/>
  <c r="V42" i="15"/>
  <c r="L42" i="15" s="1"/>
  <c r="J42" i="15"/>
  <c r="X42" i="15"/>
  <c r="N42" i="15" s="1"/>
  <c r="U42" i="15"/>
  <c r="K42" i="15" s="1"/>
  <c r="U17" i="15"/>
  <c r="K17" i="15" s="1"/>
  <c r="V17" i="15"/>
  <c r="L17" i="15" s="1"/>
  <c r="W17" i="15"/>
  <c r="M17" i="15" s="1"/>
  <c r="X17" i="15"/>
  <c r="N17" i="15" s="1"/>
  <c r="J17" i="15"/>
  <c r="T88" i="15"/>
  <c r="X99" i="15"/>
  <c r="N99" i="15" s="1"/>
  <c r="AS61" i="2" s="1"/>
  <c r="V99" i="15"/>
  <c r="L99" i="15" s="1"/>
  <c r="W99" i="15"/>
  <c r="M99" i="15" s="1"/>
  <c r="J99" i="15"/>
  <c r="U99" i="15"/>
  <c r="K99" i="15" s="1"/>
  <c r="T98" i="15"/>
  <c r="U61" i="15"/>
  <c r="K61" i="15" s="1"/>
  <c r="V61" i="15"/>
  <c r="L61" i="15" s="1"/>
  <c r="W61" i="15"/>
  <c r="M61" i="15" s="1"/>
  <c r="X61" i="15"/>
  <c r="N61" i="15" s="1"/>
  <c r="J61" i="15"/>
  <c r="U13" i="15"/>
  <c r="K13" i="15" s="1"/>
  <c r="V13" i="15"/>
  <c r="L13" i="15" s="1"/>
  <c r="W13" i="15"/>
  <c r="M13" i="15" s="1"/>
  <c r="X13" i="15"/>
  <c r="N13" i="15" s="1"/>
  <c r="J13" i="15"/>
  <c r="T91" i="15"/>
  <c r="J6" i="15"/>
  <c r="W6" i="15"/>
  <c r="M6" i="15" s="1"/>
  <c r="X6" i="15"/>
  <c r="N6" i="15" s="1"/>
  <c r="V6" i="15"/>
  <c r="L6" i="15" s="1"/>
  <c r="U6" i="15"/>
  <c r="K6" i="15" s="1"/>
  <c r="T53" i="15"/>
  <c r="U28" i="15"/>
  <c r="K28" i="15" s="1"/>
  <c r="V28" i="15"/>
  <c r="L28" i="15" s="1"/>
  <c r="W28" i="15"/>
  <c r="M28" i="15" s="1"/>
  <c r="X28" i="15"/>
  <c r="N28" i="15" s="1"/>
  <c r="J28" i="15"/>
  <c r="U38" i="15"/>
  <c r="K38" i="15" s="1"/>
  <c r="V38" i="15"/>
  <c r="L38" i="15" s="1"/>
  <c r="J38" i="15"/>
  <c r="W38" i="15"/>
  <c r="M38" i="15" s="1"/>
  <c r="X38" i="15"/>
  <c r="N38" i="15" s="1"/>
  <c r="T85" i="15"/>
  <c r="W72" i="15"/>
  <c r="M72" i="15" s="1"/>
  <c r="AP34" i="2" s="1"/>
  <c r="J72" i="15"/>
  <c r="X72" i="15"/>
  <c r="N72" i="15" s="1"/>
  <c r="U72" i="15"/>
  <c r="K72" i="15" s="1"/>
  <c r="V72" i="15"/>
  <c r="L72" i="15" s="1"/>
  <c r="X36" i="15"/>
  <c r="N36" i="15" s="1"/>
  <c r="J36" i="15"/>
  <c r="W36" i="15"/>
  <c r="M36" i="15" s="1"/>
  <c r="U36" i="15"/>
  <c r="K36" i="15" s="1"/>
  <c r="V36" i="15"/>
  <c r="L36" i="15" s="1"/>
  <c r="J24" i="15"/>
  <c r="V24" i="15"/>
  <c r="L24" i="15" s="1"/>
  <c r="W24" i="15"/>
  <c r="M24" i="15" s="1"/>
  <c r="X24" i="15"/>
  <c r="N24" i="15" s="1"/>
  <c r="U24" i="15"/>
  <c r="K24" i="15" s="1"/>
  <c r="W12" i="15"/>
  <c r="M12" i="15" s="1"/>
  <c r="J12" i="15"/>
  <c r="V12" i="15"/>
  <c r="L12" i="15" s="1"/>
  <c r="U12" i="15"/>
  <c r="K12" i="15" s="1"/>
  <c r="X12" i="15"/>
  <c r="N12" i="15" s="1"/>
  <c r="U19" i="15"/>
  <c r="K19" i="15" s="1"/>
  <c r="V19" i="15"/>
  <c r="L19" i="15" s="1"/>
  <c r="W19" i="15"/>
  <c r="M19" i="15" s="1"/>
  <c r="X19" i="15"/>
  <c r="N19" i="15" s="1"/>
  <c r="J19" i="15"/>
  <c r="J101" i="15"/>
  <c r="U101" i="15"/>
  <c r="K101" i="15" s="1"/>
  <c r="V101" i="15"/>
  <c r="L101" i="15" s="1"/>
  <c r="W101" i="15"/>
  <c r="M101" i="15" s="1"/>
  <c r="X101" i="15"/>
  <c r="N101" i="15" s="1"/>
  <c r="AS63" i="2" s="1"/>
  <c r="T65" i="15"/>
  <c r="U16" i="15"/>
  <c r="K16" i="15" s="1"/>
  <c r="V16" i="15"/>
  <c r="L16" i="15" s="1"/>
  <c r="W16" i="15"/>
  <c r="M16" i="15" s="1"/>
  <c r="X16" i="15"/>
  <c r="N16" i="15" s="1"/>
  <c r="J16" i="15"/>
  <c r="T75" i="15"/>
  <c r="U25" i="15"/>
  <c r="K25" i="15" s="1"/>
  <c r="V25" i="15"/>
  <c r="L25" i="15" s="1"/>
  <c r="W25" i="15"/>
  <c r="M25" i="15" s="1"/>
  <c r="X25" i="15"/>
  <c r="N25" i="15" s="1"/>
  <c r="J25" i="15"/>
  <c r="J35" i="15"/>
  <c r="U35" i="15"/>
  <c r="K35" i="15" s="1"/>
  <c r="V35" i="15"/>
  <c r="L35" i="15" s="1"/>
  <c r="W35" i="15"/>
  <c r="M35" i="15" s="1"/>
  <c r="X35" i="15"/>
  <c r="N35" i="15" s="1"/>
  <c r="J23" i="15"/>
  <c r="U23" i="15"/>
  <c r="K23" i="15" s="1"/>
  <c r="V23" i="15"/>
  <c r="L23" i="15" s="1"/>
  <c r="W23" i="15"/>
  <c r="M23" i="15" s="1"/>
  <c r="X23" i="15"/>
  <c r="N23" i="15" s="1"/>
  <c r="J11" i="15"/>
  <c r="U11" i="15"/>
  <c r="K11" i="15" s="1"/>
  <c r="V11" i="15"/>
  <c r="L11" i="15" s="1"/>
  <c r="W11" i="15"/>
  <c r="M11" i="15" s="1"/>
  <c r="X11" i="15"/>
  <c r="N11" i="15" s="1"/>
  <c r="T55" i="15"/>
  <c r="V30" i="15"/>
  <c r="L30" i="15" s="1"/>
  <c r="W30" i="15"/>
  <c r="M30" i="15" s="1"/>
  <c r="J30" i="15"/>
  <c r="U30" i="15"/>
  <c r="K30" i="15" s="1"/>
  <c r="X30" i="15"/>
  <c r="N30" i="15" s="1"/>
  <c r="T77" i="15"/>
  <c r="U100" i="15"/>
  <c r="K100" i="15" s="1"/>
  <c r="V100" i="15"/>
  <c r="L100" i="15" s="1"/>
  <c r="AM62" i="2" s="1"/>
  <c r="W100" i="15"/>
  <c r="M100" i="15" s="1"/>
  <c r="AP62" i="2" s="1"/>
  <c r="X100" i="15"/>
  <c r="N100" i="15" s="1"/>
  <c r="AS62" i="2" s="1"/>
  <c r="J100" i="15"/>
  <c r="T52" i="15"/>
  <c r="W63" i="15"/>
  <c r="M63" i="15" s="1"/>
  <c r="X63" i="15"/>
  <c r="N63" i="15" s="1"/>
  <c r="J63" i="15"/>
  <c r="V63" i="15"/>
  <c r="L63" i="15" s="1"/>
  <c r="U63" i="15"/>
  <c r="K63" i="15" s="1"/>
  <c r="T74" i="15"/>
  <c r="U37" i="15"/>
  <c r="K37" i="15" s="1"/>
  <c r="V37" i="15"/>
  <c r="L37" i="15" s="1"/>
  <c r="W37" i="15"/>
  <c r="M37" i="15" s="1"/>
  <c r="X37" i="15"/>
  <c r="N37" i="15" s="1"/>
  <c r="J37" i="15"/>
  <c r="T60" i="15"/>
  <c r="T95" i="15"/>
  <c r="U94" i="15"/>
  <c r="K94" i="15" s="1"/>
  <c r="V94" i="15"/>
  <c r="L94" i="15" s="1"/>
  <c r="J94" i="15"/>
  <c r="W94" i="15"/>
  <c r="M94" i="15" s="1"/>
  <c r="AP56" i="2" s="1"/>
  <c r="X94" i="15"/>
  <c r="N94" i="15" s="1"/>
  <c r="AS56" i="2" s="1"/>
  <c r="T58" i="15"/>
  <c r="T46" i="15"/>
  <c r="U34" i="15"/>
  <c r="K34" i="15" s="1"/>
  <c r="V34" i="15"/>
  <c r="L34" i="15" s="1"/>
  <c r="J34" i="15"/>
  <c r="W34" i="15"/>
  <c r="M34" i="15" s="1"/>
  <c r="X34" i="15"/>
  <c r="N34" i="15" s="1"/>
  <c r="U22" i="15"/>
  <c r="K22" i="15" s="1"/>
  <c r="V22" i="15"/>
  <c r="L22" i="15" s="1"/>
  <c r="J22" i="15"/>
  <c r="W22" i="15"/>
  <c r="M22" i="15" s="1"/>
  <c r="X22" i="15"/>
  <c r="N22" i="15" s="1"/>
  <c r="U10" i="15"/>
  <c r="K10" i="15" s="1"/>
  <c r="V10" i="15"/>
  <c r="L10" i="15" s="1"/>
  <c r="J10" i="15"/>
  <c r="W10" i="15"/>
  <c r="M10" i="15" s="1"/>
  <c r="X10" i="15"/>
  <c r="N10" i="15" s="1"/>
  <c r="T79" i="15"/>
  <c r="X18" i="15"/>
  <c r="N18" i="15" s="1"/>
  <c r="V18" i="15"/>
  <c r="L18" i="15" s="1"/>
  <c r="W18" i="15"/>
  <c r="M18" i="15" s="1"/>
  <c r="U18" i="15"/>
  <c r="K18" i="15" s="1"/>
  <c r="J18" i="15"/>
  <c r="T89" i="15"/>
  <c r="U4" i="15"/>
  <c r="K4" i="15" s="1"/>
  <c r="V4" i="15"/>
  <c r="L4" i="15" s="1"/>
  <c r="W4" i="15"/>
  <c r="M4" i="15" s="1"/>
  <c r="X4" i="15"/>
  <c r="N4" i="15" s="1"/>
  <c r="J4" i="15"/>
  <c r="T86" i="15"/>
  <c r="U97" i="15"/>
  <c r="K97" i="15" s="1"/>
  <c r="V97" i="15"/>
  <c r="L97" i="15" s="1"/>
  <c r="AM59" i="2" s="1"/>
  <c r="W97" i="15"/>
  <c r="M97" i="15" s="1"/>
  <c r="AP59" i="2" s="1"/>
  <c r="X97" i="15"/>
  <c r="N97" i="15" s="1"/>
  <c r="AS59" i="2" s="1"/>
  <c r="J97" i="15"/>
  <c r="T49" i="15"/>
  <c r="T84" i="15"/>
  <c r="T48" i="15"/>
  <c r="T71" i="15"/>
  <c r="T47" i="15"/>
  <c r="T70" i="15"/>
  <c r="J81" i="15"/>
  <c r="V81" i="15"/>
  <c r="L81" i="15" s="1"/>
  <c r="X81" i="15"/>
  <c r="N81" i="15" s="1"/>
  <c r="W81" i="15"/>
  <c r="M81" i="15" s="1"/>
  <c r="U81" i="15"/>
  <c r="K81" i="15" s="1"/>
  <c r="T69" i="15"/>
  <c r="T57" i="15"/>
  <c r="T45" i="15"/>
  <c r="J33" i="15"/>
  <c r="V33" i="15"/>
  <c r="L33" i="15" s="1"/>
  <c r="W33" i="15"/>
  <c r="M33" i="15" s="1"/>
  <c r="X33" i="15"/>
  <c r="N33" i="15" s="1"/>
  <c r="U33" i="15"/>
  <c r="K33" i="15" s="1"/>
  <c r="J21" i="15"/>
  <c r="W21" i="15"/>
  <c r="M21" i="15" s="1"/>
  <c r="U21" i="15"/>
  <c r="K21" i="15" s="1"/>
  <c r="V21" i="15"/>
  <c r="L21" i="15" s="1"/>
  <c r="X21" i="15"/>
  <c r="N21" i="15" s="1"/>
  <c r="J9" i="15"/>
  <c r="V9" i="15"/>
  <c r="L9" i="15" s="1"/>
  <c r="W9" i="15"/>
  <c r="M9" i="15" s="1"/>
  <c r="X9" i="15"/>
  <c r="N9" i="15" s="1"/>
  <c r="U9" i="15"/>
  <c r="K9" i="15" s="1"/>
  <c r="T67" i="15"/>
  <c r="J90" i="15"/>
  <c r="V90" i="15"/>
  <c r="L90" i="15" s="1"/>
  <c r="AM52" i="2" s="1"/>
  <c r="W90" i="15"/>
  <c r="M90" i="15" s="1"/>
  <c r="AP52" i="2" s="1"/>
  <c r="U90" i="15"/>
  <c r="K90" i="15" s="1"/>
  <c r="X90" i="15"/>
  <c r="N90" i="15" s="1"/>
  <c r="AS52" i="2" s="1"/>
  <c r="T78" i="15"/>
  <c r="U41" i="15"/>
  <c r="K41" i="15" s="1"/>
  <c r="V41" i="15"/>
  <c r="L41" i="15" s="1"/>
  <c r="W41" i="15"/>
  <c r="M41" i="15" s="1"/>
  <c r="J41" i="15"/>
  <c r="X41" i="15"/>
  <c r="N41" i="15" s="1"/>
  <c r="U40" i="15"/>
  <c r="K40" i="15" s="1"/>
  <c r="V40" i="15"/>
  <c r="L40" i="15" s="1"/>
  <c r="W40" i="15"/>
  <c r="M40" i="15" s="1"/>
  <c r="X40" i="15"/>
  <c r="N40" i="15" s="1"/>
  <c r="J40" i="15"/>
  <c r="T87" i="15"/>
  <c r="T50" i="15"/>
  <c r="U73" i="15"/>
  <c r="K73" i="15" s="1"/>
  <c r="V73" i="15"/>
  <c r="L73" i="15" s="1"/>
  <c r="W73" i="15"/>
  <c r="M73" i="15" s="1"/>
  <c r="X73" i="15"/>
  <c r="N73" i="15" s="1"/>
  <c r="J73" i="15"/>
  <c r="T96" i="15"/>
  <c r="J83" i="15"/>
  <c r="U83" i="15"/>
  <c r="K83" i="15" s="1"/>
  <c r="AJ45" i="2" s="1"/>
  <c r="V83" i="15"/>
  <c r="L83" i="15" s="1"/>
  <c r="W83" i="15"/>
  <c r="M83" i="15" s="1"/>
  <c r="X83" i="15"/>
  <c r="N83" i="15" s="1"/>
  <c r="T59" i="15"/>
  <c r="T82" i="15"/>
  <c r="T93" i="15"/>
  <c r="X3" i="15"/>
  <c r="N3" i="15" s="1"/>
  <c r="W3" i="15"/>
  <c r="M3" i="15" s="1"/>
  <c r="V3" i="15"/>
  <c r="L3" i="15" s="1"/>
  <c r="J3" i="15"/>
  <c r="U3" i="15"/>
  <c r="K3" i="15" s="1"/>
  <c r="J92" i="15"/>
  <c r="U92" i="15"/>
  <c r="K92" i="15" s="1"/>
  <c r="V92" i="15"/>
  <c r="L92" i="15" s="1"/>
  <c r="W92" i="15"/>
  <c r="M92" i="15" s="1"/>
  <c r="X92" i="15"/>
  <c r="N92" i="15" s="1"/>
  <c r="AS54" i="2" s="1"/>
  <c r="J80" i="15"/>
  <c r="U80" i="15"/>
  <c r="K80" i="15" s="1"/>
  <c r="AJ42" i="2" s="1"/>
  <c r="V80" i="15"/>
  <c r="L80" i="15" s="1"/>
  <c r="W80" i="15"/>
  <c r="M80" i="15" s="1"/>
  <c r="AP42" i="2" s="1"/>
  <c r="X80" i="15"/>
  <c r="N80" i="15" s="1"/>
  <c r="AS42" i="2" s="1"/>
  <c r="T68" i="15"/>
  <c r="T56" i="15"/>
  <c r="J44" i="15"/>
  <c r="U44" i="15"/>
  <c r="K44" i="15" s="1"/>
  <c r="V44" i="15"/>
  <c r="L44" i="15" s="1"/>
  <c r="W44" i="15"/>
  <c r="M44" i="15" s="1"/>
  <c r="AP6" i="2" s="1"/>
  <c r="X44" i="15"/>
  <c r="N44" i="15" s="1"/>
  <c r="AS6" i="2" s="1"/>
  <c r="J32" i="15"/>
  <c r="U32" i="15"/>
  <c r="K32" i="15" s="1"/>
  <c r="V32" i="15"/>
  <c r="L32" i="15" s="1"/>
  <c r="W32" i="15"/>
  <c r="M32" i="15" s="1"/>
  <c r="X32" i="15"/>
  <c r="N32" i="15" s="1"/>
  <c r="J20" i="15"/>
  <c r="U20" i="15"/>
  <c r="K20" i="15" s="1"/>
  <c r="V20" i="15"/>
  <c r="L20" i="15" s="1"/>
  <c r="W20" i="15"/>
  <c r="M20" i="15" s="1"/>
  <c r="X20" i="15"/>
  <c r="N20" i="15" s="1"/>
  <c r="J8" i="15"/>
  <c r="U8" i="15"/>
  <c r="K8" i="15" s="1"/>
  <c r="V8" i="15"/>
  <c r="L8" i="15" s="1"/>
  <c r="W8" i="15"/>
  <c r="M8" i="15" s="1"/>
  <c r="X8" i="15"/>
  <c r="N8" i="15" s="1"/>
  <c r="H15" i="4"/>
  <c r="C15" i="4" s="1"/>
  <c r="R15" i="4"/>
  <c r="R16" i="4"/>
  <c r="H16" i="4"/>
  <c r="C16" i="4" s="1"/>
  <c r="R14" i="4"/>
  <c r="H14" i="4"/>
  <c r="C14" i="4" s="1"/>
  <c r="R13" i="4"/>
  <c r="C13" i="4"/>
  <c r="F67" i="2"/>
  <c r="C67" i="2"/>
  <c r="AM45" i="2"/>
  <c r="AP45" i="2"/>
  <c r="AP26" i="2"/>
  <c r="AS26" i="2"/>
  <c r="AP63" i="2"/>
  <c r="AJ63" i="2"/>
  <c r="AM63" i="2"/>
  <c r="AJ62" i="2"/>
  <c r="AS45" i="2"/>
  <c r="AJ52" i="2"/>
  <c r="AM23" i="2"/>
  <c r="AS23" i="2"/>
  <c r="AJ23" i="2"/>
  <c r="AP23" i="2"/>
  <c r="AM25" i="2"/>
  <c r="AS25" i="2"/>
  <c r="AJ24" i="2"/>
  <c r="AM24" i="2"/>
  <c r="AM43" i="2"/>
  <c r="AJ43" i="2"/>
  <c r="AS43" i="2"/>
  <c r="AM42" i="2"/>
  <c r="AP43" i="2"/>
  <c r="AP35" i="2"/>
  <c r="AS35" i="2"/>
  <c r="AM54" i="2"/>
  <c r="AP54" i="2"/>
  <c r="AM34" i="2"/>
  <c r="AS34" i="2"/>
  <c r="AP25" i="2"/>
  <c r="AP24" i="2"/>
  <c r="AM61" i="2"/>
  <c r="AJ59" i="2"/>
  <c r="AP61" i="2"/>
  <c r="AJ56" i="2"/>
  <c r="AJ35" i="2"/>
  <c r="AM56" i="2"/>
  <c r="AJ54" i="2"/>
  <c r="AJ34" i="2"/>
  <c r="AM35" i="2"/>
  <c r="AJ61" i="2"/>
  <c r="AJ26" i="2"/>
  <c r="AJ6" i="2"/>
  <c r="AJ25" i="2"/>
  <c r="AM26" i="2"/>
  <c r="AM6" i="2"/>
  <c r="J47" i="15" l="1"/>
  <c r="U47" i="15"/>
  <c r="K47" i="15" s="1"/>
  <c r="AJ9" i="2" s="1"/>
  <c r="V47" i="15"/>
  <c r="L47" i="15" s="1"/>
  <c r="AM9" i="2" s="1"/>
  <c r="W47" i="15"/>
  <c r="M47" i="15" s="1"/>
  <c r="AP9" i="2" s="1"/>
  <c r="X47" i="15"/>
  <c r="N47" i="15" s="1"/>
  <c r="AS9" i="2" s="1"/>
  <c r="U58" i="15"/>
  <c r="K58" i="15" s="1"/>
  <c r="AJ20" i="2" s="1"/>
  <c r="V58" i="15"/>
  <c r="L58" i="15" s="1"/>
  <c r="AM20" i="2" s="1"/>
  <c r="J58" i="15"/>
  <c r="W58" i="15"/>
  <c r="M58" i="15" s="1"/>
  <c r="AP20" i="2" s="1"/>
  <c r="X58" i="15"/>
  <c r="N58" i="15" s="1"/>
  <c r="AS20" i="2" s="1"/>
  <c r="W48" i="15"/>
  <c r="M48" i="15" s="1"/>
  <c r="AP10" i="2" s="1"/>
  <c r="X48" i="15"/>
  <c r="N48" i="15" s="1"/>
  <c r="AS10" i="2" s="1"/>
  <c r="V48" i="15"/>
  <c r="L48" i="15" s="1"/>
  <c r="AM10" i="2" s="1"/>
  <c r="J48" i="15"/>
  <c r="U48" i="15"/>
  <c r="K48" i="15" s="1"/>
  <c r="AJ10" i="2" s="1"/>
  <c r="U74" i="15"/>
  <c r="K74" i="15" s="1"/>
  <c r="AJ36" i="2" s="1"/>
  <c r="V74" i="15"/>
  <c r="L74" i="15" s="1"/>
  <c r="AM36" i="2" s="1"/>
  <c r="J74" i="15"/>
  <c r="W74" i="15"/>
  <c r="M74" i="15" s="1"/>
  <c r="AP36" i="2" s="1"/>
  <c r="X74" i="15"/>
  <c r="N74" i="15" s="1"/>
  <c r="AS36" i="2" s="1"/>
  <c r="U43" i="15"/>
  <c r="K43" i="15" s="1"/>
  <c r="AJ5" i="2" s="1"/>
  <c r="V43" i="15"/>
  <c r="L43" i="15" s="1"/>
  <c r="AM5" i="2" s="1"/>
  <c r="W43" i="15"/>
  <c r="M43" i="15" s="1"/>
  <c r="AP5" i="2" s="1"/>
  <c r="X43" i="15"/>
  <c r="N43" i="15" s="1"/>
  <c r="AS5" i="2" s="1"/>
  <c r="J43" i="15"/>
  <c r="AD54" i="2"/>
  <c r="AG54" i="2"/>
  <c r="U82" i="15"/>
  <c r="K82" i="15" s="1"/>
  <c r="AJ44" i="2" s="1"/>
  <c r="V82" i="15"/>
  <c r="L82" i="15" s="1"/>
  <c r="AM44" i="2" s="1"/>
  <c r="L44" i="2" s="1"/>
  <c r="J82" i="15"/>
  <c r="W82" i="15"/>
  <c r="M82" i="15" s="1"/>
  <c r="AP44" i="2" s="1"/>
  <c r="X82" i="15"/>
  <c r="N82" i="15" s="1"/>
  <c r="AS44" i="2" s="1"/>
  <c r="U79" i="15"/>
  <c r="K79" i="15" s="1"/>
  <c r="AJ41" i="2" s="1"/>
  <c r="V79" i="15"/>
  <c r="L79" i="15" s="1"/>
  <c r="AM41" i="2" s="1"/>
  <c r="W79" i="15"/>
  <c r="M79" i="15" s="1"/>
  <c r="AP41" i="2" s="1"/>
  <c r="X79" i="15"/>
  <c r="N79" i="15" s="1"/>
  <c r="AS41" i="2" s="1"/>
  <c r="J79" i="15"/>
  <c r="J69" i="15"/>
  <c r="X69" i="15"/>
  <c r="N69" i="15" s="1"/>
  <c r="AS31" i="2" s="1"/>
  <c r="V69" i="15"/>
  <c r="L69" i="15" s="1"/>
  <c r="AM31" i="2" s="1"/>
  <c r="W69" i="15"/>
  <c r="M69" i="15" s="1"/>
  <c r="AP31" i="2" s="1"/>
  <c r="U69" i="15"/>
  <c r="K69" i="15" s="1"/>
  <c r="AJ31" i="2" s="1"/>
  <c r="AD61" i="2"/>
  <c r="AG61" i="2"/>
  <c r="V66" i="15"/>
  <c r="L66" i="15" s="1"/>
  <c r="AM28" i="2" s="1"/>
  <c r="J66" i="15"/>
  <c r="W66" i="15"/>
  <c r="M66" i="15" s="1"/>
  <c r="AP28" i="2" s="1"/>
  <c r="U66" i="15"/>
  <c r="K66" i="15" s="1"/>
  <c r="AJ28" i="2" s="1"/>
  <c r="X66" i="15"/>
  <c r="N66" i="15" s="1"/>
  <c r="AS28" i="2" s="1"/>
  <c r="U67" i="15"/>
  <c r="K67" i="15" s="1"/>
  <c r="AJ29" i="2" s="1"/>
  <c r="V67" i="15"/>
  <c r="L67" i="15" s="1"/>
  <c r="AM29" i="2" s="1"/>
  <c r="W67" i="15"/>
  <c r="M67" i="15" s="1"/>
  <c r="AP29" i="2" s="1"/>
  <c r="X67" i="15"/>
  <c r="N67" i="15" s="1"/>
  <c r="AS29" i="2" s="1"/>
  <c r="J67" i="15"/>
  <c r="J84" i="15"/>
  <c r="W84" i="15"/>
  <c r="M84" i="15" s="1"/>
  <c r="AP46" i="2" s="1"/>
  <c r="X84" i="15"/>
  <c r="N84" i="15" s="1"/>
  <c r="AS46" i="2" s="1"/>
  <c r="U84" i="15"/>
  <c r="K84" i="15" s="1"/>
  <c r="AJ46" i="2" s="1"/>
  <c r="V84" i="15"/>
  <c r="L84" i="15" s="1"/>
  <c r="AM46" i="2" s="1"/>
  <c r="J77" i="15"/>
  <c r="U77" i="15"/>
  <c r="K77" i="15" s="1"/>
  <c r="AJ39" i="2" s="1"/>
  <c r="C39" i="2" s="1"/>
  <c r="V77" i="15"/>
  <c r="L77" i="15" s="1"/>
  <c r="AM39" i="2" s="1"/>
  <c r="W77" i="15"/>
  <c r="M77" i="15" s="1"/>
  <c r="AP39" i="2" s="1"/>
  <c r="X77" i="15"/>
  <c r="N77" i="15" s="1"/>
  <c r="AS39" i="2" s="1"/>
  <c r="J65" i="15"/>
  <c r="U65" i="15"/>
  <c r="K65" i="15" s="1"/>
  <c r="AJ27" i="2" s="1"/>
  <c r="V65" i="15"/>
  <c r="L65" i="15" s="1"/>
  <c r="AM27" i="2" s="1"/>
  <c r="W65" i="15"/>
  <c r="M65" i="15" s="1"/>
  <c r="AP27" i="2" s="1"/>
  <c r="X65" i="15"/>
  <c r="N65" i="15" s="1"/>
  <c r="AS27" i="2" s="1"/>
  <c r="X51" i="15"/>
  <c r="N51" i="15" s="1"/>
  <c r="AS13" i="2" s="1"/>
  <c r="W51" i="15"/>
  <c r="M51" i="15" s="1"/>
  <c r="AP13" i="2" s="1"/>
  <c r="J51" i="15"/>
  <c r="U51" i="15"/>
  <c r="K51" i="15" s="1"/>
  <c r="AJ13" i="2" s="1"/>
  <c r="C13" i="2" s="1"/>
  <c r="V51" i="15"/>
  <c r="L51" i="15" s="1"/>
  <c r="AM13" i="2" s="1"/>
  <c r="W54" i="15"/>
  <c r="M54" i="15" s="1"/>
  <c r="AP16" i="2" s="1"/>
  <c r="U16" i="2" s="1"/>
  <c r="J54" i="15"/>
  <c r="V54" i="15"/>
  <c r="L54" i="15" s="1"/>
  <c r="AM16" i="2" s="1"/>
  <c r="U54" i="15"/>
  <c r="K54" i="15" s="1"/>
  <c r="AJ16" i="2" s="1"/>
  <c r="X54" i="15"/>
  <c r="N54" i="15" s="1"/>
  <c r="AS16" i="2" s="1"/>
  <c r="U86" i="15"/>
  <c r="K86" i="15" s="1"/>
  <c r="AJ48" i="2" s="1"/>
  <c r="F48" i="2" s="1"/>
  <c r="V86" i="15"/>
  <c r="L86" i="15" s="1"/>
  <c r="AM48" i="2" s="1"/>
  <c r="J86" i="15"/>
  <c r="W86" i="15"/>
  <c r="M86" i="15" s="1"/>
  <c r="AP48" i="2" s="1"/>
  <c r="X86" i="15"/>
  <c r="N86" i="15" s="1"/>
  <c r="AS48" i="2" s="1"/>
  <c r="J59" i="15"/>
  <c r="U59" i="15"/>
  <c r="K59" i="15" s="1"/>
  <c r="AJ21" i="2" s="1"/>
  <c r="V59" i="15"/>
  <c r="L59" i="15" s="1"/>
  <c r="AM21" i="2" s="1"/>
  <c r="R21" i="2" s="1"/>
  <c r="W59" i="15"/>
  <c r="M59" i="15" s="1"/>
  <c r="AP21" i="2" s="1"/>
  <c r="X59" i="15"/>
  <c r="N59" i="15" s="1"/>
  <c r="AS21" i="2" s="1"/>
  <c r="J95" i="15"/>
  <c r="U95" i="15"/>
  <c r="K95" i="15" s="1"/>
  <c r="AJ57" i="2" s="1"/>
  <c r="V95" i="15"/>
  <c r="L95" i="15" s="1"/>
  <c r="AM57" i="2" s="1"/>
  <c r="W95" i="15"/>
  <c r="M95" i="15" s="1"/>
  <c r="AP57" i="2" s="1"/>
  <c r="X95" i="15"/>
  <c r="N95" i="15" s="1"/>
  <c r="AS57" i="2" s="1"/>
  <c r="J56" i="15"/>
  <c r="U56" i="15"/>
  <c r="K56" i="15" s="1"/>
  <c r="AJ18" i="2" s="1"/>
  <c r="V56" i="15"/>
  <c r="L56" i="15" s="1"/>
  <c r="AM18" i="2" s="1"/>
  <c r="O18" i="2" s="1"/>
  <c r="W56" i="15"/>
  <c r="M56" i="15" s="1"/>
  <c r="AP18" i="2" s="1"/>
  <c r="X56" i="15"/>
  <c r="N56" i="15" s="1"/>
  <c r="AS18" i="2" s="1"/>
  <c r="AD18" i="2" s="1"/>
  <c r="U49" i="15"/>
  <c r="K49" i="15" s="1"/>
  <c r="AJ11" i="2" s="1"/>
  <c r="V49" i="15"/>
  <c r="L49" i="15" s="1"/>
  <c r="AM11" i="2" s="1"/>
  <c r="W49" i="15"/>
  <c r="M49" i="15" s="1"/>
  <c r="AP11" i="2" s="1"/>
  <c r="X49" i="15"/>
  <c r="N49" i="15" s="1"/>
  <c r="AS11" i="2" s="1"/>
  <c r="J49" i="15"/>
  <c r="AG63" i="2"/>
  <c r="AD63" i="2"/>
  <c r="W102" i="15"/>
  <c r="M102" i="15" s="1"/>
  <c r="AP64" i="2" s="1"/>
  <c r="J102" i="15"/>
  <c r="V102" i="15"/>
  <c r="L102" i="15" s="1"/>
  <c r="AM64" i="2" s="1"/>
  <c r="R64" i="2" s="1"/>
  <c r="X102" i="15"/>
  <c r="N102" i="15" s="1"/>
  <c r="AS64" i="2" s="1"/>
  <c r="U102" i="15"/>
  <c r="K102" i="15" s="1"/>
  <c r="AJ64" i="2" s="1"/>
  <c r="C64" i="2" s="1"/>
  <c r="U50" i="15"/>
  <c r="K50" i="15" s="1"/>
  <c r="AJ12" i="2" s="1"/>
  <c r="V50" i="15"/>
  <c r="L50" i="15" s="1"/>
  <c r="AM12" i="2" s="1"/>
  <c r="J50" i="15"/>
  <c r="W50" i="15"/>
  <c r="M50" i="15" s="1"/>
  <c r="AP12" i="2" s="1"/>
  <c r="X50" i="15"/>
  <c r="N50" i="15" s="1"/>
  <c r="AS12" i="2" s="1"/>
  <c r="X60" i="15"/>
  <c r="N60" i="15" s="1"/>
  <c r="AS22" i="2" s="1"/>
  <c r="J60" i="15"/>
  <c r="U60" i="15"/>
  <c r="K60" i="15" s="1"/>
  <c r="AJ22" i="2" s="1"/>
  <c r="V60" i="15"/>
  <c r="L60" i="15" s="1"/>
  <c r="AM22" i="2" s="1"/>
  <c r="W60" i="15"/>
  <c r="M60" i="15" s="1"/>
  <c r="AP22" i="2" s="1"/>
  <c r="U22" i="2" s="1"/>
  <c r="U91" i="15"/>
  <c r="K91" i="15" s="1"/>
  <c r="AJ53" i="2" s="1"/>
  <c r="V91" i="15"/>
  <c r="L91" i="15" s="1"/>
  <c r="AM53" i="2" s="1"/>
  <c r="I53" i="2" s="1"/>
  <c r="J91" i="15"/>
  <c r="W91" i="15"/>
  <c r="M91" i="15" s="1"/>
  <c r="AP53" i="2" s="1"/>
  <c r="X91" i="15"/>
  <c r="N91" i="15" s="1"/>
  <c r="AS53" i="2" s="1"/>
  <c r="U98" i="15"/>
  <c r="K98" i="15" s="1"/>
  <c r="AJ60" i="2" s="1"/>
  <c r="V98" i="15"/>
  <c r="L98" i="15" s="1"/>
  <c r="AM60" i="2" s="1"/>
  <c r="J98" i="15"/>
  <c r="W98" i="15"/>
  <c r="M98" i="15" s="1"/>
  <c r="AP60" i="2" s="1"/>
  <c r="X98" i="15"/>
  <c r="N98" i="15" s="1"/>
  <c r="AS60" i="2" s="1"/>
  <c r="U76" i="15"/>
  <c r="K76" i="15" s="1"/>
  <c r="AJ38" i="2" s="1"/>
  <c r="V76" i="15"/>
  <c r="L76" i="15" s="1"/>
  <c r="AM38" i="2" s="1"/>
  <c r="I38" i="2" s="1"/>
  <c r="W76" i="15"/>
  <c r="M76" i="15" s="1"/>
  <c r="AP38" i="2" s="1"/>
  <c r="X76" i="15"/>
  <c r="N76" i="15" s="1"/>
  <c r="AS38" i="2" s="1"/>
  <c r="AG38" i="2" s="1"/>
  <c r="J76" i="15"/>
  <c r="J93" i="15"/>
  <c r="V93" i="15"/>
  <c r="L93" i="15" s="1"/>
  <c r="AM55" i="2" s="1"/>
  <c r="W93" i="15"/>
  <c r="M93" i="15" s="1"/>
  <c r="AP55" i="2" s="1"/>
  <c r="X93" i="15"/>
  <c r="N93" i="15" s="1"/>
  <c r="AS55" i="2" s="1"/>
  <c r="U93" i="15"/>
  <c r="K93" i="15" s="1"/>
  <c r="AJ55" i="2" s="1"/>
  <c r="J68" i="15"/>
  <c r="U68" i="15"/>
  <c r="K68" i="15" s="1"/>
  <c r="AJ30" i="2" s="1"/>
  <c r="V68" i="15"/>
  <c r="L68" i="15" s="1"/>
  <c r="AM30" i="2" s="1"/>
  <c r="O30" i="2" s="1"/>
  <c r="W68" i="15"/>
  <c r="M68" i="15" s="1"/>
  <c r="AP30" i="2" s="1"/>
  <c r="U30" i="2" s="1"/>
  <c r="X68" i="15"/>
  <c r="N68" i="15" s="1"/>
  <c r="AS30" i="2" s="1"/>
  <c r="U70" i="15"/>
  <c r="K70" i="15" s="1"/>
  <c r="AJ32" i="2" s="1"/>
  <c r="F32" i="2" s="1"/>
  <c r="V70" i="15"/>
  <c r="L70" i="15" s="1"/>
  <c r="AM32" i="2" s="1"/>
  <c r="J70" i="15"/>
  <c r="W70" i="15"/>
  <c r="M70" i="15" s="1"/>
  <c r="AP32" i="2" s="1"/>
  <c r="X70" i="15"/>
  <c r="N70" i="15" s="1"/>
  <c r="AS32" i="2" s="1"/>
  <c r="J89" i="15"/>
  <c r="U89" i="15"/>
  <c r="K89" i="15" s="1"/>
  <c r="AJ51" i="2" s="1"/>
  <c r="V89" i="15"/>
  <c r="L89" i="15" s="1"/>
  <c r="AM51" i="2" s="1"/>
  <c r="W89" i="15"/>
  <c r="M89" i="15" s="1"/>
  <c r="AP51" i="2" s="1"/>
  <c r="X89" i="15"/>
  <c r="N89" i="15" s="1"/>
  <c r="AS51" i="2" s="1"/>
  <c r="U46" i="15"/>
  <c r="K46" i="15" s="1"/>
  <c r="AJ8" i="2" s="1"/>
  <c r="C8" i="2" s="1"/>
  <c r="V46" i="15"/>
  <c r="L46" i="15" s="1"/>
  <c r="AM8" i="2" s="1"/>
  <c r="J46" i="15"/>
  <c r="W46" i="15"/>
  <c r="M46" i="15" s="1"/>
  <c r="AP8" i="2" s="1"/>
  <c r="X46" i="15"/>
  <c r="N46" i="15" s="1"/>
  <c r="AS8" i="2" s="1"/>
  <c r="U88" i="15"/>
  <c r="K88" i="15" s="1"/>
  <c r="AJ50" i="2" s="1"/>
  <c r="V88" i="15"/>
  <c r="L88" i="15" s="1"/>
  <c r="AM50" i="2" s="1"/>
  <c r="W88" i="15"/>
  <c r="M88" i="15" s="1"/>
  <c r="AP50" i="2" s="1"/>
  <c r="X88" i="15"/>
  <c r="N88" i="15" s="1"/>
  <c r="AS50" i="2" s="1"/>
  <c r="J88" i="15"/>
  <c r="W87" i="15"/>
  <c r="M87" i="15" s="1"/>
  <c r="AP49" i="2" s="1"/>
  <c r="V87" i="15"/>
  <c r="L87" i="15" s="1"/>
  <c r="AM49" i="2" s="1"/>
  <c r="X87" i="15"/>
  <c r="N87" i="15" s="1"/>
  <c r="AS49" i="2" s="1"/>
  <c r="AG49" i="2" s="1"/>
  <c r="J87" i="15"/>
  <c r="U87" i="15"/>
  <c r="K87" i="15" s="1"/>
  <c r="AJ49" i="2" s="1"/>
  <c r="F49" i="2" s="1"/>
  <c r="V78" i="15"/>
  <c r="L78" i="15" s="1"/>
  <c r="AM40" i="2" s="1"/>
  <c r="W78" i="15"/>
  <c r="M78" i="15" s="1"/>
  <c r="AP40" i="2" s="1"/>
  <c r="J78" i="15"/>
  <c r="U78" i="15"/>
  <c r="K78" i="15" s="1"/>
  <c r="AJ40" i="2" s="1"/>
  <c r="X78" i="15"/>
  <c r="N78" i="15" s="1"/>
  <c r="AS40" i="2" s="1"/>
  <c r="AD40" i="2" s="1"/>
  <c r="J45" i="15"/>
  <c r="V45" i="15"/>
  <c r="L45" i="15" s="1"/>
  <c r="AM7" i="2" s="1"/>
  <c r="W45" i="15"/>
  <c r="M45" i="15" s="1"/>
  <c r="AP7" i="2" s="1"/>
  <c r="X45" i="15"/>
  <c r="N45" i="15" s="1"/>
  <c r="AS7" i="2" s="1"/>
  <c r="U45" i="15"/>
  <c r="K45" i="15" s="1"/>
  <c r="AJ7" i="2" s="1"/>
  <c r="C7" i="2" s="1"/>
  <c r="AG59" i="2"/>
  <c r="AD59" i="2"/>
  <c r="U52" i="15"/>
  <c r="K52" i="15" s="1"/>
  <c r="AJ14" i="2" s="1"/>
  <c r="V52" i="15"/>
  <c r="L52" i="15" s="1"/>
  <c r="AM14" i="2" s="1"/>
  <c r="W52" i="15"/>
  <c r="M52" i="15" s="1"/>
  <c r="AP14" i="2" s="1"/>
  <c r="X52" i="15"/>
  <c r="N52" i="15" s="1"/>
  <c r="AS14" i="2" s="1"/>
  <c r="J52" i="15"/>
  <c r="W75" i="15"/>
  <c r="M75" i="15" s="1"/>
  <c r="AP37" i="2" s="1"/>
  <c r="V75" i="15"/>
  <c r="L75" i="15" s="1"/>
  <c r="AM37" i="2" s="1"/>
  <c r="X75" i="15"/>
  <c r="N75" i="15" s="1"/>
  <c r="AS37" i="2" s="1"/>
  <c r="AG37" i="2" s="1"/>
  <c r="J75" i="15"/>
  <c r="U75" i="15"/>
  <c r="K75" i="15" s="1"/>
  <c r="AJ37" i="2" s="1"/>
  <c r="J57" i="15"/>
  <c r="V57" i="15"/>
  <c r="L57" i="15" s="1"/>
  <c r="AM19" i="2" s="1"/>
  <c r="I19" i="2" s="1"/>
  <c r="W57" i="15"/>
  <c r="M57" i="15" s="1"/>
  <c r="AP19" i="2" s="1"/>
  <c r="X57" i="15"/>
  <c r="N57" i="15" s="1"/>
  <c r="AS19" i="2" s="1"/>
  <c r="U57" i="15"/>
  <c r="K57" i="15" s="1"/>
  <c r="AJ19" i="2" s="1"/>
  <c r="U55" i="15"/>
  <c r="K55" i="15" s="1"/>
  <c r="AJ17" i="2" s="1"/>
  <c r="V55" i="15"/>
  <c r="L55" i="15" s="1"/>
  <c r="AM17" i="2" s="1"/>
  <c r="W55" i="15"/>
  <c r="M55" i="15" s="1"/>
  <c r="AP17" i="2" s="1"/>
  <c r="X55" i="15"/>
  <c r="N55" i="15" s="1"/>
  <c r="AS17" i="2" s="1"/>
  <c r="AG17" i="2" s="1"/>
  <c r="J55" i="15"/>
  <c r="W96" i="15"/>
  <c r="M96" i="15" s="1"/>
  <c r="AP58" i="2" s="1"/>
  <c r="AA58" i="2" s="1"/>
  <c r="X96" i="15"/>
  <c r="N96" i="15" s="1"/>
  <c r="AS58" i="2" s="1"/>
  <c r="J96" i="15"/>
  <c r="U96" i="15"/>
  <c r="K96" i="15" s="1"/>
  <c r="AJ58" i="2" s="1"/>
  <c r="V96" i="15"/>
  <c r="L96" i="15" s="1"/>
  <c r="AM58" i="2" s="1"/>
  <c r="J71" i="15"/>
  <c r="U71" i="15"/>
  <c r="K71" i="15" s="1"/>
  <c r="AJ33" i="2" s="1"/>
  <c r="V71" i="15"/>
  <c r="L71" i="15" s="1"/>
  <c r="AM33" i="2" s="1"/>
  <c r="W71" i="15"/>
  <c r="M71" i="15" s="1"/>
  <c r="AP33" i="2" s="1"/>
  <c r="X71" i="15"/>
  <c r="N71" i="15" s="1"/>
  <c r="AS33" i="2" s="1"/>
  <c r="AD33" i="2" s="1"/>
  <c r="AD56" i="2"/>
  <c r="AG56" i="2"/>
  <c r="AD62" i="2"/>
  <c r="AG62" i="2"/>
  <c r="U85" i="15"/>
  <c r="K85" i="15" s="1"/>
  <c r="AJ47" i="2" s="1"/>
  <c r="C47" i="2" s="1"/>
  <c r="V85" i="15"/>
  <c r="L85" i="15" s="1"/>
  <c r="AM47" i="2" s="1"/>
  <c r="I47" i="2" s="1"/>
  <c r="W85" i="15"/>
  <c r="M85" i="15" s="1"/>
  <c r="AP47" i="2" s="1"/>
  <c r="X85" i="15"/>
  <c r="N85" i="15" s="1"/>
  <c r="AS47" i="2" s="1"/>
  <c r="J85" i="15"/>
  <c r="U53" i="15"/>
  <c r="K53" i="15" s="1"/>
  <c r="AJ15" i="2" s="1"/>
  <c r="J53" i="15"/>
  <c r="V53" i="15"/>
  <c r="L53" i="15" s="1"/>
  <c r="AM15" i="2" s="1"/>
  <c r="W53" i="15"/>
  <c r="M53" i="15" s="1"/>
  <c r="AP15" i="2" s="1"/>
  <c r="X53" i="15"/>
  <c r="N53" i="15" s="1"/>
  <c r="AS15" i="2" s="1"/>
  <c r="AG15" i="2" s="1"/>
  <c r="AD48" i="2"/>
  <c r="AG48" i="2"/>
  <c r="AD50" i="2"/>
  <c r="AG50" i="2"/>
  <c r="AG40" i="2"/>
  <c r="AD34" i="2"/>
  <c r="AG34" i="2"/>
  <c r="AD35" i="2"/>
  <c r="AG35" i="2"/>
  <c r="AD37" i="2"/>
  <c r="AD32" i="2"/>
  <c r="AG32" i="2"/>
  <c r="AG43" i="2"/>
  <c r="AD43" i="2"/>
  <c r="AD25" i="2"/>
  <c r="AG25" i="2"/>
  <c r="AD44" i="2"/>
  <c r="AG44" i="2"/>
  <c r="AG52" i="2"/>
  <c r="AD52" i="2"/>
  <c r="AD45" i="2"/>
  <c r="AG45" i="2"/>
  <c r="AD26" i="2"/>
  <c r="AG26" i="2"/>
  <c r="AG23" i="2"/>
  <c r="AD23" i="2"/>
  <c r="AD19" i="2"/>
  <c r="AG19" i="2"/>
  <c r="AG42" i="2"/>
  <c r="AD42" i="2"/>
  <c r="AG21" i="2"/>
  <c r="AD21" i="2"/>
  <c r="AD17" i="2"/>
  <c r="AD20" i="2"/>
  <c r="AG20" i="2"/>
  <c r="AD9" i="2"/>
  <c r="AG9" i="2"/>
  <c r="AD13" i="2"/>
  <c r="AG13" i="2"/>
  <c r="AD12" i="2"/>
  <c r="AG12" i="2"/>
  <c r="AG46" i="2"/>
  <c r="AD46" i="2"/>
  <c r="AG6" i="2"/>
  <c r="AD6" i="2"/>
  <c r="AD29" i="2"/>
  <c r="AG29" i="2"/>
  <c r="AD24" i="2"/>
  <c r="AG24" i="2"/>
  <c r="AG22" i="2"/>
  <c r="AD22" i="2"/>
  <c r="AG28" i="2"/>
  <c r="AD28" i="2"/>
  <c r="AD49" i="2"/>
  <c r="AG39" i="2"/>
  <c r="AD39" i="2"/>
  <c r="AA34" i="2"/>
  <c r="U34" i="2"/>
  <c r="U13" i="2"/>
  <c r="AA13" i="2"/>
  <c r="U14" i="2"/>
  <c r="AA14" i="2"/>
  <c r="AA53" i="2"/>
  <c r="U53" i="2"/>
  <c r="AA10" i="2"/>
  <c r="U10" i="2"/>
  <c r="U41" i="2"/>
  <c r="AA41" i="2"/>
  <c r="AA36" i="2"/>
  <c r="U36" i="2"/>
  <c r="U24" i="2"/>
  <c r="AA24" i="2"/>
  <c r="AA42" i="2"/>
  <c r="U42" i="2"/>
  <c r="U23" i="2"/>
  <c r="AA23" i="2"/>
  <c r="AA12" i="2"/>
  <c r="U12" i="2"/>
  <c r="X60" i="2"/>
  <c r="X61" i="2"/>
  <c r="X54" i="2"/>
  <c r="X47" i="2"/>
  <c r="X40" i="2"/>
  <c r="X33" i="2"/>
  <c r="X26" i="2"/>
  <c r="X67" i="2"/>
  <c r="X35" i="2"/>
  <c r="X29" i="2"/>
  <c r="X15" i="2"/>
  <c r="X72" i="2"/>
  <c r="X58" i="2"/>
  <c r="X24" i="2"/>
  <c r="X10" i="2"/>
  <c r="X53" i="2"/>
  <c r="X59" i="2"/>
  <c r="X68" i="2"/>
  <c r="X69" i="2"/>
  <c r="X62" i="2"/>
  <c r="X55" i="2"/>
  <c r="X48" i="2"/>
  <c r="X41" i="2"/>
  <c r="X34" i="2"/>
  <c r="AA5" i="2"/>
  <c r="X43" i="2"/>
  <c r="X44" i="2"/>
  <c r="X17" i="2"/>
  <c r="U5" i="2"/>
  <c r="X25" i="2"/>
  <c r="X12" i="2"/>
  <c r="X13" i="2"/>
  <c r="X6" i="2"/>
  <c r="X70" i="2"/>
  <c r="X63" i="2"/>
  <c r="X56" i="2"/>
  <c r="X49" i="2"/>
  <c r="X42" i="2"/>
  <c r="X11" i="2"/>
  <c r="X51" i="2"/>
  <c r="X28" i="2"/>
  <c r="X22" i="2"/>
  <c r="X65" i="2"/>
  <c r="X5" i="2"/>
  <c r="X31" i="2"/>
  <c r="X74" i="2"/>
  <c r="X46" i="2"/>
  <c r="X32" i="2"/>
  <c r="X20" i="2"/>
  <c r="X21" i="2"/>
  <c r="X14" i="2"/>
  <c r="X7" i="2"/>
  <c r="X71" i="2"/>
  <c r="X64" i="2"/>
  <c r="X57" i="2"/>
  <c r="X50" i="2"/>
  <c r="X75" i="2"/>
  <c r="X8" i="2"/>
  <c r="X45" i="2"/>
  <c r="X52" i="2"/>
  <c r="X18" i="2"/>
  <c r="X36" i="2"/>
  <c r="X37" i="2"/>
  <c r="X30" i="2"/>
  <c r="X23" i="2"/>
  <c r="X16" i="2"/>
  <c r="X9" i="2"/>
  <c r="X73" i="2"/>
  <c r="X66" i="2"/>
  <c r="X19" i="2"/>
  <c r="X38" i="2"/>
  <c r="X39" i="2"/>
  <c r="X27" i="2"/>
  <c r="AA6" i="2"/>
  <c r="U6" i="2"/>
  <c r="AA17" i="2"/>
  <c r="U17" i="2"/>
  <c r="AA29" i="2"/>
  <c r="U29" i="2"/>
  <c r="U49" i="2"/>
  <c r="AA49" i="2"/>
  <c r="AA37" i="2"/>
  <c r="U37" i="2"/>
  <c r="AA61" i="2"/>
  <c r="U61" i="2"/>
  <c r="U62" i="2"/>
  <c r="AA62" i="2"/>
  <c r="AA45" i="2"/>
  <c r="U45" i="2"/>
  <c r="AA47" i="2"/>
  <c r="U47" i="2"/>
  <c r="U59" i="2"/>
  <c r="AA59" i="2"/>
  <c r="AA8" i="2"/>
  <c r="U8" i="2"/>
  <c r="U25" i="2"/>
  <c r="AA25" i="2"/>
  <c r="U52" i="2"/>
  <c r="AA52" i="2"/>
  <c r="AA20" i="2"/>
  <c r="U20" i="2"/>
  <c r="AA51" i="2"/>
  <c r="U51" i="2"/>
  <c r="U57" i="2"/>
  <c r="AA57" i="2"/>
  <c r="U7" i="2"/>
  <c r="AA7" i="2"/>
  <c r="U28" i="2"/>
  <c r="AA28" i="2"/>
  <c r="U31" i="2"/>
  <c r="AA31" i="2"/>
  <c r="U39" i="2"/>
  <c r="AA39" i="2"/>
  <c r="AA35" i="2"/>
  <c r="U35" i="2"/>
  <c r="AA18" i="2"/>
  <c r="U18" i="2"/>
  <c r="AA11" i="2"/>
  <c r="U11" i="2"/>
  <c r="U38" i="2"/>
  <c r="AA38" i="2"/>
  <c r="AA50" i="2"/>
  <c r="U50" i="2"/>
  <c r="U56" i="2"/>
  <c r="AA56" i="2"/>
  <c r="U27" i="2"/>
  <c r="AA27" i="2"/>
  <c r="U48" i="2"/>
  <c r="AA48" i="2"/>
  <c r="U54" i="2"/>
  <c r="AA54" i="2"/>
  <c r="U43" i="2"/>
  <c r="AA43" i="2"/>
  <c r="AA22" i="2"/>
  <c r="AA63" i="2"/>
  <c r="U63" i="2"/>
  <c r="AA26" i="2"/>
  <c r="U26" i="2"/>
  <c r="I7" i="2"/>
  <c r="L7" i="2"/>
  <c r="O7" i="2"/>
  <c r="R7" i="2"/>
  <c r="O59" i="2"/>
  <c r="R59" i="2"/>
  <c r="I59" i="2"/>
  <c r="L59" i="2"/>
  <c r="L37" i="2"/>
  <c r="O37" i="2"/>
  <c r="R37" i="2"/>
  <c r="I37" i="2"/>
  <c r="L61" i="2"/>
  <c r="O61" i="2"/>
  <c r="R61" i="2"/>
  <c r="I61" i="2"/>
  <c r="R24" i="2"/>
  <c r="I24" i="2"/>
  <c r="L24" i="2"/>
  <c r="O24" i="2"/>
  <c r="O14" i="2"/>
  <c r="R14" i="2"/>
  <c r="I14" i="2"/>
  <c r="L14" i="2"/>
  <c r="O6" i="2"/>
  <c r="R6" i="2"/>
  <c r="I6" i="2"/>
  <c r="L6" i="2"/>
  <c r="O27" i="2"/>
  <c r="R27" i="2"/>
  <c r="I27" i="2"/>
  <c r="L27" i="2"/>
  <c r="O10" i="2"/>
  <c r="R10" i="2"/>
  <c r="I10" i="2"/>
  <c r="L10" i="2"/>
  <c r="L20" i="2"/>
  <c r="O20" i="2"/>
  <c r="R20" i="2"/>
  <c r="I20" i="2"/>
  <c r="L19" i="2"/>
  <c r="O62" i="2"/>
  <c r="R62" i="2"/>
  <c r="I62" i="2"/>
  <c r="L62" i="2"/>
  <c r="R5" i="2"/>
  <c r="O5" i="2"/>
  <c r="L5" i="2"/>
  <c r="I5" i="2"/>
  <c r="O26" i="2"/>
  <c r="R26" i="2"/>
  <c r="I26" i="2"/>
  <c r="L26" i="2"/>
  <c r="L47" i="2"/>
  <c r="O50" i="2"/>
  <c r="R50" i="2"/>
  <c r="I50" i="2"/>
  <c r="L50" i="2"/>
  <c r="I64" i="2"/>
  <c r="L52" i="2"/>
  <c r="O52" i="2"/>
  <c r="R52" i="2"/>
  <c r="I52" i="2"/>
  <c r="I46" i="2"/>
  <c r="L46" i="2"/>
  <c r="O46" i="2"/>
  <c r="R46" i="2"/>
  <c r="R33" i="2"/>
  <c r="I33" i="2"/>
  <c r="L33" i="2"/>
  <c r="O33" i="2"/>
  <c r="I23" i="2"/>
  <c r="L23" i="2"/>
  <c r="O23" i="2"/>
  <c r="R23" i="2"/>
  <c r="I63" i="2"/>
  <c r="L63" i="2"/>
  <c r="O63" i="2"/>
  <c r="R63" i="2"/>
  <c r="L45" i="2"/>
  <c r="O45" i="2"/>
  <c r="R45" i="2"/>
  <c r="I45" i="2"/>
  <c r="I44" i="2"/>
  <c r="R28" i="2"/>
  <c r="I28" i="2"/>
  <c r="L28" i="2"/>
  <c r="O28" i="2"/>
  <c r="O11" i="2"/>
  <c r="R11" i="2"/>
  <c r="I11" i="2"/>
  <c r="L11" i="2"/>
  <c r="L60" i="2"/>
  <c r="O60" i="2"/>
  <c r="R60" i="2"/>
  <c r="I60" i="2"/>
  <c r="I15" i="2"/>
  <c r="L15" i="2"/>
  <c r="O15" i="2"/>
  <c r="R15" i="2"/>
  <c r="O34" i="2"/>
  <c r="R34" i="2"/>
  <c r="I34" i="2"/>
  <c r="L34" i="2"/>
  <c r="R44" i="2"/>
  <c r="R8" i="2"/>
  <c r="I8" i="2"/>
  <c r="L8" i="2"/>
  <c r="O8" i="2"/>
  <c r="O51" i="2"/>
  <c r="R51" i="2"/>
  <c r="I51" i="2"/>
  <c r="L51" i="2"/>
  <c r="O35" i="2"/>
  <c r="R35" i="2"/>
  <c r="I35" i="2"/>
  <c r="L35" i="2"/>
  <c r="R16" i="2"/>
  <c r="I16" i="2"/>
  <c r="L16" i="2"/>
  <c r="O16" i="2"/>
  <c r="R41" i="2"/>
  <c r="I41" i="2"/>
  <c r="L41" i="2"/>
  <c r="O41" i="2"/>
  <c r="R25" i="2"/>
  <c r="I25" i="2"/>
  <c r="L25" i="2"/>
  <c r="O25" i="2"/>
  <c r="O44" i="2"/>
  <c r="R9" i="2"/>
  <c r="I9" i="2"/>
  <c r="L9" i="2"/>
  <c r="O9" i="2"/>
  <c r="I55" i="2"/>
  <c r="L55" i="2"/>
  <c r="O55" i="2"/>
  <c r="R55" i="2"/>
  <c r="R36" i="2"/>
  <c r="I36" i="2"/>
  <c r="L36" i="2"/>
  <c r="O36" i="2"/>
  <c r="R32" i="2"/>
  <c r="I32" i="2"/>
  <c r="L32" i="2"/>
  <c r="O32" i="2"/>
  <c r="I54" i="2"/>
  <c r="L54" i="2"/>
  <c r="O54" i="2"/>
  <c r="R54" i="2"/>
  <c r="O43" i="2"/>
  <c r="R43" i="2"/>
  <c r="I43" i="2"/>
  <c r="L43" i="2"/>
  <c r="R53" i="2"/>
  <c r="L53" i="2"/>
  <c r="O31" i="2"/>
  <c r="R31" i="2"/>
  <c r="I31" i="2"/>
  <c r="L31" i="2"/>
  <c r="O58" i="2"/>
  <c r="R58" i="2"/>
  <c r="I58" i="2"/>
  <c r="L58" i="2"/>
  <c r="R56" i="2"/>
  <c r="I56" i="2"/>
  <c r="L56" i="2"/>
  <c r="O56" i="2"/>
  <c r="L40" i="2"/>
  <c r="O40" i="2"/>
  <c r="R40" i="2"/>
  <c r="I40" i="2"/>
  <c r="O42" i="2"/>
  <c r="R42" i="2"/>
  <c r="I42" i="2"/>
  <c r="L42" i="2"/>
  <c r="F5" i="2"/>
  <c r="C5" i="2"/>
  <c r="F26" i="2"/>
  <c r="C26" i="2"/>
  <c r="F10" i="2"/>
  <c r="C10" i="2"/>
  <c r="F42" i="2"/>
  <c r="C42" i="2"/>
  <c r="F44" i="2"/>
  <c r="C44" i="2"/>
  <c r="F22" i="2"/>
  <c r="C22" i="2"/>
  <c r="F25" i="2"/>
  <c r="C25" i="2"/>
  <c r="F46" i="2"/>
  <c r="C46" i="2"/>
  <c r="C11" i="2"/>
  <c r="F11" i="2"/>
  <c r="C57" i="2"/>
  <c r="F57" i="2"/>
  <c r="F35" i="2"/>
  <c r="C35" i="2"/>
  <c r="F45" i="2"/>
  <c r="C45" i="2"/>
  <c r="F30" i="2"/>
  <c r="C30" i="2"/>
  <c r="C61" i="2"/>
  <c r="F61" i="2"/>
  <c r="F17" i="2"/>
  <c r="C17" i="2"/>
  <c r="F13" i="2"/>
  <c r="C62" i="2"/>
  <c r="F62" i="2"/>
  <c r="F54" i="2"/>
  <c r="C54" i="2"/>
  <c r="C31" i="2"/>
  <c r="F31" i="2"/>
  <c r="F21" i="2"/>
  <c r="C21" i="2"/>
  <c r="F14" i="2"/>
  <c r="C14" i="2"/>
  <c r="F16" i="2"/>
  <c r="C16" i="2"/>
  <c r="C56" i="2"/>
  <c r="F56" i="2"/>
  <c r="F24" i="2"/>
  <c r="C24" i="2"/>
  <c r="F23" i="2"/>
  <c r="C23" i="2"/>
  <c r="F52" i="2"/>
  <c r="C52" i="2"/>
  <c r="C12" i="2"/>
  <c r="F12" i="2"/>
  <c r="F47" i="2"/>
  <c r="C48" i="2"/>
  <c r="F8" i="2"/>
  <c r="F41" i="2"/>
  <c r="C41" i="2"/>
  <c r="F27" i="2"/>
  <c r="C27" i="2"/>
  <c r="F51" i="2"/>
  <c r="C51" i="2"/>
  <c r="F34" i="2"/>
  <c r="C34" i="2"/>
  <c r="C15" i="2"/>
  <c r="F15" i="2"/>
  <c r="F33" i="2"/>
  <c r="C33" i="2"/>
  <c r="F59" i="2"/>
  <c r="C59" i="2"/>
  <c r="F19" i="2"/>
  <c r="C19" i="2"/>
  <c r="F9" i="2"/>
  <c r="C9" i="2"/>
  <c r="F36" i="2"/>
  <c r="C36" i="2"/>
  <c r="C55" i="2"/>
  <c r="F55" i="2"/>
  <c r="F40" i="2"/>
  <c r="C40" i="2"/>
  <c r="F60" i="2"/>
  <c r="C60" i="2"/>
  <c r="C63" i="2"/>
  <c r="F63" i="2"/>
  <c r="F29" i="2"/>
  <c r="C29" i="2"/>
  <c r="C6" i="2"/>
  <c r="F6" i="2"/>
  <c r="F43" i="2"/>
  <c r="C43" i="2"/>
  <c r="F53" i="2"/>
  <c r="C53" i="2"/>
  <c r="C7" i="4"/>
  <c r="R49" i="2" l="1"/>
  <c r="O49" i="2"/>
  <c r="I49" i="2"/>
  <c r="L49" i="2"/>
  <c r="F18" i="2"/>
  <c r="C18" i="2"/>
  <c r="O38" i="2"/>
  <c r="L18" i="2"/>
  <c r="L64" i="2"/>
  <c r="R19" i="2"/>
  <c r="AG60" i="2"/>
  <c r="AD60" i="2"/>
  <c r="U64" i="2"/>
  <c r="AA64" i="2"/>
  <c r="AD58" i="2"/>
  <c r="AG58" i="2"/>
  <c r="O22" i="2"/>
  <c r="I22" i="2"/>
  <c r="L22" i="2"/>
  <c r="R22" i="2"/>
  <c r="L38" i="2"/>
  <c r="I18" i="2"/>
  <c r="L30" i="2"/>
  <c r="O64" i="2"/>
  <c r="O19" i="2"/>
  <c r="AD38" i="2"/>
  <c r="AA15" i="2"/>
  <c r="U15" i="2"/>
  <c r="U60" i="2"/>
  <c r="AA60" i="2"/>
  <c r="AG57" i="2"/>
  <c r="AD57" i="2"/>
  <c r="AD51" i="2"/>
  <c r="AG51" i="2"/>
  <c r="I30" i="2"/>
  <c r="R48" i="2"/>
  <c r="I48" i="2"/>
  <c r="L48" i="2"/>
  <c r="O48" i="2"/>
  <c r="AD27" i="2"/>
  <c r="AG27" i="2"/>
  <c r="F37" i="2"/>
  <c r="C37" i="2"/>
  <c r="F28" i="2"/>
  <c r="C28" i="2"/>
  <c r="R18" i="2"/>
  <c r="C32" i="2"/>
  <c r="F64" i="2"/>
  <c r="O21" i="2"/>
  <c r="R30" i="2"/>
  <c r="AA16" i="2"/>
  <c r="U33" i="2"/>
  <c r="AA33" i="2"/>
  <c r="R17" i="2"/>
  <c r="I17" i="2"/>
  <c r="L17" i="2"/>
  <c r="O17" i="2"/>
  <c r="AG55" i="2"/>
  <c r="AD55" i="2"/>
  <c r="I57" i="2"/>
  <c r="L57" i="2"/>
  <c r="O57" i="2"/>
  <c r="R57" i="2"/>
  <c r="U46" i="2"/>
  <c r="AA46" i="2"/>
  <c r="AD36" i="2"/>
  <c r="AG36" i="2"/>
  <c r="AG41" i="2"/>
  <c r="AD41" i="2"/>
  <c r="L21" i="2"/>
  <c r="AA30" i="2"/>
  <c r="AD15" i="2"/>
  <c r="AD14" i="2"/>
  <c r="AG14" i="2"/>
  <c r="U55" i="2"/>
  <c r="AA55" i="2"/>
  <c r="AD11" i="2"/>
  <c r="AG11" i="2"/>
  <c r="AD16" i="2"/>
  <c r="AG16" i="2"/>
  <c r="AA44" i="2"/>
  <c r="U44" i="2"/>
  <c r="F39" i="2"/>
  <c r="R38" i="2"/>
  <c r="F38" i="2"/>
  <c r="C38" i="2"/>
  <c r="F7" i="2"/>
  <c r="C49" i="2"/>
  <c r="I21" i="2"/>
  <c r="AG18" i="2"/>
  <c r="C50" i="2"/>
  <c r="F50" i="2"/>
  <c r="U32" i="2"/>
  <c r="AA32" i="2"/>
  <c r="AD53" i="2"/>
  <c r="AG53" i="2"/>
  <c r="F20" i="2"/>
  <c r="C20" i="2"/>
  <c r="AG7" i="2"/>
  <c r="AD7" i="2"/>
  <c r="AD5" i="2"/>
  <c r="AG5" i="2"/>
  <c r="R47" i="2"/>
  <c r="U58" i="2"/>
  <c r="AG33" i="2"/>
  <c r="AG47" i="2"/>
  <c r="AD47" i="2"/>
  <c r="U40" i="2"/>
  <c r="AA40" i="2"/>
  <c r="AD8" i="2"/>
  <c r="AG8" i="2"/>
  <c r="L12" i="2"/>
  <c r="O12" i="2"/>
  <c r="R12" i="2"/>
  <c r="I12" i="2"/>
  <c r="AD10" i="2"/>
  <c r="AG10" i="2"/>
  <c r="O53" i="2"/>
  <c r="O47" i="2"/>
  <c r="U19" i="2"/>
  <c r="AA19" i="2"/>
  <c r="AA21" i="2"/>
  <c r="U21" i="2"/>
  <c r="U9" i="2"/>
  <c r="AA9" i="2"/>
  <c r="L29" i="2"/>
  <c r="R29" i="2"/>
  <c r="O29" i="2"/>
  <c r="I29" i="2"/>
  <c r="AG31" i="2"/>
  <c r="AD31" i="2"/>
  <c r="C58" i="2"/>
  <c r="F58" i="2"/>
  <c r="AG30" i="2"/>
  <c r="AD30" i="2"/>
  <c r="AG64" i="2"/>
  <c r="AD64" i="2"/>
  <c r="L13" i="2"/>
  <c r="I13" i="2"/>
  <c r="R13" i="2"/>
  <c r="O13" i="2"/>
  <c r="I39" i="2"/>
  <c r="O39" i="2"/>
  <c r="L39" i="2"/>
  <c r="R39" i="2"/>
  <c r="M20" i="4"/>
  <c r="L20" i="4"/>
  <c r="M19" i="4"/>
  <c r="L19" i="4"/>
  <c r="L18" i="4"/>
  <c r="M18" i="4"/>
  <c r="M17" i="4"/>
  <c r="L17" i="4"/>
  <c r="O17" i="4" l="1"/>
  <c r="O18" i="4"/>
  <c r="O19" i="4"/>
  <c r="O20" i="4"/>
  <c r="W21" i="4"/>
  <c r="V21" i="4"/>
  <c r="W17" i="4"/>
  <c r="V17" i="4"/>
  <c r="W19" i="4"/>
  <c r="V19" i="4"/>
  <c r="W23" i="4"/>
  <c r="V23" i="4"/>
  <c r="V22" i="4"/>
  <c r="W22" i="4"/>
  <c r="W20" i="4"/>
  <c r="V20" i="4"/>
  <c r="W18" i="4"/>
  <c r="V18" i="4"/>
  <c r="V24" i="4"/>
  <c r="W24" i="4"/>
  <c r="Y20" i="4" l="1"/>
  <c r="C20" i="4" s="1"/>
  <c r="Y22" i="4"/>
  <c r="Y21" i="4"/>
  <c r="Y17" i="4"/>
  <c r="C17" i="4" s="1"/>
  <c r="Y19" i="4"/>
  <c r="C19" i="4" s="1"/>
  <c r="Y23" i="4"/>
  <c r="Y24" i="4"/>
  <c r="Y18" i="4"/>
  <c r="C18" i="4" s="1"/>
  <c r="M23" i="4" l="1"/>
  <c r="D15" i="7"/>
  <c r="D9" i="7"/>
  <c r="AJ6" i="42" l="1"/>
  <c r="AG6" i="42"/>
  <c r="AK6" i="42"/>
  <c r="AD6" i="42"/>
  <c r="C73" i="42"/>
  <c r="C65" i="42"/>
  <c r="C57" i="42"/>
  <c r="C49" i="42"/>
  <c r="C41" i="42"/>
  <c r="C33" i="42"/>
  <c r="C25" i="42"/>
  <c r="C17" i="42"/>
  <c r="C9" i="42"/>
  <c r="C71" i="41"/>
  <c r="C63" i="41"/>
  <c r="C55" i="41"/>
  <c r="C47" i="41"/>
  <c r="C39" i="41"/>
  <c r="C31" i="41"/>
  <c r="C23" i="41"/>
  <c r="C15" i="41"/>
  <c r="C78" i="40"/>
  <c r="C70" i="40"/>
  <c r="C62" i="40"/>
  <c r="C54" i="40"/>
  <c r="C46" i="40"/>
  <c r="C38" i="40"/>
  <c r="C30" i="40"/>
  <c r="C22" i="40"/>
  <c r="C14" i="40"/>
  <c r="C75" i="38"/>
  <c r="C67" i="38"/>
  <c r="C59" i="38"/>
  <c r="C51" i="38"/>
  <c r="C43" i="38"/>
  <c r="C35" i="38"/>
  <c r="C27" i="38"/>
  <c r="C19" i="38"/>
  <c r="C11" i="38"/>
  <c r="C26" i="42"/>
  <c r="C18" i="42"/>
  <c r="C56" i="41"/>
  <c r="C8" i="41"/>
  <c r="C31" i="40"/>
  <c r="C76" i="38"/>
  <c r="C8" i="38"/>
  <c r="C72" i="42"/>
  <c r="C64" i="42"/>
  <c r="C56" i="42"/>
  <c r="C48" i="42"/>
  <c r="C40" i="42"/>
  <c r="C32" i="42"/>
  <c r="C24" i="42"/>
  <c r="C16" i="42"/>
  <c r="C8" i="42"/>
  <c r="C70" i="41"/>
  <c r="C62" i="41"/>
  <c r="C54" i="41"/>
  <c r="C46" i="41"/>
  <c r="C38" i="41"/>
  <c r="C30" i="41"/>
  <c r="C22" i="41"/>
  <c r="C14" i="41"/>
  <c r="C77" i="40"/>
  <c r="C69" i="40"/>
  <c r="C61" i="40"/>
  <c r="C53" i="40"/>
  <c r="C45" i="40"/>
  <c r="C37" i="40"/>
  <c r="C29" i="40"/>
  <c r="C21" i="40"/>
  <c r="C13" i="40"/>
  <c r="C74" i="38"/>
  <c r="C66" i="38"/>
  <c r="C58" i="38"/>
  <c r="C50" i="38"/>
  <c r="C42" i="38"/>
  <c r="C34" i="38"/>
  <c r="C26" i="38"/>
  <c r="C18" i="38"/>
  <c r="C10" i="38"/>
  <c r="C42" i="42"/>
  <c r="C72" i="41"/>
  <c r="C24" i="41"/>
  <c r="C47" i="40"/>
  <c r="C36" i="38"/>
  <c r="C71" i="42"/>
  <c r="C63" i="42"/>
  <c r="C55" i="42"/>
  <c r="C47" i="42"/>
  <c r="C39" i="42"/>
  <c r="C31" i="42"/>
  <c r="C23" i="42"/>
  <c r="C15" i="42"/>
  <c r="C77" i="41"/>
  <c r="C69" i="41"/>
  <c r="C61" i="41"/>
  <c r="C53" i="41"/>
  <c r="C45" i="41"/>
  <c r="C37" i="41"/>
  <c r="C29" i="41"/>
  <c r="C21" i="41"/>
  <c r="C13" i="41"/>
  <c r="C76" i="40"/>
  <c r="C68" i="40"/>
  <c r="C60" i="40"/>
  <c r="C52" i="40"/>
  <c r="C44" i="40"/>
  <c r="C36" i="40"/>
  <c r="C28" i="40"/>
  <c r="C20" i="40"/>
  <c r="C12" i="40"/>
  <c r="C73" i="38"/>
  <c r="C65" i="38"/>
  <c r="C57" i="38"/>
  <c r="C49" i="38"/>
  <c r="C41" i="38"/>
  <c r="C33" i="38"/>
  <c r="C25" i="38"/>
  <c r="C17" i="38"/>
  <c r="C9" i="38"/>
  <c r="C58" i="42"/>
  <c r="C10" i="42"/>
  <c r="C16" i="41"/>
  <c r="C39" i="40"/>
  <c r="C44" i="38"/>
  <c r="C70" i="42"/>
  <c r="C62" i="42"/>
  <c r="C54" i="42"/>
  <c r="C46" i="42"/>
  <c r="C38" i="42"/>
  <c r="C30" i="42"/>
  <c r="C22" i="42"/>
  <c r="C14" i="42"/>
  <c r="C76" i="41"/>
  <c r="C68" i="41"/>
  <c r="C60" i="41"/>
  <c r="C52" i="41"/>
  <c r="C44" i="41"/>
  <c r="C36" i="41"/>
  <c r="C28" i="41"/>
  <c r="C20" i="41"/>
  <c r="C12" i="41"/>
  <c r="C75" i="40"/>
  <c r="C67" i="40"/>
  <c r="C59" i="40"/>
  <c r="C51" i="40"/>
  <c r="C43" i="40"/>
  <c r="C35" i="40"/>
  <c r="C27" i="40"/>
  <c r="C19" i="40"/>
  <c r="C11" i="40"/>
  <c r="C72" i="38"/>
  <c r="C64" i="38"/>
  <c r="C56" i="38"/>
  <c r="C48" i="38"/>
  <c r="C40" i="38"/>
  <c r="C32" i="38"/>
  <c r="C24" i="38"/>
  <c r="C16" i="38"/>
  <c r="C34" i="42"/>
  <c r="C32" i="41"/>
  <c r="C55" i="40"/>
  <c r="C60" i="38"/>
  <c r="C20" i="38"/>
  <c r="C77" i="42"/>
  <c r="C69" i="42"/>
  <c r="C61" i="42"/>
  <c r="C53" i="42"/>
  <c r="C45" i="42"/>
  <c r="C37" i="42"/>
  <c r="C29" i="42"/>
  <c r="C21" i="42"/>
  <c r="C13" i="42"/>
  <c r="C75" i="41"/>
  <c r="C67" i="41"/>
  <c r="C59" i="41"/>
  <c r="C51" i="41"/>
  <c r="C43" i="41"/>
  <c r="C35" i="41"/>
  <c r="C27" i="41"/>
  <c r="C19" i="41"/>
  <c r="C11" i="41"/>
  <c r="C74" i="40"/>
  <c r="C66" i="40"/>
  <c r="C58" i="40"/>
  <c r="C50" i="40"/>
  <c r="C42" i="40"/>
  <c r="C34" i="40"/>
  <c r="C26" i="40"/>
  <c r="C18" i="40"/>
  <c r="C10" i="40"/>
  <c r="C71" i="38"/>
  <c r="C63" i="38"/>
  <c r="C55" i="38"/>
  <c r="C47" i="38"/>
  <c r="C39" i="38"/>
  <c r="C31" i="38"/>
  <c r="C23" i="38"/>
  <c r="C15" i="38"/>
  <c r="C50" i="42"/>
  <c r="C48" i="41"/>
  <c r="C71" i="40"/>
  <c r="C23" i="40"/>
  <c r="C68" i="38"/>
  <c r="C12" i="38"/>
  <c r="C76" i="42"/>
  <c r="C68" i="42"/>
  <c r="C60" i="42"/>
  <c r="C52" i="42"/>
  <c r="C44" i="42"/>
  <c r="C36" i="42"/>
  <c r="C28" i="42"/>
  <c r="C20" i="42"/>
  <c r="C12" i="42"/>
  <c r="C74" i="41"/>
  <c r="C66" i="41"/>
  <c r="C58" i="41"/>
  <c r="C50" i="41"/>
  <c r="C42" i="41"/>
  <c r="C34" i="41"/>
  <c r="C26" i="41"/>
  <c r="C18" i="41"/>
  <c r="C10" i="41"/>
  <c r="C73" i="40"/>
  <c r="C65" i="40"/>
  <c r="C57" i="40"/>
  <c r="C49" i="40"/>
  <c r="C41" i="40"/>
  <c r="C33" i="40"/>
  <c r="C25" i="40"/>
  <c r="C17" i="40"/>
  <c r="C9" i="40"/>
  <c r="C78" i="38"/>
  <c r="C70" i="38"/>
  <c r="C62" i="38"/>
  <c r="C54" i="38"/>
  <c r="C46" i="38"/>
  <c r="C38" i="38"/>
  <c r="C30" i="38"/>
  <c r="C22" i="38"/>
  <c r="C14" i="38"/>
  <c r="C66" i="42"/>
  <c r="C40" i="41"/>
  <c r="C15" i="40"/>
  <c r="C28" i="38"/>
  <c r="C75" i="42"/>
  <c r="C67" i="42"/>
  <c r="C59" i="42"/>
  <c r="C51" i="42"/>
  <c r="C43" i="42"/>
  <c r="C35" i="42"/>
  <c r="C27" i="42"/>
  <c r="C19" i="42"/>
  <c r="C11" i="42"/>
  <c r="C73" i="41"/>
  <c r="C65" i="41"/>
  <c r="C57" i="41"/>
  <c r="C49" i="41"/>
  <c r="C41" i="41"/>
  <c r="C33" i="41"/>
  <c r="C25" i="41"/>
  <c r="C17" i="41"/>
  <c r="C9" i="41"/>
  <c r="C72" i="40"/>
  <c r="C64" i="40"/>
  <c r="C56" i="40"/>
  <c r="C48" i="40"/>
  <c r="C40" i="40"/>
  <c r="C32" i="40"/>
  <c r="C24" i="40"/>
  <c r="C16" i="40"/>
  <c r="C8" i="40"/>
  <c r="C77" i="38"/>
  <c r="C69" i="38"/>
  <c r="C61" i="38"/>
  <c r="C53" i="38"/>
  <c r="C45" i="38"/>
  <c r="C37" i="38"/>
  <c r="C29" i="38"/>
  <c r="C21" i="38"/>
  <c r="C13" i="38"/>
  <c r="C74" i="42"/>
  <c r="C64" i="41"/>
  <c r="C63" i="40"/>
  <c r="C52" i="38"/>
  <c r="AU6" i="41"/>
  <c r="AT6" i="41"/>
  <c r="AI6" i="42"/>
  <c r="AR6" i="41"/>
  <c r="AF6" i="42"/>
  <c r="AQ6" i="41"/>
  <c r="AC6" i="42"/>
  <c r="AN6" i="41"/>
  <c r="AA6" i="42"/>
  <c r="AY6" i="41"/>
  <c r="AM6" i="41"/>
  <c r="Z6" i="42"/>
  <c r="AX6" i="41"/>
  <c r="AW6" i="41"/>
  <c r="L23" i="4"/>
  <c r="O23" i="4" s="1"/>
  <c r="C23" i="4" s="1"/>
  <c r="M24" i="4"/>
  <c r="L24" i="4"/>
  <c r="M22" i="4"/>
  <c r="L22" i="4"/>
  <c r="M21" i="4"/>
  <c r="L21" i="4"/>
  <c r="C10" i="4"/>
  <c r="C9" i="4"/>
  <c r="C8" i="4"/>
  <c r="X50" i="39" l="1"/>
  <c r="X26" i="39"/>
  <c r="X35" i="39"/>
  <c r="X53" i="39"/>
  <c r="X27" i="39"/>
  <c r="X19" i="39"/>
  <c r="X14" i="39"/>
  <c r="X16" i="39"/>
  <c r="X13" i="39"/>
  <c r="X12" i="39"/>
  <c r="X34" i="39"/>
  <c r="X8" i="39"/>
  <c r="X37" i="39"/>
  <c r="X32" i="39"/>
  <c r="X15" i="39"/>
  <c r="X22" i="39"/>
  <c r="X24" i="39"/>
  <c r="X52" i="39"/>
  <c r="X36" i="39"/>
  <c r="X42" i="39"/>
  <c r="X44" i="39"/>
  <c r="X39" i="39"/>
  <c r="X51" i="39"/>
  <c r="X17" i="39"/>
  <c r="X31" i="39"/>
  <c r="X18" i="39"/>
  <c r="X41" i="39"/>
  <c r="X47" i="39"/>
  <c r="X28" i="39"/>
  <c r="X49" i="39"/>
  <c r="X20" i="39"/>
  <c r="X9" i="39"/>
  <c r="X11" i="39"/>
  <c r="X33" i="39"/>
  <c r="X40" i="39"/>
  <c r="X30" i="39"/>
  <c r="X45" i="39"/>
  <c r="X38" i="39"/>
  <c r="X29" i="39"/>
  <c r="X10" i="39"/>
  <c r="X21" i="39"/>
  <c r="X23" i="39"/>
  <c r="X25" i="39"/>
  <c r="X46" i="39"/>
  <c r="X48" i="39"/>
  <c r="X43" i="39"/>
  <c r="H49" i="40"/>
  <c r="F49" i="40"/>
  <c r="E49" i="40"/>
  <c r="G49" i="40"/>
  <c r="H29" i="42"/>
  <c r="F29" i="42"/>
  <c r="E29" i="42"/>
  <c r="G29" i="42"/>
  <c r="I16" i="41"/>
  <c r="AB16" i="39" s="1"/>
  <c r="H16" i="41"/>
  <c r="AA16" i="39" s="1"/>
  <c r="F16" i="41"/>
  <c r="Y16" i="39" s="1"/>
  <c r="G16" i="41"/>
  <c r="Z16" i="39" s="1"/>
  <c r="H31" i="42"/>
  <c r="G31" i="42"/>
  <c r="F31" i="42"/>
  <c r="E31" i="42"/>
  <c r="H50" i="38"/>
  <c r="F50" i="38"/>
  <c r="E50" i="38"/>
  <c r="G50" i="38"/>
  <c r="H38" i="41"/>
  <c r="AA38" i="39" s="1"/>
  <c r="G38" i="41"/>
  <c r="Z38" i="39" s="1"/>
  <c r="I38" i="41"/>
  <c r="AB38" i="39" s="1"/>
  <c r="F38" i="41"/>
  <c r="Y38" i="39" s="1"/>
  <c r="F17" i="42"/>
  <c r="H17" i="42"/>
  <c r="E17" i="42"/>
  <c r="G17" i="42"/>
  <c r="H74" i="42"/>
  <c r="E74" i="42"/>
  <c r="F74" i="42"/>
  <c r="G74" i="42"/>
  <c r="H69" i="38"/>
  <c r="G69" i="38"/>
  <c r="E69" i="38"/>
  <c r="F69" i="38"/>
  <c r="H56" i="40"/>
  <c r="E56" i="40"/>
  <c r="F56" i="40"/>
  <c r="G56" i="40"/>
  <c r="I49" i="41"/>
  <c r="AB49" i="39" s="1"/>
  <c r="F49" i="41"/>
  <c r="Y49" i="39" s="1"/>
  <c r="G49" i="41"/>
  <c r="Z49" i="39" s="1"/>
  <c r="H49" i="41"/>
  <c r="AA49" i="39" s="1"/>
  <c r="G43" i="42"/>
  <c r="F43" i="42"/>
  <c r="H43" i="42"/>
  <c r="E43" i="42"/>
  <c r="H66" i="42"/>
  <c r="F66" i="42"/>
  <c r="G66" i="42"/>
  <c r="E66" i="42"/>
  <c r="H70" i="38"/>
  <c r="G70" i="38"/>
  <c r="F70" i="38"/>
  <c r="E70" i="38"/>
  <c r="H57" i="40"/>
  <c r="E57" i="40"/>
  <c r="F57" i="40"/>
  <c r="G57" i="40"/>
  <c r="I50" i="41"/>
  <c r="AB50" i="39" s="1"/>
  <c r="F50" i="41"/>
  <c r="Y50" i="39" s="1"/>
  <c r="G50" i="41"/>
  <c r="Z50" i="39" s="1"/>
  <c r="H50" i="41"/>
  <c r="AA50" i="39" s="1"/>
  <c r="G44" i="42"/>
  <c r="F44" i="42"/>
  <c r="H44" i="42"/>
  <c r="E44" i="42"/>
  <c r="H71" i="40"/>
  <c r="F71" i="40"/>
  <c r="G71" i="40"/>
  <c r="E71" i="40"/>
  <c r="H55" i="38"/>
  <c r="E55" i="38"/>
  <c r="G55" i="38"/>
  <c r="F55" i="38"/>
  <c r="H50" i="40"/>
  <c r="G50" i="40"/>
  <c r="F50" i="40"/>
  <c r="E50" i="40"/>
  <c r="I43" i="41"/>
  <c r="AB43" i="39" s="1"/>
  <c r="H43" i="41"/>
  <c r="AA43" i="39" s="1"/>
  <c r="G43" i="41"/>
  <c r="Z43" i="39" s="1"/>
  <c r="F43" i="41"/>
  <c r="Y43" i="39" s="1"/>
  <c r="H37" i="42"/>
  <c r="F37" i="42"/>
  <c r="G37" i="42"/>
  <c r="E37" i="42"/>
  <c r="H55" i="40"/>
  <c r="G55" i="40"/>
  <c r="F55" i="40"/>
  <c r="E55" i="40"/>
  <c r="H56" i="38"/>
  <c r="F56" i="38"/>
  <c r="E56" i="38"/>
  <c r="G56" i="38"/>
  <c r="H51" i="40"/>
  <c r="E51" i="40"/>
  <c r="F51" i="40"/>
  <c r="G51" i="40"/>
  <c r="G44" i="41"/>
  <c r="Z44" i="39" s="1"/>
  <c r="I44" i="41"/>
  <c r="AB44" i="39" s="1"/>
  <c r="H44" i="41"/>
  <c r="AA44" i="39" s="1"/>
  <c r="F44" i="41"/>
  <c r="Y44" i="39" s="1"/>
  <c r="F38" i="42"/>
  <c r="H38" i="42"/>
  <c r="G38" i="42"/>
  <c r="E38" i="42"/>
  <c r="F10" i="42"/>
  <c r="G10" i="42"/>
  <c r="H10" i="42"/>
  <c r="E10" i="42"/>
  <c r="H57" i="38"/>
  <c r="G57" i="38"/>
  <c r="F57" i="38"/>
  <c r="E57" i="38"/>
  <c r="H52" i="40"/>
  <c r="G52" i="40"/>
  <c r="F52" i="40"/>
  <c r="E52" i="40"/>
  <c r="I45" i="41"/>
  <c r="AB45" i="39" s="1"/>
  <c r="G45" i="41"/>
  <c r="Z45" i="39" s="1"/>
  <c r="H45" i="41"/>
  <c r="AA45" i="39" s="1"/>
  <c r="F45" i="41"/>
  <c r="Y45" i="39" s="1"/>
  <c r="F39" i="42"/>
  <c r="H39" i="42"/>
  <c r="G39" i="42"/>
  <c r="E39" i="42"/>
  <c r="I72" i="41"/>
  <c r="H72" i="41"/>
  <c r="G72" i="41"/>
  <c r="F72" i="41"/>
  <c r="H58" i="38"/>
  <c r="F58" i="38"/>
  <c r="E58" i="38"/>
  <c r="G58" i="38"/>
  <c r="H53" i="40"/>
  <c r="F53" i="40"/>
  <c r="E53" i="40"/>
  <c r="G53" i="40"/>
  <c r="I46" i="41"/>
  <c r="AB46" i="39" s="1"/>
  <c r="G46" i="41"/>
  <c r="Z46" i="39" s="1"/>
  <c r="F46" i="41"/>
  <c r="Y46" i="39" s="1"/>
  <c r="H46" i="41"/>
  <c r="AA46" i="39" s="1"/>
  <c r="H40" i="42"/>
  <c r="G40" i="42"/>
  <c r="F40" i="42"/>
  <c r="E40" i="42"/>
  <c r="I8" i="41"/>
  <c r="AB8" i="39" s="1"/>
  <c r="G8" i="41"/>
  <c r="Z8" i="39" s="1"/>
  <c r="H8" i="41"/>
  <c r="AA8" i="39" s="1"/>
  <c r="F8" i="41"/>
  <c r="Y8" i="39" s="1"/>
  <c r="G43" i="38"/>
  <c r="F43" i="38"/>
  <c r="H43" i="38"/>
  <c r="E43" i="38"/>
  <c r="H38" i="40"/>
  <c r="F38" i="40"/>
  <c r="G38" i="40"/>
  <c r="E38" i="40"/>
  <c r="I31" i="41"/>
  <c r="AB31" i="39" s="1"/>
  <c r="H31" i="41"/>
  <c r="AA31" i="39" s="1"/>
  <c r="G31" i="41"/>
  <c r="Z31" i="39" s="1"/>
  <c r="F31" i="41"/>
  <c r="Y31" i="39" s="1"/>
  <c r="H25" i="42"/>
  <c r="G25" i="42"/>
  <c r="E25" i="42"/>
  <c r="F25" i="42"/>
  <c r="H48" i="40"/>
  <c r="F48" i="40"/>
  <c r="G48" i="40"/>
  <c r="E48" i="40"/>
  <c r="G42" i="41"/>
  <c r="Z42" i="39" s="1"/>
  <c r="H42" i="41"/>
  <c r="AA42" i="39" s="1"/>
  <c r="I42" i="41"/>
  <c r="AB42" i="39" s="1"/>
  <c r="F42" i="41"/>
  <c r="Y42" i="39" s="1"/>
  <c r="H60" i="38"/>
  <c r="G60" i="38"/>
  <c r="E60" i="38"/>
  <c r="F60" i="38"/>
  <c r="H49" i="38"/>
  <c r="G49" i="38"/>
  <c r="F49" i="38"/>
  <c r="E49" i="38"/>
  <c r="H31" i="40"/>
  <c r="G31" i="40"/>
  <c r="F31" i="40"/>
  <c r="E31" i="40"/>
  <c r="H13" i="38"/>
  <c r="G13" i="38"/>
  <c r="F13" i="38"/>
  <c r="E13" i="38"/>
  <c r="H77" i="38"/>
  <c r="G77" i="38"/>
  <c r="F77" i="38"/>
  <c r="E77" i="38"/>
  <c r="H64" i="40"/>
  <c r="F64" i="40"/>
  <c r="E64" i="40"/>
  <c r="G64" i="40"/>
  <c r="I57" i="41"/>
  <c r="F57" i="41"/>
  <c r="G57" i="41"/>
  <c r="H57" i="41"/>
  <c r="H51" i="42"/>
  <c r="G51" i="42"/>
  <c r="E51" i="42"/>
  <c r="F51" i="42"/>
  <c r="H14" i="38"/>
  <c r="G14" i="38"/>
  <c r="E14" i="38"/>
  <c r="F14" i="38"/>
  <c r="H78" i="38"/>
  <c r="E78" i="38"/>
  <c r="G78" i="38"/>
  <c r="F78" i="38"/>
  <c r="H65" i="40"/>
  <c r="G65" i="40"/>
  <c r="E65" i="40"/>
  <c r="F65" i="40"/>
  <c r="I58" i="41"/>
  <c r="H58" i="41"/>
  <c r="F58" i="41"/>
  <c r="G58" i="41"/>
  <c r="H52" i="42"/>
  <c r="E52" i="42"/>
  <c r="G52" i="42"/>
  <c r="F52" i="42"/>
  <c r="I48" i="41"/>
  <c r="AB48" i="39" s="1"/>
  <c r="F48" i="41"/>
  <c r="Y48" i="39" s="1"/>
  <c r="G48" i="41"/>
  <c r="Z48" i="39" s="1"/>
  <c r="H48" i="41"/>
  <c r="AA48" i="39" s="1"/>
  <c r="H63" i="38"/>
  <c r="E63" i="38"/>
  <c r="G63" i="38"/>
  <c r="F63" i="38"/>
  <c r="H58" i="40"/>
  <c r="F58" i="40"/>
  <c r="E58" i="40"/>
  <c r="G58" i="40"/>
  <c r="I51" i="41"/>
  <c r="AB51" i="39" s="1"/>
  <c r="G51" i="41"/>
  <c r="Z51" i="39" s="1"/>
  <c r="H51" i="41"/>
  <c r="AA51" i="39" s="1"/>
  <c r="F51" i="41"/>
  <c r="Y51" i="39" s="1"/>
  <c r="F45" i="42"/>
  <c r="H45" i="42"/>
  <c r="G45" i="42"/>
  <c r="E45" i="42"/>
  <c r="I32" i="41"/>
  <c r="AB32" i="39" s="1"/>
  <c r="H32" i="41"/>
  <c r="AA32" i="39" s="1"/>
  <c r="G32" i="41"/>
  <c r="Z32" i="39" s="1"/>
  <c r="F32" i="41"/>
  <c r="Y32" i="39" s="1"/>
  <c r="H64" i="38"/>
  <c r="E64" i="38"/>
  <c r="G64" i="38"/>
  <c r="F64" i="38"/>
  <c r="H59" i="40"/>
  <c r="F59" i="40"/>
  <c r="E59" i="40"/>
  <c r="G59" i="40"/>
  <c r="I52" i="41"/>
  <c r="AB52" i="39" s="1"/>
  <c r="G52" i="41"/>
  <c r="Z52" i="39" s="1"/>
  <c r="H52" i="41"/>
  <c r="AA52" i="39" s="1"/>
  <c r="F52" i="41"/>
  <c r="Y52" i="39" s="1"/>
  <c r="H46" i="42"/>
  <c r="F46" i="42"/>
  <c r="E46" i="42"/>
  <c r="G46" i="42"/>
  <c r="H58" i="42"/>
  <c r="F58" i="42"/>
  <c r="G58" i="42"/>
  <c r="E58" i="42"/>
  <c r="H65" i="38"/>
  <c r="E65" i="38"/>
  <c r="G65" i="38"/>
  <c r="F65" i="38"/>
  <c r="H60" i="40"/>
  <c r="G60" i="40"/>
  <c r="F60" i="40"/>
  <c r="E60" i="40"/>
  <c r="I53" i="41"/>
  <c r="AB53" i="39" s="1"/>
  <c r="F53" i="41"/>
  <c r="Y53" i="39" s="1"/>
  <c r="H53" i="41"/>
  <c r="AA53" i="39" s="1"/>
  <c r="G53" i="41"/>
  <c r="Z53" i="39" s="1"/>
  <c r="H47" i="42"/>
  <c r="F47" i="42"/>
  <c r="G47" i="42"/>
  <c r="E47" i="42"/>
  <c r="F42" i="42"/>
  <c r="H42" i="42"/>
  <c r="G42" i="42"/>
  <c r="E42" i="42"/>
  <c r="H66" i="38"/>
  <c r="G66" i="38"/>
  <c r="E66" i="38"/>
  <c r="F66" i="38"/>
  <c r="H61" i="40"/>
  <c r="F61" i="40"/>
  <c r="E61" i="40"/>
  <c r="G61" i="40"/>
  <c r="I54" i="41"/>
  <c r="F54" i="41"/>
  <c r="H54" i="41"/>
  <c r="G54" i="41"/>
  <c r="H48" i="42"/>
  <c r="F48" i="42"/>
  <c r="G48" i="42"/>
  <c r="E48" i="42"/>
  <c r="I56" i="41"/>
  <c r="G56" i="41"/>
  <c r="H56" i="41"/>
  <c r="F56" i="41"/>
  <c r="H51" i="38"/>
  <c r="F51" i="38"/>
  <c r="G51" i="38"/>
  <c r="E51" i="38"/>
  <c r="G46" i="40"/>
  <c r="E46" i="40"/>
  <c r="F46" i="40"/>
  <c r="H46" i="40"/>
  <c r="H39" i="41"/>
  <c r="AA39" i="39" s="1"/>
  <c r="G39" i="41"/>
  <c r="Z39" i="39" s="1"/>
  <c r="I39" i="41"/>
  <c r="AB39" i="39" s="1"/>
  <c r="F39" i="41"/>
  <c r="Y39" i="39" s="1"/>
  <c r="G33" i="42"/>
  <c r="H33" i="42"/>
  <c r="F33" i="42"/>
  <c r="E33" i="42"/>
  <c r="I64" i="41"/>
  <c r="G64" i="41"/>
  <c r="H64" i="41"/>
  <c r="F64" i="41"/>
  <c r="G40" i="41"/>
  <c r="Z40" i="39" s="1"/>
  <c r="I40" i="41"/>
  <c r="AB40" i="39" s="1"/>
  <c r="H40" i="41"/>
  <c r="AA40" i="39" s="1"/>
  <c r="F40" i="41"/>
  <c r="Y40" i="39" s="1"/>
  <c r="H47" i="38"/>
  <c r="G47" i="38"/>
  <c r="F47" i="38"/>
  <c r="E47" i="38"/>
  <c r="H43" i="40"/>
  <c r="G43" i="40"/>
  <c r="F43" i="40"/>
  <c r="E43" i="40"/>
  <c r="I37" i="41"/>
  <c r="AB37" i="39" s="1"/>
  <c r="G37" i="41"/>
  <c r="Z37" i="39" s="1"/>
  <c r="H37" i="41"/>
  <c r="AA37" i="39" s="1"/>
  <c r="F37" i="41"/>
  <c r="Y37" i="39" s="1"/>
  <c r="I23" i="41"/>
  <c r="AB23" i="39" s="1"/>
  <c r="F23" i="41"/>
  <c r="Y23" i="39" s="1"/>
  <c r="H23" i="41"/>
  <c r="AA23" i="39" s="1"/>
  <c r="G23" i="41"/>
  <c r="Z23" i="39" s="1"/>
  <c r="E21" i="38"/>
  <c r="F21" i="38"/>
  <c r="G21" i="38"/>
  <c r="H21" i="38"/>
  <c r="H8" i="40"/>
  <c r="G8" i="40"/>
  <c r="F8" i="40"/>
  <c r="E8" i="40"/>
  <c r="H72" i="40"/>
  <c r="F72" i="40"/>
  <c r="E72" i="40"/>
  <c r="G72" i="40"/>
  <c r="I65" i="41"/>
  <c r="G65" i="41"/>
  <c r="H65" i="41"/>
  <c r="F65" i="41"/>
  <c r="H59" i="42"/>
  <c r="F59" i="42"/>
  <c r="G59" i="42"/>
  <c r="E59" i="42"/>
  <c r="H22" i="38"/>
  <c r="E22" i="38"/>
  <c r="G22" i="38"/>
  <c r="F22" i="38"/>
  <c r="H9" i="40"/>
  <c r="F9" i="40"/>
  <c r="G9" i="40"/>
  <c r="E9" i="40"/>
  <c r="H73" i="40"/>
  <c r="G73" i="40"/>
  <c r="E73" i="40"/>
  <c r="F73" i="40"/>
  <c r="I66" i="41"/>
  <c r="G66" i="41"/>
  <c r="F66" i="41"/>
  <c r="H66" i="41"/>
  <c r="H60" i="42"/>
  <c r="F60" i="42"/>
  <c r="E60" i="42"/>
  <c r="G60" i="42"/>
  <c r="H50" i="42"/>
  <c r="F50" i="42"/>
  <c r="G50" i="42"/>
  <c r="E50" i="42"/>
  <c r="H71" i="38"/>
  <c r="F71" i="38"/>
  <c r="E71" i="38"/>
  <c r="G71" i="38"/>
  <c r="H66" i="40"/>
  <c r="E66" i="40"/>
  <c r="G66" i="40"/>
  <c r="F66" i="40"/>
  <c r="I59" i="41"/>
  <c r="F59" i="41"/>
  <c r="G59" i="41"/>
  <c r="H59" i="41"/>
  <c r="H53" i="42"/>
  <c r="G53" i="42"/>
  <c r="F53" i="42"/>
  <c r="E53" i="42"/>
  <c r="H34" i="42"/>
  <c r="G34" i="42"/>
  <c r="F34" i="42"/>
  <c r="E34" i="42"/>
  <c r="H72" i="38"/>
  <c r="G72" i="38"/>
  <c r="E72" i="38"/>
  <c r="F72" i="38"/>
  <c r="H67" i="40"/>
  <c r="G67" i="40"/>
  <c r="E67" i="40"/>
  <c r="F67" i="40"/>
  <c r="I60" i="41"/>
  <c r="F60" i="41"/>
  <c r="G60" i="41"/>
  <c r="H60" i="41"/>
  <c r="H54" i="42"/>
  <c r="G54" i="42"/>
  <c r="F54" i="42"/>
  <c r="E54" i="42"/>
  <c r="F9" i="38"/>
  <c r="H9" i="38"/>
  <c r="G9" i="38"/>
  <c r="E9" i="38"/>
  <c r="H73" i="38"/>
  <c r="G73" i="38"/>
  <c r="F73" i="38"/>
  <c r="E73" i="38"/>
  <c r="H68" i="40"/>
  <c r="G68" i="40"/>
  <c r="E68" i="40"/>
  <c r="F68" i="40"/>
  <c r="I61" i="41"/>
  <c r="H61" i="41"/>
  <c r="F61" i="41"/>
  <c r="G61" i="41"/>
  <c r="H55" i="42"/>
  <c r="G55" i="42"/>
  <c r="E55" i="42"/>
  <c r="F55" i="42"/>
  <c r="H10" i="38"/>
  <c r="E10" i="38"/>
  <c r="F10" i="38"/>
  <c r="G10" i="38"/>
  <c r="H74" i="38"/>
  <c r="E74" i="38"/>
  <c r="F74" i="38"/>
  <c r="G74" i="38"/>
  <c r="H69" i="40"/>
  <c r="E69" i="40"/>
  <c r="F69" i="40"/>
  <c r="G69" i="40"/>
  <c r="I62" i="41"/>
  <c r="G62" i="41"/>
  <c r="F62" i="41"/>
  <c r="H62" i="41"/>
  <c r="H56" i="42"/>
  <c r="G56" i="42"/>
  <c r="F56" i="42"/>
  <c r="E56" i="42"/>
  <c r="F18" i="42"/>
  <c r="H18" i="42"/>
  <c r="E18" i="42"/>
  <c r="G18" i="42"/>
  <c r="H59" i="38"/>
  <c r="G59" i="38"/>
  <c r="E59" i="38"/>
  <c r="F59" i="38"/>
  <c r="H54" i="40"/>
  <c r="E54" i="40"/>
  <c r="F54" i="40"/>
  <c r="G54" i="40"/>
  <c r="I47" i="41"/>
  <c r="AB47" i="39" s="1"/>
  <c r="F47" i="41"/>
  <c r="Y47" i="39" s="1"/>
  <c r="G47" i="41"/>
  <c r="Z47" i="39" s="1"/>
  <c r="H47" i="41"/>
  <c r="AA47" i="39" s="1"/>
  <c r="G41" i="42"/>
  <c r="F41" i="42"/>
  <c r="H41" i="42"/>
  <c r="E41" i="42"/>
  <c r="H61" i="38"/>
  <c r="G61" i="38"/>
  <c r="F61" i="38"/>
  <c r="E61" i="38"/>
  <c r="H62" i="38"/>
  <c r="G62" i="38"/>
  <c r="E62" i="38"/>
  <c r="F62" i="38"/>
  <c r="H23" i="40"/>
  <c r="E23" i="40"/>
  <c r="F23" i="40"/>
  <c r="G23" i="40"/>
  <c r="G36" i="41"/>
  <c r="Z36" i="39" s="1"/>
  <c r="H36" i="41"/>
  <c r="AA36" i="39" s="1"/>
  <c r="I36" i="41"/>
  <c r="AB36" i="39" s="1"/>
  <c r="F36" i="41"/>
  <c r="Y36" i="39" s="1"/>
  <c r="G35" i="38"/>
  <c r="H35" i="38"/>
  <c r="F35" i="38"/>
  <c r="E35" i="38"/>
  <c r="H29" i="38"/>
  <c r="F29" i="38"/>
  <c r="E29" i="38"/>
  <c r="G29" i="38"/>
  <c r="H16" i="40"/>
  <c r="G16" i="40"/>
  <c r="E16" i="40"/>
  <c r="F16" i="40"/>
  <c r="G9" i="41"/>
  <c r="Z9" i="39" s="1"/>
  <c r="I9" i="41"/>
  <c r="AB9" i="39" s="1"/>
  <c r="H9" i="41"/>
  <c r="AA9" i="39" s="1"/>
  <c r="F9" i="41"/>
  <c r="Y9" i="39" s="1"/>
  <c r="I73" i="41"/>
  <c r="F73" i="41"/>
  <c r="G73" i="41"/>
  <c r="H73" i="41"/>
  <c r="H67" i="42"/>
  <c r="E67" i="42"/>
  <c r="F67" i="42"/>
  <c r="G67" i="42"/>
  <c r="H30" i="38"/>
  <c r="F30" i="38"/>
  <c r="E30" i="38"/>
  <c r="G30" i="38"/>
  <c r="F17" i="40"/>
  <c r="H17" i="40"/>
  <c r="G17" i="40"/>
  <c r="E17" i="40"/>
  <c r="I10" i="41"/>
  <c r="AB10" i="39" s="1"/>
  <c r="G10" i="41"/>
  <c r="Z10" i="39" s="1"/>
  <c r="H10" i="41"/>
  <c r="AA10" i="39" s="1"/>
  <c r="F10" i="41"/>
  <c r="Y10" i="39" s="1"/>
  <c r="I74" i="41"/>
  <c r="H74" i="41"/>
  <c r="G74" i="41"/>
  <c r="F74" i="41"/>
  <c r="H68" i="42"/>
  <c r="E68" i="42"/>
  <c r="G68" i="42"/>
  <c r="F68" i="42"/>
  <c r="H15" i="38"/>
  <c r="G15" i="38"/>
  <c r="F15" i="38"/>
  <c r="E15" i="38"/>
  <c r="E10" i="40"/>
  <c r="H10" i="40"/>
  <c r="F10" i="40"/>
  <c r="G10" i="40"/>
  <c r="H74" i="40"/>
  <c r="E74" i="40"/>
  <c r="F74" i="40"/>
  <c r="G74" i="40"/>
  <c r="I67" i="41"/>
  <c r="G67" i="41"/>
  <c r="H67" i="41"/>
  <c r="F67" i="41"/>
  <c r="H61" i="42"/>
  <c r="G61" i="42"/>
  <c r="E61" i="42"/>
  <c r="F61" i="42"/>
  <c r="H16" i="38"/>
  <c r="G16" i="38"/>
  <c r="E16" i="38"/>
  <c r="F16" i="38"/>
  <c r="F11" i="40"/>
  <c r="G11" i="40"/>
  <c r="E11" i="40"/>
  <c r="H11" i="40"/>
  <c r="H75" i="40"/>
  <c r="E75" i="40"/>
  <c r="F75" i="40"/>
  <c r="G75" i="40"/>
  <c r="I68" i="41"/>
  <c r="G68" i="41"/>
  <c r="H68" i="41"/>
  <c r="F68" i="41"/>
  <c r="H62" i="42"/>
  <c r="F62" i="42"/>
  <c r="G62" i="42"/>
  <c r="E62" i="42"/>
  <c r="F17" i="38"/>
  <c r="H17" i="38"/>
  <c r="G17" i="38"/>
  <c r="E17" i="38"/>
  <c r="E12" i="40"/>
  <c r="G12" i="40"/>
  <c r="F12" i="40"/>
  <c r="H12" i="40"/>
  <c r="H76" i="40"/>
  <c r="E76" i="40"/>
  <c r="G76" i="40"/>
  <c r="F76" i="40"/>
  <c r="I69" i="41"/>
  <c r="H69" i="41"/>
  <c r="G69" i="41"/>
  <c r="F69" i="41"/>
  <c r="H63" i="42"/>
  <c r="G63" i="42"/>
  <c r="F63" i="42"/>
  <c r="E63" i="42"/>
  <c r="F18" i="38"/>
  <c r="E18" i="38"/>
  <c r="G18" i="38"/>
  <c r="H18" i="38"/>
  <c r="H13" i="40"/>
  <c r="G13" i="40"/>
  <c r="F13" i="40"/>
  <c r="E13" i="40"/>
  <c r="H77" i="40"/>
  <c r="E77" i="40"/>
  <c r="G77" i="40"/>
  <c r="F77" i="40"/>
  <c r="I70" i="41"/>
  <c r="H70" i="41"/>
  <c r="G70" i="41"/>
  <c r="F70" i="41"/>
  <c r="H64" i="42"/>
  <c r="G64" i="42"/>
  <c r="F64" i="42"/>
  <c r="E64" i="42"/>
  <c r="H26" i="42"/>
  <c r="E26" i="42"/>
  <c r="G26" i="42"/>
  <c r="F26" i="42"/>
  <c r="H67" i="38"/>
  <c r="G67" i="38"/>
  <c r="E67" i="38"/>
  <c r="F67" i="38"/>
  <c r="H62" i="40"/>
  <c r="F62" i="40"/>
  <c r="E62" i="40"/>
  <c r="G62" i="40"/>
  <c r="I55" i="41"/>
  <c r="G55" i="41"/>
  <c r="H55" i="41"/>
  <c r="F55" i="41"/>
  <c r="H49" i="42"/>
  <c r="E49" i="42"/>
  <c r="F49" i="42"/>
  <c r="G49" i="42"/>
  <c r="H35" i="42"/>
  <c r="G35" i="42"/>
  <c r="F35" i="42"/>
  <c r="E35" i="42"/>
  <c r="H36" i="42"/>
  <c r="G36" i="42"/>
  <c r="F36" i="42"/>
  <c r="E36" i="42"/>
  <c r="H42" i="40"/>
  <c r="G42" i="40"/>
  <c r="F42" i="40"/>
  <c r="E42" i="40"/>
  <c r="I35" i="41"/>
  <c r="AB35" i="39" s="1"/>
  <c r="H35" i="41"/>
  <c r="AA35" i="39" s="1"/>
  <c r="G35" i="41"/>
  <c r="Z35" i="39" s="1"/>
  <c r="F35" i="41"/>
  <c r="Y35" i="39" s="1"/>
  <c r="H30" i="42"/>
  <c r="E30" i="42"/>
  <c r="G30" i="42"/>
  <c r="F30" i="42"/>
  <c r="F44" i="40"/>
  <c r="G44" i="40"/>
  <c r="H44" i="40"/>
  <c r="E44" i="40"/>
  <c r="F24" i="41"/>
  <c r="Y24" i="39" s="1"/>
  <c r="I24" i="41"/>
  <c r="AB24" i="39" s="1"/>
  <c r="G24" i="41"/>
  <c r="Z24" i="39" s="1"/>
  <c r="H24" i="41"/>
  <c r="AA24" i="39" s="1"/>
  <c r="H45" i="40"/>
  <c r="F45" i="40"/>
  <c r="G45" i="40"/>
  <c r="E45" i="40"/>
  <c r="H32" i="42"/>
  <c r="G32" i="42"/>
  <c r="E32" i="42"/>
  <c r="F32" i="42"/>
  <c r="H30" i="40"/>
  <c r="F30" i="40"/>
  <c r="E30" i="40"/>
  <c r="G30" i="40"/>
  <c r="H37" i="38"/>
  <c r="G37" i="38"/>
  <c r="F37" i="38"/>
  <c r="E37" i="38"/>
  <c r="H24" i="40"/>
  <c r="E24" i="40"/>
  <c r="G24" i="40"/>
  <c r="F24" i="40"/>
  <c r="G17" i="41"/>
  <c r="Z17" i="39" s="1"/>
  <c r="I17" i="41"/>
  <c r="AB17" i="39" s="1"/>
  <c r="F17" i="41"/>
  <c r="Y17" i="39" s="1"/>
  <c r="H17" i="41"/>
  <c r="AA17" i="39" s="1"/>
  <c r="F11" i="42"/>
  <c r="H11" i="42"/>
  <c r="G11" i="42"/>
  <c r="E11" i="42"/>
  <c r="H75" i="42"/>
  <c r="E75" i="42"/>
  <c r="F75" i="42"/>
  <c r="G75" i="42"/>
  <c r="G38" i="38"/>
  <c r="F38" i="38"/>
  <c r="H38" i="38"/>
  <c r="E38" i="38"/>
  <c r="H25" i="40"/>
  <c r="G25" i="40"/>
  <c r="E25" i="40"/>
  <c r="F25" i="40"/>
  <c r="G18" i="41"/>
  <c r="Z18" i="39" s="1"/>
  <c r="F18" i="41"/>
  <c r="Y18" i="39" s="1"/>
  <c r="H18" i="41"/>
  <c r="AA18" i="39" s="1"/>
  <c r="I18" i="41"/>
  <c r="AB18" i="39" s="1"/>
  <c r="G12" i="42"/>
  <c r="F12" i="42"/>
  <c r="E12" i="42"/>
  <c r="H12" i="42"/>
  <c r="H76" i="42"/>
  <c r="G76" i="42"/>
  <c r="E76" i="42"/>
  <c r="F76" i="42"/>
  <c r="H23" i="38"/>
  <c r="E23" i="38"/>
  <c r="F23" i="38"/>
  <c r="G23" i="38"/>
  <c r="F18" i="40"/>
  <c r="H18" i="40"/>
  <c r="E18" i="40"/>
  <c r="G18" i="40"/>
  <c r="G11" i="41"/>
  <c r="Z11" i="39" s="1"/>
  <c r="F11" i="41"/>
  <c r="Y11" i="39" s="1"/>
  <c r="H11" i="41"/>
  <c r="AA11" i="39" s="1"/>
  <c r="I11" i="41"/>
  <c r="AB11" i="39" s="1"/>
  <c r="I75" i="41"/>
  <c r="F75" i="41"/>
  <c r="G75" i="41"/>
  <c r="H75" i="41"/>
  <c r="H69" i="42"/>
  <c r="F69" i="42"/>
  <c r="E69" i="42"/>
  <c r="G69" i="42"/>
  <c r="H24" i="38"/>
  <c r="E24" i="38"/>
  <c r="F24" i="38"/>
  <c r="G24" i="38"/>
  <c r="F19" i="40"/>
  <c r="H19" i="40"/>
  <c r="G19" i="40"/>
  <c r="E19" i="40"/>
  <c r="F12" i="41"/>
  <c r="Y12" i="39" s="1"/>
  <c r="H12" i="41"/>
  <c r="AA12" i="39" s="1"/>
  <c r="G12" i="41"/>
  <c r="Z12" i="39" s="1"/>
  <c r="I12" i="41"/>
  <c r="AB12" i="39" s="1"/>
  <c r="I76" i="41"/>
  <c r="F76" i="41"/>
  <c r="G76" i="41"/>
  <c r="H76" i="41"/>
  <c r="H70" i="42"/>
  <c r="F70" i="42"/>
  <c r="G70" i="42"/>
  <c r="E70" i="42"/>
  <c r="H25" i="38"/>
  <c r="G25" i="38"/>
  <c r="F25" i="38"/>
  <c r="E25" i="38"/>
  <c r="F20" i="40"/>
  <c r="H20" i="40"/>
  <c r="G20" i="40"/>
  <c r="E20" i="40"/>
  <c r="H13" i="41"/>
  <c r="AA13" i="39" s="1"/>
  <c r="I13" i="41"/>
  <c r="AB13" i="39" s="1"/>
  <c r="F13" i="41"/>
  <c r="Y13" i="39" s="1"/>
  <c r="G13" i="41"/>
  <c r="Z13" i="39" s="1"/>
  <c r="I77" i="41"/>
  <c r="G77" i="41"/>
  <c r="F77" i="41"/>
  <c r="H77" i="41"/>
  <c r="H71" i="42"/>
  <c r="F71" i="42"/>
  <c r="G71" i="42"/>
  <c r="E71" i="42"/>
  <c r="H26" i="38"/>
  <c r="E26" i="38"/>
  <c r="G26" i="38"/>
  <c r="F26" i="38"/>
  <c r="E21" i="40"/>
  <c r="G21" i="40"/>
  <c r="H21" i="40"/>
  <c r="F21" i="40"/>
  <c r="I14" i="41"/>
  <c r="AB14" i="39" s="1"/>
  <c r="F14" i="41"/>
  <c r="Y14" i="39" s="1"/>
  <c r="G14" i="41"/>
  <c r="Z14" i="39" s="1"/>
  <c r="H14" i="41"/>
  <c r="AA14" i="39" s="1"/>
  <c r="H8" i="42"/>
  <c r="F8" i="42"/>
  <c r="E8" i="42"/>
  <c r="G8" i="42"/>
  <c r="H72" i="42"/>
  <c r="G72" i="42"/>
  <c r="E72" i="42"/>
  <c r="F72" i="42"/>
  <c r="F11" i="38"/>
  <c r="H11" i="38"/>
  <c r="G11" i="38"/>
  <c r="E11" i="38"/>
  <c r="H75" i="38"/>
  <c r="E75" i="38"/>
  <c r="G75" i="38"/>
  <c r="F75" i="38"/>
  <c r="H70" i="40"/>
  <c r="E70" i="40"/>
  <c r="F70" i="40"/>
  <c r="G70" i="40"/>
  <c r="I63" i="41"/>
  <c r="G63" i="41"/>
  <c r="H63" i="41"/>
  <c r="F63" i="41"/>
  <c r="H57" i="42"/>
  <c r="E57" i="42"/>
  <c r="F57" i="42"/>
  <c r="G57" i="42"/>
  <c r="H52" i="38"/>
  <c r="E52" i="38"/>
  <c r="F52" i="38"/>
  <c r="G52" i="38"/>
  <c r="F45" i="38"/>
  <c r="G45" i="38"/>
  <c r="H45" i="38"/>
  <c r="E45" i="38"/>
  <c r="H32" i="40"/>
  <c r="G32" i="40"/>
  <c r="F32" i="40"/>
  <c r="E32" i="40"/>
  <c r="I25" i="41"/>
  <c r="AB25" i="39" s="1"/>
  <c r="H25" i="41"/>
  <c r="AA25" i="39" s="1"/>
  <c r="G25" i="41"/>
  <c r="Z25" i="39" s="1"/>
  <c r="F25" i="41"/>
  <c r="Y25" i="39" s="1"/>
  <c r="F19" i="42"/>
  <c r="H19" i="42"/>
  <c r="G19" i="42"/>
  <c r="E19" i="42"/>
  <c r="H28" i="38"/>
  <c r="F28" i="38"/>
  <c r="E28" i="38"/>
  <c r="G28" i="38"/>
  <c r="G46" i="38"/>
  <c r="H46" i="38"/>
  <c r="F46" i="38"/>
  <c r="E46" i="38"/>
  <c r="G33" i="40"/>
  <c r="H33" i="40"/>
  <c r="F33" i="40"/>
  <c r="E33" i="40"/>
  <c r="I26" i="41"/>
  <c r="AB26" i="39" s="1"/>
  <c r="H26" i="41"/>
  <c r="AA26" i="39" s="1"/>
  <c r="G26" i="41"/>
  <c r="Z26" i="39" s="1"/>
  <c r="F26" i="41"/>
  <c r="Y26" i="39" s="1"/>
  <c r="F20" i="42"/>
  <c r="G20" i="42"/>
  <c r="H20" i="42"/>
  <c r="E20" i="42"/>
  <c r="F12" i="38"/>
  <c r="E12" i="38"/>
  <c r="G12" i="38"/>
  <c r="H12" i="38"/>
  <c r="H31" i="38"/>
  <c r="G31" i="38"/>
  <c r="F31" i="38"/>
  <c r="E31" i="38"/>
  <c r="H26" i="40"/>
  <c r="F26" i="40"/>
  <c r="E26" i="40"/>
  <c r="G26" i="40"/>
  <c r="G19" i="41"/>
  <c r="Z19" i="39" s="1"/>
  <c r="I19" i="41"/>
  <c r="AB19" i="39" s="1"/>
  <c r="H19" i="41"/>
  <c r="AA19" i="39" s="1"/>
  <c r="F19" i="41"/>
  <c r="Y19" i="39" s="1"/>
  <c r="G13" i="42"/>
  <c r="H13" i="42"/>
  <c r="F13" i="42"/>
  <c r="E13" i="42"/>
  <c r="H77" i="42"/>
  <c r="F77" i="42"/>
  <c r="E77" i="42"/>
  <c r="G77" i="42"/>
  <c r="H32" i="38"/>
  <c r="G32" i="38"/>
  <c r="F32" i="38"/>
  <c r="E32" i="38"/>
  <c r="H27" i="40"/>
  <c r="G27" i="40"/>
  <c r="F27" i="40"/>
  <c r="E27" i="40"/>
  <c r="G20" i="41"/>
  <c r="Z20" i="39" s="1"/>
  <c r="I20" i="41"/>
  <c r="AB20" i="39" s="1"/>
  <c r="H20" i="41"/>
  <c r="AA20" i="39" s="1"/>
  <c r="F20" i="41"/>
  <c r="Y20" i="39" s="1"/>
  <c r="H14" i="42"/>
  <c r="F14" i="42"/>
  <c r="E14" i="42"/>
  <c r="G14" i="42"/>
  <c r="F44" i="38"/>
  <c r="G44" i="38"/>
  <c r="H44" i="38"/>
  <c r="E44" i="38"/>
  <c r="H33" i="38"/>
  <c r="G33" i="38"/>
  <c r="E33" i="38"/>
  <c r="F33" i="38"/>
  <c r="H28" i="40"/>
  <c r="F28" i="40"/>
  <c r="E28" i="40"/>
  <c r="G28" i="40"/>
  <c r="F21" i="41"/>
  <c r="Y21" i="39" s="1"/>
  <c r="I21" i="41"/>
  <c r="AB21" i="39" s="1"/>
  <c r="G21" i="41"/>
  <c r="Z21" i="39" s="1"/>
  <c r="H21" i="41"/>
  <c r="AA21" i="39" s="1"/>
  <c r="H15" i="42"/>
  <c r="F15" i="42"/>
  <c r="E15" i="42"/>
  <c r="G15" i="42"/>
  <c r="H36" i="38"/>
  <c r="G36" i="38"/>
  <c r="F36" i="38"/>
  <c r="E36" i="38"/>
  <c r="G34" i="38"/>
  <c r="H34" i="38"/>
  <c r="F34" i="38"/>
  <c r="E34" i="38"/>
  <c r="H29" i="40"/>
  <c r="F29" i="40"/>
  <c r="G29" i="40"/>
  <c r="E29" i="40"/>
  <c r="F22" i="41"/>
  <c r="Y22" i="39" s="1"/>
  <c r="I22" i="41"/>
  <c r="AB22" i="39" s="1"/>
  <c r="G22" i="41"/>
  <c r="Z22" i="39" s="1"/>
  <c r="H22" i="41"/>
  <c r="AA22" i="39" s="1"/>
  <c r="H16" i="42"/>
  <c r="G16" i="42"/>
  <c r="E16" i="42"/>
  <c r="F16" i="42"/>
  <c r="H8" i="38"/>
  <c r="G8" i="38"/>
  <c r="F8" i="38"/>
  <c r="E8" i="38"/>
  <c r="F19" i="38"/>
  <c r="G19" i="38"/>
  <c r="H19" i="38"/>
  <c r="E19" i="38"/>
  <c r="H14" i="40"/>
  <c r="E14" i="40"/>
  <c r="F14" i="40"/>
  <c r="G14" i="40"/>
  <c r="H78" i="40"/>
  <c r="G78" i="40"/>
  <c r="E78" i="40"/>
  <c r="F78" i="40"/>
  <c r="I71" i="41"/>
  <c r="G71" i="41"/>
  <c r="F71" i="41"/>
  <c r="H71" i="41"/>
  <c r="H65" i="42"/>
  <c r="F65" i="42"/>
  <c r="E65" i="42"/>
  <c r="G65" i="42"/>
  <c r="H41" i="41"/>
  <c r="AA41" i="39" s="1"/>
  <c r="G41" i="41"/>
  <c r="Z41" i="39" s="1"/>
  <c r="I41" i="41"/>
  <c r="AB41" i="39" s="1"/>
  <c r="F41" i="41"/>
  <c r="Y41" i="39" s="1"/>
  <c r="H48" i="38"/>
  <c r="E48" i="38"/>
  <c r="G48" i="38"/>
  <c r="F48" i="38"/>
  <c r="H63" i="40"/>
  <c r="E63" i="40"/>
  <c r="F63" i="40"/>
  <c r="G63" i="40"/>
  <c r="H53" i="38"/>
  <c r="E53" i="38"/>
  <c r="G53" i="38"/>
  <c r="F53" i="38"/>
  <c r="G40" i="40"/>
  <c r="H40" i="40"/>
  <c r="F40" i="40"/>
  <c r="E40" i="40"/>
  <c r="H33" i="41"/>
  <c r="AA33" i="39" s="1"/>
  <c r="I33" i="41"/>
  <c r="AB33" i="39" s="1"/>
  <c r="F33" i="41"/>
  <c r="Y33" i="39" s="1"/>
  <c r="G33" i="41"/>
  <c r="Z33" i="39" s="1"/>
  <c r="H27" i="42"/>
  <c r="F27" i="42"/>
  <c r="E27" i="42"/>
  <c r="G27" i="42"/>
  <c r="H15" i="40"/>
  <c r="G15" i="40"/>
  <c r="F15" i="40"/>
  <c r="E15" i="40"/>
  <c r="H54" i="38"/>
  <c r="F54" i="38"/>
  <c r="E54" i="38"/>
  <c r="G54" i="38"/>
  <c r="F41" i="40"/>
  <c r="G41" i="40"/>
  <c r="H41" i="40"/>
  <c r="E41" i="40"/>
  <c r="I34" i="41"/>
  <c r="AB34" i="39" s="1"/>
  <c r="H34" i="41"/>
  <c r="AA34" i="39" s="1"/>
  <c r="G34" i="41"/>
  <c r="Z34" i="39" s="1"/>
  <c r="F34" i="41"/>
  <c r="Y34" i="39" s="1"/>
  <c r="H28" i="42"/>
  <c r="E28" i="42"/>
  <c r="G28" i="42"/>
  <c r="F28" i="42"/>
  <c r="H68" i="38"/>
  <c r="F68" i="38"/>
  <c r="E68" i="38"/>
  <c r="G68" i="38"/>
  <c r="H39" i="38"/>
  <c r="G39" i="38"/>
  <c r="F39" i="38"/>
  <c r="E39" i="38"/>
  <c r="H34" i="40"/>
  <c r="G34" i="40"/>
  <c r="F34" i="40"/>
  <c r="E34" i="40"/>
  <c r="I27" i="41"/>
  <c r="AB27" i="39" s="1"/>
  <c r="G27" i="41"/>
  <c r="Z27" i="39" s="1"/>
  <c r="F27" i="41"/>
  <c r="Y27" i="39" s="1"/>
  <c r="H27" i="41"/>
  <c r="AA27" i="39" s="1"/>
  <c r="E21" i="42"/>
  <c r="H21" i="42"/>
  <c r="G21" i="42"/>
  <c r="F21" i="42"/>
  <c r="F20" i="38"/>
  <c r="H20" i="38"/>
  <c r="G20" i="38"/>
  <c r="E20" i="38"/>
  <c r="G40" i="38"/>
  <c r="H40" i="38"/>
  <c r="F40" i="38"/>
  <c r="E40" i="38"/>
  <c r="G35" i="40"/>
  <c r="H35" i="40"/>
  <c r="F35" i="40"/>
  <c r="E35" i="40"/>
  <c r="I28" i="41"/>
  <c r="AB28" i="39" s="1"/>
  <c r="F28" i="41"/>
  <c r="Y28" i="39" s="1"/>
  <c r="H28" i="41"/>
  <c r="AA28" i="39" s="1"/>
  <c r="G28" i="41"/>
  <c r="Z28" i="39" s="1"/>
  <c r="E22" i="42"/>
  <c r="H22" i="42"/>
  <c r="F22" i="42"/>
  <c r="G22" i="42"/>
  <c r="G39" i="40"/>
  <c r="F39" i="40"/>
  <c r="H39" i="40"/>
  <c r="E39" i="40"/>
  <c r="F41" i="38"/>
  <c r="H41" i="38"/>
  <c r="G41" i="38"/>
  <c r="E41" i="38"/>
  <c r="H36" i="40"/>
  <c r="G36" i="40"/>
  <c r="F36" i="40"/>
  <c r="E36" i="40"/>
  <c r="I29" i="41"/>
  <c r="AB29" i="39" s="1"/>
  <c r="G29" i="41"/>
  <c r="Z29" i="39" s="1"/>
  <c r="H29" i="41"/>
  <c r="AA29" i="39" s="1"/>
  <c r="F29" i="41"/>
  <c r="Y29" i="39" s="1"/>
  <c r="H23" i="42"/>
  <c r="E23" i="42"/>
  <c r="F23" i="42"/>
  <c r="G23" i="42"/>
  <c r="H47" i="40"/>
  <c r="E47" i="40"/>
  <c r="F47" i="40"/>
  <c r="G47" i="40"/>
  <c r="F42" i="38"/>
  <c r="H42" i="38"/>
  <c r="G42" i="38"/>
  <c r="E42" i="38"/>
  <c r="H37" i="40"/>
  <c r="G37" i="40"/>
  <c r="F37" i="40"/>
  <c r="E37" i="40"/>
  <c r="I30" i="41"/>
  <c r="AB30" i="39" s="1"/>
  <c r="F30" i="41"/>
  <c r="Y30" i="39" s="1"/>
  <c r="H30" i="41"/>
  <c r="AA30" i="39" s="1"/>
  <c r="G30" i="41"/>
  <c r="Z30" i="39" s="1"/>
  <c r="H24" i="42"/>
  <c r="E24" i="42"/>
  <c r="F24" i="42"/>
  <c r="G24" i="42"/>
  <c r="H76" i="38"/>
  <c r="F76" i="38"/>
  <c r="E76" i="38"/>
  <c r="G76" i="38"/>
  <c r="H27" i="38"/>
  <c r="G27" i="38"/>
  <c r="E27" i="38"/>
  <c r="F27" i="38"/>
  <c r="H22" i="40"/>
  <c r="E22" i="40"/>
  <c r="G22" i="40"/>
  <c r="F22" i="40"/>
  <c r="I15" i="41"/>
  <c r="AB15" i="39" s="1"/>
  <c r="G15" i="41"/>
  <c r="Z15" i="39" s="1"/>
  <c r="F15" i="41"/>
  <c r="Y15" i="39" s="1"/>
  <c r="H15" i="41"/>
  <c r="AA15" i="39" s="1"/>
  <c r="H9" i="42"/>
  <c r="F9" i="42"/>
  <c r="G9" i="42"/>
  <c r="E9" i="42"/>
  <c r="H73" i="42"/>
  <c r="E73" i="42"/>
  <c r="F73" i="42"/>
  <c r="G73" i="42"/>
  <c r="O21" i="4"/>
  <c r="C21" i="4" s="1"/>
  <c r="O22" i="4"/>
  <c r="C22" i="4" s="1"/>
  <c r="O24" i="4"/>
  <c r="C24" i="4" s="1"/>
  <c r="F20" i="39" l="1"/>
  <c r="D20" i="39"/>
  <c r="F19" i="39"/>
  <c r="D19" i="39"/>
  <c r="E19" i="39"/>
  <c r="C19" i="39"/>
  <c r="J22" i="39"/>
  <c r="F22" i="39"/>
  <c r="E21" i="39"/>
  <c r="H21" i="39"/>
  <c r="I21" i="39"/>
  <c r="G21" i="39"/>
  <c r="H22" i="39"/>
  <c r="J21" i="39"/>
  <c r="F21" i="39"/>
  <c r="S21" i="39"/>
  <c r="K21" i="39"/>
  <c r="D21" i="39"/>
  <c r="R21" i="39"/>
  <c r="Q21" i="39"/>
  <c r="P21" i="39"/>
  <c r="O21" i="39"/>
  <c r="N21" i="39"/>
  <c r="M21" i="39"/>
  <c r="L21" i="39"/>
  <c r="C21" i="39"/>
  <c r="V21" i="39"/>
  <c r="U21" i="39"/>
  <c r="T21" i="39"/>
  <c r="S9" i="38"/>
  <c r="R9" i="38"/>
  <c r="K9" i="38"/>
  <c r="J9" i="38"/>
  <c r="M9" i="38"/>
  <c r="L9" i="38"/>
  <c r="Q9" i="38"/>
  <c r="P9" i="38"/>
  <c r="O9" i="38"/>
  <c r="N9" i="38"/>
  <c r="V22" i="39"/>
  <c r="L22" i="39"/>
  <c r="T22" i="39"/>
  <c r="D22" i="39"/>
  <c r="R22" i="39"/>
  <c r="P22" i="39"/>
  <c r="N22" i="39"/>
  <c r="K19" i="39"/>
  <c r="M19" i="39"/>
  <c r="V19" i="39"/>
  <c r="U19" i="39"/>
  <c r="V20" i="39"/>
  <c r="P19" i="39"/>
  <c r="P20" i="39"/>
  <c r="O19" i="39"/>
  <c r="N20" i="39"/>
  <c r="N19" i="39"/>
  <c r="L20" i="39"/>
  <c r="L19" i="39"/>
  <c r="N8" i="42" l="1"/>
  <c r="O8" i="42"/>
  <c r="L8" i="42"/>
  <c r="M8" i="42"/>
  <c r="M10" i="38"/>
  <c r="L10" i="38"/>
  <c r="R10" i="38"/>
  <c r="J10" i="38"/>
  <c r="K10" i="38"/>
  <c r="S10" i="38"/>
  <c r="Q10" i="38"/>
  <c r="N10" i="38"/>
  <c r="O10" i="38"/>
  <c r="P10" i="38"/>
  <c r="AD9" i="39" a="1"/>
  <c r="W19" i="39"/>
  <c r="W21" i="39"/>
  <c r="W22" i="39"/>
  <c r="W20" i="39"/>
  <c r="R8" i="42"/>
  <c r="T8" i="42"/>
  <c r="U8" i="42"/>
  <c r="Q8" i="42"/>
  <c r="T9" i="38"/>
  <c r="S8" i="42"/>
  <c r="P8" i="42"/>
  <c r="L9" i="42" l="1"/>
  <c r="S9" i="42"/>
  <c r="Q9" i="42"/>
  <c r="T9" i="42"/>
  <c r="U9" i="42"/>
  <c r="M9" i="42"/>
  <c r="O9" i="42"/>
  <c r="N9" i="42"/>
  <c r="P9" i="42"/>
  <c r="Q11" i="38"/>
  <c r="J11" i="38"/>
  <c r="L11" i="38"/>
  <c r="R11" i="38"/>
  <c r="M11" i="38"/>
  <c r="K11" i="38"/>
  <c r="S11" i="38"/>
  <c r="N11" i="38"/>
  <c r="P11" i="38"/>
  <c r="O11" i="38"/>
  <c r="AP8" i="42"/>
  <c r="AR8" i="42"/>
  <c r="AS8" i="42"/>
  <c r="AQ8" i="42"/>
  <c r="AB8" i="42"/>
  <c r="Y8" i="42"/>
  <c r="R9" i="42"/>
  <c r="AE8" i="42"/>
  <c r="AH8" i="42"/>
  <c r="AD9" i="39"/>
  <c r="AR9" i="39"/>
  <c r="Z9" i="40" s="1"/>
  <c r="AA8" i="41" s="1"/>
  <c r="AT9" i="39"/>
  <c r="AB9" i="40" s="1"/>
  <c r="AC8" i="41" s="1"/>
  <c r="AL9" i="39"/>
  <c r="T9" i="40" s="1"/>
  <c r="U8" i="41" s="1"/>
  <c r="AU9" i="39"/>
  <c r="AC9" i="40" s="1"/>
  <c r="AH9" i="39"/>
  <c r="P9" i="40" s="1"/>
  <c r="AG9" i="39"/>
  <c r="O9" i="40" s="1"/>
  <c r="AF9" i="39"/>
  <c r="AO9" i="39"/>
  <c r="W9" i="40" s="1"/>
  <c r="AP9" i="39"/>
  <c r="AS9" i="39"/>
  <c r="AA9" i="40" s="1"/>
  <c r="AM9" i="39"/>
  <c r="U9" i="40" s="1"/>
  <c r="AK9" i="39"/>
  <c r="S9" i="40" s="1"/>
  <c r="T8" i="41" s="1"/>
  <c r="AW9" i="39"/>
  <c r="AE9" i="40" s="1"/>
  <c r="AJ9" i="39"/>
  <c r="R9" i="40" s="1"/>
  <c r="AV9" i="39"/>
  <c r="AD9" i="40" s="1"/>
  <c r="AE9" i="39"/>
  <c r="M9" i="40" s="1"/>
  <c r="AQ9" i="39"/>
  <c r="Y9" i="40" s="1"/>
  <c r="AI9" i="39"/>
  <c r="Q9" i="40" s="1"/>
  <c r="AN9" i="39"/>
  <c r="V8" i="42"/>
  <c r="T10" i="38"/>
  <c r="U10" i="42" l="1"/>
  <c r="L10" i="42"/>
  <c r="S10" i="42"/>
  <c r="M10" i="42"/>
  <c r="P8" i="41"/>
  <c r="N8" i="41"/>
  <c r="P10" i="42"/>
  <c r="O10" i="42"/>
  <c r="N10" i="42"/>
  <c r="AQ10" i="39"/>
  <c r="Y10" i="40" s="1"/>
  <c r="AG10" i="39"/>
  <c r="O10" i="40" s="1"/>
  <c r="AP10" i="39"/>
  <c r="AF10" i="39"/>
  <c r="AU10" i="39"/>
  <c r="AC10" i="40" s="1"/>
  <c r="AD9" i="41" s="1"/>
  <c r="AT10" i="39"/>
  <c r="AB10" i="40" s="1"/>
  <c r="AC9" i="41" s="1"/>
  <c r="AK10" i="39"/>
  <c r="S10" i="40" s="1"/>
  <c r="AJ10" i="39"/>
  <c r="AE10" i="39"/>
  <c r="M10" i="40" s="1"/>
  <c r="AN10" i="39"/>
  <c r="AD10" i="39"/>
  <c r="AO10" i="39"/>
  <c r="W10" i="40" s="1"/>
  <c r="X9" i="41" s="1"/>
  <c r="AI10" i="39"/>
  <c r="Q10" i="40" s="1"/>
  <c r="R9" i="41" s="1"/>
  <c r="AH10" i="39"/>
  <c r="P10" i="40" s="1"/>
  <c r="AS10" i="39"/>
  <c r="AA10" i="40" s="1"/>
  <c r="AB9" i="41" s="1"/>
  <c r="AR10" i="39"/>
  <c r="Z10" i="40" s="1"/>
  <c r="AW10" i="39"/>
  <c r="AE10" i="40" s="1"/>
  <c r="AF9" i="41" s="1"/>
  <c r="AV10" i="39"/>
  <c r="AD10" i="40" s="1"/>
  <c r="AE9" i="41" s="1"/>
  <c r="AM10" i="39"/>
  <c r="U10" i="40" s="1"/>
  <c r="V9" i="41" s="1"/>
  <c r="AL10" i="39"/>
  <c r="T10" i="40" s="1"/>
  <c r="O12" i="38"/>
  <c r="N12" i="38"/>
  <c r="Q12" i="38"/>
  <c r="P12" i="38"/>
  <c r="S12" i="38"/>
  <c r="J12" i="38"/>
  <c r="M12" i="38"/>
  <c r="L12" i="38"/>
  <c r="R12" i="38"/>
  <c r="K12" i="38"/>
  <c r="AP9" i="42"/>
  <c r="AH9" i="42"/>
  <c r="AS9" i="42"/>
  <c r="AQ9" i="42"/>
  <c r="AE9" i="42"/>
  <c r="AR9" i="42"/>
  <c r="Y9" i="42"/>
  <c r="AB9" i="42"/>
  <c r="AT8" i="42"/>
  <c r="AE8" i="41"/>
  <c r="N9" i="40"/>
  <c r="S8" i="41"/>
  <c r="AF8" i="41"/>
  <c r="Q8" i="41"/>
  <c r="AD8" i="41"/>
  <c r="V9" i="40"/>
  <c r="V8" i="41"/>
  <c r="R8" i="41"/>
  <c r="AB8" i="41"/>
  <c r="Z8" i="41"/>
  <c r="X9" i="40"/>
  <c r="X8" i="41"/>
  <c r="L9" i="40"/>
  <c r="AX9" i="39"/>
  <c r="AL8" i="42"/>
  <c r="R10" i="42"/>
  <c r="T11" i="38"/>
  <c r="Q10" i="42"/>
  <c r="V9" i="42"/>
  <c r="T10" i="42"/>
  <c r="O11" i="42" l="1"/>
  <c r="U11" i="42"/>
  <c r="M11" i="42"/>
  <c r="T11" i="42"/>
  <c r="S11" i="42"/>
  <c r="N11" i="42"/>
  <c r="Q11" i="42"/>
  <c r="N9" i="41"/>
  <c r="M8" i="41"/>
  <c r="O8" i="41"/>
  <c r="AO8" i="41" s="1"/>
  <c r="P11" i="42"/>
  <c r="P9" i="41"/>
  <c r="L11" i="42"/>
  <c r="AJ11" i="39"/>
  <c r="AU11" i="39"/>
  <c r="AC11" i="40" s="1"/>
  <c r="AK11" i="39"/>
  <c r="S11" i="40" s="1"/>
  <c r="T10" i="41" s="1"/>
  <c r="AT11" i="39"/>
  <c r="AB11" i="40" s="1"/>
  <c r="AC10" i="41" s="1"/>
  <c r="AF11" i="39"/>
  <c r="AP11" i="39"/>
  <c r="AQ11" i="39"/>
  <c r="Y11" i="40" s="1"/>
  <c r="Z10" i="41" s="1"/>
  <c r="AG11" i="39"/>
  <c r="R10" i="40"/>
  <c r="S9" i="41" s="1"/>
  <c r="AN11" i="39"/>
  <c r="AE11" i="39"/>
  <c r="M11" i="40" s="1"/>
  <c r="AO11" i="39"/>
  <c r="W11" i="40" s="1"/>
  <c r="X10" i="41" s="1"/>
  <c r="AD11" i="39"/>
  <c r="AS11" i="39"/>
  <c r="AA11" i="40" s="1"/>
  <c r="AB10" i="41" s="1"/>
  <c r="AH11" i="39"/>
  <c r="AI11" i="39"/>
  <c r="Q11" i="40" s="1"/>
  <c r="R10" i="41" s="1"/>
  <c r="AR11" i="39"/>
  <c r="Z11" i="40" s="1"/>
  <c r="AA10" i="41" s="1"/>
  <c r="AW11" i="39"/>
  <c r="AE11" i="40" s="1"/>
  <c r="AF10" i="41" s="1"/>
  <c r="O13" i="38"/>
  <c r="Q13" i="38"/>
  <c r="P13" i="38"/>
  <c r="N13" i="38"/>
  <c r="AM11" i="39"/>
  <c r="U11" i="40" s="1"/>
  <c r="V10" i="41" s="1"/>
  <c r="AV11" i="39"/>
  <c r="AD11" i="40" s="1"/>
  <c r="AL11" i="39"/>
  <c r="R13" i="38"/>
  <c r="J13" i="38"/>
  <c r="M13" i="38"/>
  <c r="S13" i="38"/>
  <c r="L13" i="38"/>
  <c r="N12" i="42" s="1"/>
  <c r="K13" i="38"/>
  <c r="AS8" i="41"/>
  <c r="AQ10" i="42"/>
  <c r="AP10" i="42"/>
  <c r="AR10" i="42"/>
  <c r="AH10" i="42"/>
  <c r="AS10" i="42"/>
  <c r="AE10" i="42"/>
  <c r="AB10" i="42"/>
  <c r="R11" i="42"/>
  <c r="Y10" i="42"/>
  <c r="AV8" i="41"/>
  <c r="AT9" i="42"/>
  <c r="V10" i="40"/>
  <c r="W9" i="41" s="1"/>
  <c r="L10" i="40"/>
  <c r="M9" i="41" s="1"/>
  <c r="AX10" i="39"/>
  <c r="AA9" i="41"/>
  <c r="X10" i="40"/>
  <c r="Y9" i="41" s="1"/>
  <c r="Q9" i="41"/>
  <c r="N10" i="40"/>
  <c r="O9" i="41" s="1"/>
  <c r="Y8" i="41"/>
  <c r="W8" i="41"/>
  <c r="AG9" i="40"/>
  <c r="Z9" i="41"/>
  <c r="T9" i="41"/>
  <c r="U9" i="41"/>
  <c r="AL9" i="42"/>
  <c r="T12" i="38"/>
  <c r="V10" i="42"/>
  <c r="S12" i="42" l="1"/>
  <c r="T12" i="42"/>
  <c r="M12" i="42"/>
  <c r="O12" i="42"/>
  <c r="L12" i="42"/>
  <c r="N10" i="41"/>
  <c r="P12" i="42"/>
  <c r="AU12" i="39"/>
  <c r="AC12" i="40" s="1"/>
  <c r="AD11" i="41" s="1"/>
  <c r="AT12" i="39"/>
  <c r="AB12" i="40" s="1"/>
  <c r="AC11" i="41" s="1"/>
  <c r="AK12" i="39"/>
  <c r="S12" i="40" s="1"/>
  <c r="T11" i="41" s="1"/>
  <c r="AJ12" i="39"/>
  <c r="R12" i="40" s="1"/>
  <c r="AG12" i="39"/>
  <c r="AQ12" i="39"/>
  <c r="AP12" i="39"/>
  <c r="AF12" i="39"/>
  <c r="AO12" i="39"/>
  <c r="AE12" i="39"/>
  <c r="AD12" i="39"/>
  <c r="AN12" i="39"/>
  <c r="AS12" i="39"/>
  <c r="AR12" i="39"/>
  <c r="Z12" i="40" s="1"/>
  <c r="AA11" i="41" s="1"/>
  <c r="AH12" i="39"/>
  <c r="AI12" i="39"/>
  <c r="Q12" i="40" s="1"/>
  <c r="R11" i="41" s="1"/>
  <c r="Q14" i="38"/>
  <c r="P14" i="38"/>
  <c r="O14" i="38"/>
  <c r="N14" i="38"/>
  <c r="M14" i="38"/>
  <c r="R14" i="38"/>
  <c r="L14" i="38"/>
  <c r="J14" i="38"/>
  <c r="S14" i="38"/>
  <c r="K14" i="38"/>
  <c r="AL12" i="39"/>
  <c r="T12" i="40" s="1"/>
  <c r="AM12" i="39"/>
  <c r="U12" i="40" s="1"/>
  <c r="V11" i="41" s="1"/>
  <c r="AW12" i="39"/>
  <c r="AE12" i="40" s="1"/>
  <c r="AV12" i="39"/>
  <c r="AD12" i="40" s="1"/>
  <c r="AE11" i="41" s="1"/>
  <c r="AK8" i="41"/>
  <c r="T11" i="40"/>
  <c r="U10" i="41" s="1"/>
  <c r="R11" i="40"/>
  <c r="P11" i="40"/>
  <c r="Q10" i="41" s="1"/>
  <c r="BG9" i="41"/>
  <c r="BF9" i="41"/>
  <c r="AQ11" i="42"/>
  <c r="AE11" i="42"/>
  <c r="AR11" i="42"/>
  <c r="AP11" i="42"/>
  <c r="AH11" i="42"/>
  <c r="AS11" i="42"/>
  <c r="AB11" i="42"/>
  <c r="AS9" i="41"/>
  <c r="AL8" i="41"/>
  <c r="AV9" i="41"/>
  <c r="R12" i="42"/>
  <c r="O11" i="40"/>
  <c r="Y11" i="42"/>
  <c r="AP8" i="41"/>
  <c r="AH8" i="41"/>
  <c r="N11" i="40"/>
  <c r="O10" i="41" s="1"/>
  <c r="V11" i="40"/>
  <c r="W10" i="41" s="1"/>
  <c r="AG10" i="40"/>
  <c r="AE10" i="41"/>
  <c r="X11" i="40"/>
  <c r="Y10" i="41" s="1"/>
  <c r="AD10" i="41"/>
  <c r="L11" i="40"/>
  <c r="AX11" i="39"/>
  <c r="AL10" i="42"/>
  <c r="V11" i="42"/>
  <c r="Q12" i="42"/>
  <c r="AT10" i="42"/>
  <c r="U12" i="42"/>
  <c r="T13" i="38"/>
  <c r="Q13" i="42" l="1"/>
  <c r="L13" i="42"/>
  <c r="S13" i="42"/>
  <c r="P13" i="42"/>
  <c r="P10" i="41"/>
  <c r="M13" i="42"/>
  <c r="M10" i="41"/>
  <c r="O13" i="42"/>
  <c r="N13" i="42"/>
  <c r="AU13" i="39"/>
  <c r="AC13" i="40" s="1"/>
  <c r="AT13" i="39"/>
  <c r="AB13" i="40" s="1"/>
  <c r="AC12" i="41" s="1"/>
  <c r="AJ13" i="39"/>
  <c r="R13" i="40" s="1"/>
  <c r="AK13" i="39"/>
  <c r="S13" i="40" s="1"/>
  <c r="AQ13" i="39"/>
  <c r="AP13" i="39"/>
  <c r="AG13" i="39"/>
  <c r="O13" i="40" s="1"/>
  <c r="AF13" i="39"/>
  <c r="AS13" i="39"/>
  <c r="AA13" i="40" s="1"/>
  <c r="AR13" i="39"/>
  <c r="AH13" i="39"/>
  <c r="P13" i="40" s="1"/>
  <c r="AI13" i="39"/>
  <c r="Q13" i="40" s="1"/>
  <c r="R12" i="41" s="1"/>
  <c r="AO13" i="39"/>
  <c r="W13" i="40" s="1"/>
  <c r="AD13" i="39"/>
  <c r="AN13" i="39"/>
  <c r="AE13" i="39"/>
  <c r="M13" i="40" s="1"/>
  <c r="O15" i="38"/>
  <c r="Q15" i="38"/>
  <c r="N15" i="38"/>
  <c r="P15" i="38"/>
  <c r="AW13" i="39"/>
  <c r="AE13" i="40" s="1"/>
  <c r="AF12" i="41" s="1"/>
  <c r="AM13" i="39"/>
  <c r="U13" i="40" s="1"/>
  <c r="AV13" i="39"/>
  <c r="AD13" i="40" s="1"/>
  <c r="AE12" i="41" s="1"/>
  <c r="AL13" i="39"/>
  <c r="T13" i="40" s="1"/>
  <c r="U12" i="41" s="1"/>
  <c r="S15" i="38"/>
  <c r="K15" i="38"/>
  <c r="J15" i="38"/>
  <c r="L15" i="38"/>
  <c r="R15" i="38"/>
  <c r="M15" i="38"/>
  <c r="AA12" i="40"/>
  <c r="AB11" i="41" s="1"/>
  <c r="AZ8" i="41"/>
  <c r="W12" i="40"/>
  <c r="X11" i="41" s="1"/>
  <c r="Y12" i="40"/>
  <c r="Z11" i="41" s="1"/>
  <c r="S10" i="41"/>
  <c r="BG10" i="41" s="1"/>
  <c r="P12" i="40"/>
  <c r="Q11" i="41" s="1"/>
  <c r="M12" i="40"/>
  <c r="O12" i="40"/>
  <c r="AS10" i="41"/>
  <c r="BF10" i="41"/>
  <c r="AP9" i="41"/>
  <c r="BE9" i="41"/>
  <c r="AL9" i="41"/>
  <c r="BD9" i="41"/>
  <c r="AB12" i="42"/>
  <c r="AQ12" i="42"/>
  <c r="AP12" i="42"/>
  <c r="AH12" i="42"/>
  <c r="AS12" i="42"/>
  <c r="AR12" i="42"/>
  <c r="Y12" i="42"/>
  <c r="AE12" i="42"/>
  <c r="V12" i="42"/>
  <c r="AG11" i="40"/>
  <c r="AL11" i="42"/>
  <c r="L12" i="40"/>
  <c r="M11" i="41" s="1"/>
  <c r="AX12" i="39"/>
  <c r="V12" i="40"/>
  <c r="W11" i="41" s="1"/>
  <c r="BH8" i="41"/>
  <c r="N12" i="40"/>
  <c r="X12" i="40"/>
  <c r="Y11" i="41" s="1"/>
  <c r="AF11" i="41"/>
  <c r="U11" i="41"/>
  <c r="AH9" i="41"/>
  <c r="AK9" i="41"/>
  <c r="AO9" i="41"/>
  <c r="S11" i="41"/>
  <c r="R13" i="42"/>
  <c r="T13" i="42"/>
  <c r="U13" i="42"/>
  <c r="T14" i="38"/>
  <c r="AT11" i="42"/>
  <c r="P12" i="41" l="1"/>
  <c r="N14" i="42"/>
  <c r="S14" i="42"/>
  <c r="T14" i="42"/>
  <c r="Q14" i="42"/>
  <c r="L14" i="42"/>
  <c r="M14" i="42"/>
  <c r="U14" i="42"/>
  <c r="N12" i="41"/>
  <c r="N11" i="41"/>
  <c r="P11" i="41"/>
  <c r="O14" i="42"/>
  <c r="O11" i="41"/>
  <c r="P14" i="42"/>
  <c r="AU14" i="39"/>
  <c r="AC14" i="40" s="1"/>
  <c r="AD13" i="41" s="1"/>
  <c r="AK14" i="39"/>
  <c r="S14" i="40" s="1"/>
  <c r="T13" i="41" s="1"/>
  <c r="AT14" i="39"/>
  <c r="AB14" i="40" s="1"/>
  <c r="AC13" i="41" s="1"/>
  <c r="AJ14" i="39"/>
  <c r="R14" i="40" s="1"/>
  <c r="AQ14" i="39"/>
  <c r="AG14" i="39"/>
  <c r="AP14" i="39"/>
  <c r="AF14" i="39"/>
  <c r="AS14" i="39"/>
  <c r="AA14" i="40" s="1"/>
  <c r="AB13" i="41" s="1"/>
  <c r="AR14" i="39"/>
  <c r="Z14" i="40" s="1"/>
  <c r="AI14" i="39"/>
  <c r="Q14" i="40" s="1"/>
  <c r="R13" i="41" s="1"/>
  <c r="AH14" i="39"/>
  <c r="P14" i="40" s="1"/>
  <c r="AO14" i="39"/>
  <c r="W14" i="40" s="1"/>
  <c r="X13" i="41" s="1"/>
  <c r="AE14" i="39"/>
  <c r="M14" i="40" s="1"/>
  <c r="N13" i="41" s="1"/>
  <c r="AN14" i="39"/>
  <c r="AD14" i="39"/>
  <c r="AL14" i="39"/>
  <c r="AW14" i="39"/>
  <c r="AM14" i="39"/>
  <c r="U14" i="40" s="1"/>
  <c r="V13" i="41" s="1"/>
  <c r="AV14" i="39"/>
  <c r="AD14" i="40" s="1"/>
  <c r="AE13" i="41" s="1"/>
  <c r="J16" i="38"/>
  <c r="S16" i="38"/>
  <c r="M16" i="38"/>
  <c r="R16" i="38"/>
  <c r="K16" i="38"/>
  <c r="L16" i="38"/>
  <c r="N16" i="38"/>
  <c r="P16" i="38"/>
  <c r="Q16" i="38"/>
  <c r="O16" i="38"/>
  <c r="AV10" i="41"/>
  <c r="X12" i="41"/>
  <c r="AB12" i="41"/>
  <c r="AZ9" i="41"/>
  <c r="Y13" i="40"/>
  <c r="Z12" i="41" s="1"/>
  <c r="Z13" i="40"/>
  <c r="AA12" i="41" s="1"/>
  <c r="AV11" i="41"/>
  <c r="BG11" i="41"/>
  <c r="AL10" i="41"/>
  <c r="BD10" i="41"/>
  <c r="BF11" i="41"/>
  <c r="AP10" i="41"/>
  <c r="BE10" i="41"/>
  <c r="AP13" i="42"/>
  <c r="AE13" i="42"/>
  <c r="AR13" i="42"/>
  <c r="AQ13" i="42"/>
  <c r="AH13" i="42"/>
  <c r="AS13" i="42"/>
  <c r="AO10" i="41"/>
  <c r="R14" i="42"/>
  <c r="AB13" i="42"/>
  <c r="Y13" i="42"/>
  <c r="S12" i="41"/>
  <c r="Q12" i="41"/>
  <c r="AS11" i="41"/>
  <c r="BH9" i="41"/>
  <c r="AT12" i="42"/>
  <c r="N13" i="40"/>
  <c r="O12" i="41" s="1"/>
  <c r="L13" i="40"/>
  <c r="M12" i="41" s="1"/>
  <c r="AX13" i="39"/>
  <c r="V13" i="40"/>
  <c r="W12" i="41" s="1"/>
  <c r="V12" i="41"/>
  <c r="AD12" i="41"/>
  <c r="AG12" i="40"/>
  <c r="T12" i="41"/>
  <c r="X13" i="40"/>
  <c r="Y12" i="41" s="1"/>
  <c r="AH10" i="41"/>
  <c r="AK10" i="41"/>
  <c r="AL12" i="42"/>
  <c r="T15" i="38"/>
  <c r="V13" i="42"/>
  <c r="Q15" i="42" l="1"/>
  <c r="S15" i="42"/>
  <c r="U15" i="42"/>
  <c r="L15" i="42"/>
  <c r="N15" i="42"/>
  <c r="O15" i="42"/>
  <c r="M15" i="42"/>
  <c r="P15" i="42"/>
  <c r="AG15" i="39"/>
  <c r="AQ15" i="39"/>
  <c r="AP15" i="39"/>
  <c r="AF15" i="39"/>
  <c r="AU15" i="39"/>
  <c r="AC15" i="40" s="1"/>
  <c r="AD14" i="41" s="1"/>
  <c r="AJ15" i="39"/>
  <c r="R15" i="40" s="1"/>
  <c r="AT15" i="39"/>
  <c r="AB15" i="40" s="1"/>
  <c r="AK15" i="39"/>
  <c r="S15" i="40" s="1"/>
  <c r="T14" i="41" s="1"/>
  <c r="AS15" i="39"/>
  <c r="AA15" i="40" s="1"/>
  <c r="AB14" i="41" s="1"/>
  <c r="AR15" i="39"/>
  <c r="Z15" i="40" s="1"/>
  <c r="AA14" i="41" s="1"/>
  <c r="AI15" i="39"/>
  <c r="Q15" i="40" s="1"/>
  <c r="AH15" i="39"/>
  <c r="P15" i="40" s="1"/>
  <c r="AO15" i="39"/>
  <c r="W15" i="40" s="1"/>
  <c r="AD15" i="39"/>
  <c r="AN15" i="39"/>
  <c r="AE15" i="39"/>
  <c r="M15" i="40" s="1"/>
  <c r="AM15" i="39"/>
  <c r="U15" i="40" s="1"/>
  <c r="V14" i="41" s="1"/>
  <c r="AW15" i="39"/>
  <c r="AE15" i="40" s="1"/>
  <c r="AL15" i="39"/>
  <c r="T15" i="40" s="1"/>
  <c r="AV15" i="39"/>
  <c r="AD15" i="40" s="1"/>
  <c r="R17" i="38"/>
  <c r="J17" i="38"/>
  <c r="L16" i="42" s="1"/>
  <c r="M17" i="38"/>
  <c r="K17" i="38"/>
  <c r="L17" i="38"/>
  <c r="S17" i="38"/>
  <c r="O17" i="38"/>
  <c r="N17" i="38"/>
  <c r="Q17" i="38"/>
  <c r="P17" i="38"/>
  <c r="AE14" i="40"/>
  <c r="AF13" i="41" s="1"/>
  <c r="AZ10" i="41"/>
  <c r="Y14" i="40"/>
  <c r="Z13" i="41" s="1"/>
  <c r="T14" i="40"/>
  <c r="U13" i="41" s="1"/>
  <c r="O14" i="40"/>
  <c r="BG12" i="41"/>
  <c r="AL11" i="41"/>
  <c r="BD11" i="41"/>
  <c r="AP11" i="41"/>
  <c r="BE11" i="41"/>
  <c r="AS12" i="41"/>
  <c r="BF12" i="41"/>
  <c r="AP14" i="42"/>
  <c r="AH14" i="42"/>
  <c r="AS14" i="42"/>
  <c r="AQ14" i="42"/>
  <c r="AE14" i="42"/>
  <c r="AR14" i="42"/>
  <c r="Y14" i="42"/>
  <c r="AB14" i="42"/>
  <c r="BH10" i="41"/>
  <c r="AV12" i="41"/>
  <c r="AA13" i="41"/>
  <c r="X14" i="40"/>
  <c r="V14" i="40"/>
  <c r="W13" i="41" s="1"/>
  <c r="N14" i="40"/>
  <c r="O13" i="41" s="1"/>
  <c r="S13" i="41"/>
  <c r="AO11" i="41"/>
  <c r="AH11" i="41"/>
  <c r="AK11" i="41"/>
  <c r="L14" i="40"/>
  <c r="M13" i="41" s="1"/>
  <c r="AX14" i="39"/>
  <c r="AG13" i="40"/>
  <c r="Q13" i="41"/>
  <c r="V14" i="42"/>
  <c r="T15" i="42"/>
  <c r="R15" i="42"/>
  <c r="AT13" i="42"/>
  <c r="AL13" i="42"/>
  <c r="T16" i="38"/>
  <c r="T16" i="42" l="1"/>
  <c r="N16" i="42"/>
  <c r="S16" i="42"/>
  <c r="U16" i="42"/>
  <c r="Q16" i="42"/>
  <c r="O16" i="42"/>
  <c r="N14" i="41"/>
  <c r="M16" i="42"/>
  <c r="P13" i="41"/>
  <c r="P16" i="42"/>
  <c r="AG16" i="39"/>
  <c r="AQ16" i="39"/>
  <c r="AP16" i="39"/>
  <c r="AF16" i="39"/>
  <c r="AU16" i="39"/>
  <c r="AC16" i="40" s="1"/>
  <c r="AT16" i="39"/>
  <c r="AB16" i="40" s="1"/>
  <c r="AJ16" i="39"/>
  <c r="R16" i="40" s="1"/>
  <c r="AK16" i="39"/>
  <c r="S16" i="40" s="1"/>
  <c r="T15" i="41" s="1"/>
  <c r="AS16" i="39"/>
  <c r="AA16" i="40" s="1"/>
  <c r="AB15" i="41" s="1"/>
  <c r="AR16" i="39"/>
  <c r="Z16" i="40" s="1"/>
  <c r="AA15" i="41" s="1"/>
  <c r="AI16" i="39"/>
  <c r="Q16" i="40" s="1"/>
  <c r="AH16" i="39"/>
  <c r="P16" i="40" s="1"/>
  <c r="AO16" i="39"/>
  <c r="AN16" i="39"/>
  <c r="AD16" i="39"/>
  <c r="AE16" i="39"/>
  <c r="M16" i="40" s="1"/>
  <c r="M18" i="38"/>
  <c r="L18" i="38"/>
  <c r="S18" i="38"/>
  <c r="R18" i="38"/>
  <c r="J18" i="38"/>
  <c r="K18" i="38"/>
  <c r="Q18" i="38"/>
  <c r="P18" i="38"/>
  <c r="O18" i="38"/>
  <c r="N18" i="38"/>
  <c r="AM16" i="39"/>
  <c r="U16" i="40" s="1"/>
  <c r="V15" i="41" s="1"/>
  <c r="AL16" i="39"/>
  <c r="T16" i="40" s="1"/>
  <c r="U15" i="41" s="1"/>
  <c r="AV16" i="39"/>
  <c r="AD16" i="40" s="1"/>
  <c r="AE15" i="41" s="1"/>
  <c r="AW16" i="39"/>
  <c r="AE16" i="40" s="1"/>
  <c r="AF15" i="41" s="1"/>
  <c r="AF14" i="41"/>
  <c r="AZ11" i="41"/>
  <c r="Y15" i="40"/>
  <c r="Z14" i="41" s="1"/>
  <c r="O15" i="40"/>
  <c r="AV13" i="41"/>
  <c r="BG13" i="41"/>
  <c r="AP12" i="41"/>
  <c r="BE12" i="41"/>
  <c r="BF13" i="41"/>
  <c r="AL12" i="41"/>
  <c r="BD12" i="41"/>
  <c r="AP15" i="42"/>
  <c r="AQ15" i="42"/>
  <c r="AH15" i="42"/>
  <c r="AS15" i="42"/>
  <c r="AE15" i="42"/>
  <c r="AR15" i="42"/>
  <c r="AB15" i="42"/>
  <c r="Y15" i="42"/>
  <c r="AS13" i="41"/>
  <c r="Q14" i="41"/>
  <c r="BH11" i="41"/>
  <c r="R14" i="41"/>
  <c r="AE14" i="41"/>
  <c r="AH12" i="41"/>
  <c r="AK12" i="41"/>
  <c r="U14" i="41"/>
  <c r="AO12" i="41"/>
  <c r="V15" i="40"/>
  <c r="AC14" i="41"/>
  <c r="N15" i="40"/>
  <c r="O14" i="41" s="1"/>
  <c r="X14" i="41"/>
  <c r="L15" i="40"/>
  <c r="M14" i="41" s="1"/>
  <c r="AX15" i="39"/>
  <c r="S14" i="41"/>
  <c r="AG14" i="40"/>
  <c r="X15" i="40"/>
  <c r="Y14" i="41" s="1"/>
  <c r="Y13" i="41"/>
  <c r="AL14" i="42"/>
  <c r="T17" i="38"/>
  <c r="V15" i="42"/>
  <c r="R16" i="42"/>
  <c r="AT14" i="42"/>
  <c r="Q17" i="42" l="1"/>
  <c r="S17" i="42"/>
  <c r="P17" i="42"/>
  <c r="L17" i="42"/>
  <c r="N15" i="41"/>
  <c r="P14" i="41"/>
  <c r="M17" i="42"/>
  <c r="N17" i="42"/>
  <c r="O17" i="42"/>
  <c r="AQ17" i="39"/>
  <c r="AP17" i="39"/>
  <c r="AG17" i="39"/>
  <c r="AF17" i="39"/>
  <c r="AU17" i="39"/>
  <c r="AC17" i="40" s="1"/>
  <c r="AT17" i="39"/>
  <c r="AB17" i="40" s="1"/>
  <c r="AK17" i="39"/>
  <c r="S17" i="40" s="1"/>
  <c r="T16" i="41" s="1"/>
  <c r="AJ17" i="39"/>
  <c r="R17" i="40" s="1"/>
  <c r="AS17" i="39"/>
  <c r="AA17" i="40" s="1"/>
  <c r="AR17" i="39"/>
  <c r="Z17" i="40" s="1"/>
  <c r="AA16" i="41" s="1"/>
  <c r="AI17" i="39"/>
  <c r="Q17" i="40" s="1"/>
  <c r="AH17" i="39"/>
  <c r="P17" i="40" s="1"/>
  <c r="AO17" i="39"/>
  <c r="W17" i="40" s="1"/>
  <c r="AN17" i="39"/>
  <c r="AE17" i="39"/>
  <c r="AD17" i="39"/>
  <c r="AW17" i="39"/>
  <c r="AL17" i="39"/>
  <c r="T17" i="40" s="1"/>
  <c r="U16" i="41" s="1"/>
  <c r="AV17" i="39"/>
  <c r="AD17" i="40" s="1"/>
  <c r="AM17" i="39"/>
  <c r="U17" i="40" s="1"/>
  <c r="V16" i="41" s="1"/>
  <c r="S19" i="38"/>
  <c r="K19" i="38"/>
  <c r="L19" i="38"/>
  <c r="J19" i="38"/>
  <c r="M19" i="38"/>
  <c r="R19" i="38"/>
  <c r="O19" i="38"/>
  <c r="N19" i="38"/>
  <c r="P18" i="42" s="1"/>
  <c r="P19" i="38"/>
  <c r="Q19" i="38"/>
  <c r="AZ12" i="41"/>
  <c r="Y16" i="40"/>
  <c r="Z15" i="41" s="1"/>
  <c r="W16" i="40"/>
  <c r="X15" i="41" s="1"/>
  <c r="BG14" i="41"/>
  <c r="O16" i="40"/>
  <c r="P15" i="41" s="1"/>
  <c r="BF14" i="41"/>
  <c r="AL13" i="41"/>
  <c r="BD13" i="41"/>
  <c r="BE13" i="41"/>
  <c r="AP16" i="42"/>
  <c r="AB16" i="42"/>
  <c r="AQ16" i="42"/>
  <c r="AH16" i="42"/>
  <c r="AS16" i="42"/>
  <c r="AE16" i="42"/>
  <c r="AR16" i="42"/>
  <c r="Y16" i="42"/>
  <c r="AP13" i="41"/>
  <c r="Q15" i="41"/>
  <c r="AV14" i="41"/>
  <c r="AS14" i="41"/>
  <c r="L16" i="40"/>
  <c r="M15" i="41" s="1"/>
  <c r="AX16" i="39"/>
  <c r="AH13" i="41"/>
  <c r="AK13" i="41"/>
  <c r="AD15" i="41"/>
  <c r="V16" i="40"/>
  <c r="W15" i="41" s="1"/>
  <c r="N16" i="40"/>
  <c r="O15" i="41" s="1"/>
  <c r="AG15" i="40"/>
  <c r="X16" i="40"/>
  <c r="BH12" i="41"/>
  <c r="AO13" i="41"/>
  <c r="S15" i="41"/>
  <c r="AC15" i="41"/>
  <c r="W14" i="41"/>
  <c r="R15" i="41"/>
  <c r="T18" i="38"/>
  <c r="AL15" i="42"/>
  <c r="U17" i="42"/>
  <c r="V16" i="42"/>
  <c r="AT15" i="42"/>
  <c r="R17" i="42"/>
  <c r="T17" i="42"/>
  <c r="L18" i="42" l="1"/>
  <c r="S18" i="42"/>
  <c r="T18" i="42"/>
  <c r="U18" i="42"/>
  <c r="N18" i="42"/>
  <c r="O18" i="42"/>
  <c r="M18" i="42"/>
  <c r="AG18" i="39"/>
  <c r="O18" i="40" s="1"/>
  <c r="AQ18" i="39"/>
  <c r="AP18" i="39"/>
  <c r="AF18" i="39"/>
  <c r="AU18" i="39"/>
  <c r="AC18" i="40" s="1"/>
  <c r="AD17" i="41" s="1"/>
  <c r="AJ18" i="39"/>
  <c r="R18" i="40" s="1"/>
  <c r="AT18" i="39"/>
  <c r="AB18" i="40" s="1"/>
  <c r="AK18" i="39"/>
  <c r="S18" i="40" s="1"/>
  <c r="AS18" i="39"/>
  <c r="AA18" i="40" s="1"/>
  <c r="AB17" i="41" s="1"/>
  <c r="AR18" i="39"/>
  <c r="Z18" i="40" s="1"/>
  <c r="AI18" i="39"/>
  <c r="Q18" i="40" s="1"/>
  <c r="R17" i="41" s="1"/>
  <c r="AH18" i="39"/>
  <c r="P18" i="40" s="1"/>
  <c r="AO18" i="39"/>
  <c r="W18" i="40" s="1"/>
  <c r="X17" i="41" s="1"/>
  <c r="AE18" i="39"/>
  <c r="M18" i="40" s="1"/>
  <c r="AD18" i="39"/>
  <c r="AN18" i="39"/>
  <c r="Q20" i="38"/>
  <c r="P20" i="38"/>
  <c r="N20" i="38"/>
  <c r="O20" i="38"/>
  <c r="AL18" i="39"/>
  <c r="T18" i="40" s="1"/>
  <c r="AM18" i="39"/>
  <c r="U18" i="40" s="1"/>
  <c r="V17" i="41" s="1"/>
  <c r="AW18" i="39"/>
  <c r="AE18" i="40" s="1"/>
  <c r="AV18" i="39"/>
  <c r="AD18" i="40" s="1"/>
  <c r="AE17" i="41" s="1"/>
  <c r="M20" i="38"/>
  <c r="L20" i="38"/>
  <c r="S20" i="38"/>
  <c r="R20" i="38"/>
  <c r="K20" i="38"/>
  <c r="J20" i="38"/>
  <c r="AE17" i="40"/>
  <c r="AF16" i="41" s="1"/>
  <c r="AZ13" i="41"/>
  <c r="Y17" i="40"/>
  <c r="Z16" i="41" s="1"/>
  <c r="O17" i="40"/>
  <c r="M17" i="40"/>
  <c r="BD14" i="41"/>
  <c r="AP14" i="41"/>
  <c r="BE14" i="41"/>
  <c r="BG15" i="41"/>
  <c r="BF15" i="41"/>
  <c r="AE17" i="42"/>
  <c r="AR17" i="42"/>
  <c r="AB17" i="42"/>
  <c r="AQ17" i="42"/>
  <c r="AH17" i="42"/>
  <c r="AS17" i="42"/>
  <c r="Y17" i="42"/>
  <c r="AP17" i="42"/>
  <c r="AV15" i="41"/>
  <c r="S16" i="41"/>
  <c r="AL14" i="41"/>
  <c r="AS15" i="41"/>
  <c r="AE16" i="41"/>
  <c r="N17" i="40"/>
  <c r="O16" i="41" s="1"/>
  <c r="R16" i="41"/>
  <c r="AO14" i="41"/>
  <c r="AG16" i="40"/>
  <c r="AL16" i="42"/>
  <c r="AH14" i="41"/>
  <c r="AK14" i="41"/>
  <c r="X17" i="40"/>
  <c r="Y16" i="41" s="1"/>
  <c r="L17" i="40"/>
  <c r="AX17" i="39"/>
  <c r="AD16" i="41"/>
  <c r="AB16" i="41"/>
  <c r="Q16" i="41"/>
  <c r="AC16" i="41"/>
  <c r="V17" i="40"/>
  <c r="BH13" i="41"/>
  <c r="Y15" i="41"/>
  <c r="X16" i="41"/>
  <c r="AT16" i="42"/>
  <c r="V17" i="42"/>
  <c r="Q18" i="42"/>
  <c r="R18" i="42"/>
  <c r="T19" i="38"/>
  <c r="P17" i="41" l="1"/>
  <c r="Q19" i="42"/>
  <c r="AR19" i="42" s="1"/>
  <c r="L19" i="42"/>
  <c r="S19" i="42"/>
  <c r="U19" i="42"/>
  <c r="N19" i="42"/>
  <c r="T19" i="42"/>
  <c r="N17" i="41"/>
  <c r="N16" i="41"/>
  <c r="P16" i="41"/>
  <c r="O19" i="42"/>
  <c r="M16" i="41"/>
  <c r="M19" i="42"/>
  <c r="P19" i="42"/>
  <c r="AQ19" i="39"/>
  <c r="AG19" i="39"/>
  <c r="AP19" i="39"/>
  <c r="AF19" i="39"/>
  <c r="AU19" i="39"/>
  <c r="AC19" i="40" s="1"/>
  <c r="AD18" i="41" s="1"/>
  <c r="AT19" i="39"/>
  <c r="AB19" i="40" s="1"/>
  <c r="AC18" i="41" s="1"/>
  <c r="AJ19" i="39"/>
  <c r="R19" i="40" s="1"/>
  <c r="AK19" i="39"/>
  <c r="S19" i="40" s="1"/>
  <c r="T18" i="41" s="1"/>
  <c r="AS19" i="39"/>
  <c r="AA19" i="40" s="1"/>
  <c r="AB18" i="41" s="1"/>
  <c r="AR19" i="39"/>
  <c r="Z19" i="40" s="1"/>
  <c r="AI19" i="39"/>
  <c r="Q19" i="40" s="1"/>
  <c r="AH19" i="39"/>
  <c r="P19" i="40" s="1"/>
  <c r="AO19" i="39"/>
  <c r="W19" i="40" s="1"/>
  <c r="AN19" i="39"/>
  <c r="AD19" i="39"/>
  <c r="AE19" i="39"/>
  <c r="M19" i="40" s="1"/>
  <c r="AM19" i="39"/>
  <c r="AL19" i="39"/>
  <c r="T19" i="40" s="1"/>
  <c r="AV19" i="39"/>
  <c r="AD19" i="40" s="1"/>
  <c r="AE18" i="41" s="1"/>
  <c r="AW19" i="39"/>
  <c r="AE19" i="40" s="1"/>
  <c r="AF18" i="41" s="1"/>
  <c r="M21" i="38"/>
  <c r="L21" i="38"/>
  <c r="S21" i="38"/>
  <c r="K21" i="38"/>
  <c r="R21" i="38"/>
  <c r="J21" i="38"/>
  <c r="Q21" i="38"/>
  <c r="N21" i="38"/>
  <c r="P21" i="38"/>
  <c r="O21" i="38"/>
  <c r="AF17" i="41"/>
  <c r="AZ14" i="41"/>
  <c r="Y18" i="40"/>
  <c r="Z17" i="41" s="1"/>
  <c r="BF16" i="41"/>
  <c r="BE15" i="41"/>
  <c r="AL15" i="41"/>
  <c r="BD15" i="41"/>
  <c r="BG16" i="41"/>
  <c r="AP18" i="42"/>
  <c r="AB18" i="42"/>
  <c r="AQ18" i="42"/>
  <c r="AH18" i="42"/>
  <c r="AS18" i="42"/>
  <c r="AR18" i="42"/>
  <c r="AE18" i="42"/>
  <c r="Y18" i="42"/>
  <c r="AP15" i="41"/>
  <c r="S17" i="41"/>
  <c r="AS16" i="41"/>
  <c r="AV16" i="41"/>
  <c r="AT17" i="42"/>
  <c r="X18" i="40"/>
  <c r="Y17" i="41" s="1"/>
  <c r="AA17" i="41"/>
  <c r="W16" i="41"/>
  <c r="N18" i="40"/>
  <c r="V18" i="40"/>
  <c r="W17" i="41" s="1"/>
  <c r="U17" i="41"/>
  <c r="AO15" i="41"/>
  <c r="AC17" i="41"/>
  <c r="BH14" i="41"/>
  <c r="AH15" i="41"/>
  <c r="AK15" i="41"/>
  <c r="Q17" i="41"/>
  <c r="L18" i="40"/>
  <c r="AX18" i="39"/>
  <c r="AG17" i="40"/>
  <c r="T17" i="41"/>
  <c r="V18" i="42"/>
  <c r="R19" i="42"/>
  <c r="AL17" i="42"/>
  <c r="T20" i="38"/>
  <c r="O20" i="42" l="1"/>
  <c r="S20" i="42"/>
  <c r="L20" i="42"/>
  <c r="T20" i="42"/>
  <c r="Q20" i="42"/>
  <c r="M20" i="42"/>
  <c r="U20" i="42"/>
  <c r="P20" i="42"/>
  <c r="N18" i="41"/>
  <c r="N20" i="42"/>
  <c r="O17" i="41"/>
  <c r="M17" i="41"/>
  <c r="AG20" i="39"/>
  <c r="AQ20" i="39"/>
  <c r="AP20" i="39"/>
  <c r="AF20" i="39"/>
  <c r="AU20" i="39"/>
  <c r="AC20" i="40" s="1"/>
  <c r="AK20" i="39"/>
  <c r="S20" i="40" s="1"/>
  <c r="AT20" i="39"/>
  <c r="AB20" i="40" s="1"/>
  <c r="AC19" i="41" s="1"/>
  <c r="AJ20" i="39"/>
  <c r="R20" i="40" s="1"/>
  <c r="AS20" i="39"/>
  <c r="AA20" i="40" s="1"/>
  <c r="AR20" i="39"/>
  <c r="AI20" i="39"/>
  <c r="Q20" i="40" s="1"/>
  <c r="R19" i="41" s="1"/>
  <c r="AH20" i="39"/>
  <c r="P20" i="40" s="1"/>
  <c r="AO20" i="39"/>
  <c r="W20" i="40" s="1"/>
  <c r="X19" i="41" s="1"/>
  <c r="AN20" i="39"/>
  <c r="AE20" i="39"/>
  <c r="M20" i="40" s="1"/>
  <c r="AD20" i="39"/>
  <c r="O22" i="38"/>
  <c r="N22" i="38"/>
  <c r="P22" i="38"/>
  <c r="Q22" i="38"/>
  <c r="S22" i="38"/>
  <c r="K22" i="38"/>
  <c r="R22" i="38"/>
  <c r="J22" i="38"/>
  <c r="M22" i="38"/>
  <c r="L22" i="38"/>
  <c r="AW20" i="39"/>
  <c r="AE20" i="40" s="1"/>
  <c r="AM20" i="39"/>
  <c r="U20" i="40" s="1"/>
  <c r="AL20" i="39"/>
  <c r="T20" i="40" s="1"/>
  <c r="AV20" i="39"/>
  <c r="AD20" i="40" s="1"/>
  <c r="AZ15" i="41"/>
  <c r="Y19" i="40"/>
  <c r="Z18" i="41" s="1"/>
  <c r="U19" i="40"/>
  <c r="V18" i="41" s="1"/>
  <c r="O19" i="40"/>
  <c r="BF17" i="41"/>
  <c r="AP16" i="41"/>
  <c r="BE16" i="41"/>
  <c r="BD16" i="41"/>
  <c r="BG17" i="41"/>
  <c r="AP19" i="42"/>
  <c r="AQ19" i="42"/>
  <c r="AH19" i="42"/>
  <c r="AS19" i="42"/>
  <c r="AB19" i="42"/>
  <c r="Y19" i="42"/>
  <c r="AL16" i="41"/>
  <c r="AE19" i="42"/>
  <c r="AO16" i="41"/>
  <c r="AV17" i="41"/>
  <c r="AS17" i="41"/>
  <c r="BH15" i="41"/>
  <c r="V19" i="40"/>
  <c r="W18" i="41" s="1"/>
  <c r="S18" i="41"/>
  <c r="AK16" i="41"/>
  <c r="AH16" i="41"/>
  <c r="X18" i="41"/>
  <c r="R18" i="41"/>
  <c r="N19" i="40"/>
  <c r="AG18" i="40"/>
  <c r="Q18" i="41"/>
  <c r="X19" i="40"/>
  <c r="AA18" i="41"/>
  <c r="U18" i="41"/>
  <c r="L19" i="40"/>
  <c r="AX19" i="39"/>
  <c r="T21" i="38"/>
  <c r="AL18" i="42"/>
  <c r="R20" i="42"/>
  <c r="V19" i="42"/>
  <c r="AT18" i="42"/>
  <c r="T21" i="42" l="1"/>
  <c r="U21" i="42"/>
  <c r="S21" i="42"/>
  <c r="O21" i="42"/>
  <c r="Q21" i="42"/>
  <c r="L21" i="42"/>
  <c r="N21" i="42"/>
  <c r="P18" i="41"/>
  <c r="M21" i="42"/>
  <c r="N19" i="41"/>
  <c r="P21" i="42"/>
  <c r="M18" i="41"/>
  <c r="O18" i="41"/>
  <c r="AQ21" i="39"/>
  <c r="AP21" i="39"/>
  <c r="AG21" i="39"/>
  <c r="AF21" i="39"/>
  <c r="AU21" i="39"/>
  <c r="AC21" i="40" s="1"/>
  <c r="AD20" i="41" s="1"/>
  <c r="AT21" i="39"/>
  <c r="AJ21" i="39"/>
  <c r="R21" i="40" s="1"/>
  <c r="AK21" i="39"/>
  <c r="S21" i="40" s="1"/>
  <c r="T20" i="41" s="1"/>
  <c r="AS21" i="39"/>
  <c r="AA21" i="40" s="1"/>
  <c r="AB20" i="41" s="1"/>
  <c r="AR21" i="39"/>
  <c r="Z21" i="40" s="1"/>
  <c r="AI21" i="39"/>
  <c r="Q21" i="40" s="1"/>
  <c r="AH21" i="39"/>
  <c r="P21" i="40" s="1"/>
  <c r="AO21" i="39"/>
  <c r="W21" i="40" s="1"/>
  <c r="X20" i="41" s="1"/>
  <c r="AE21" i="39"/>
  <c r="AD21" i="39"/>
  <c r="AN21" i="39"/>
  <c r="J23" i="38"/>
  <c r="M23" i="38"/>
  <c r="O22" i="42" s="1"/>
  <c r="R23" i="38"/>
  <c r="S23" i="38"/>
  <c r="L23" i="38"/>
  <c r="K23" i="38"/>
  <c r="AM21" i="39"/>
  <c r="U21" i="40" s="1"/>
  <c r="AL21" i="39"/>
  <c r="T21" i="40" s="1"/>
  <c r="U20" i="41" s="1"/>
  <c r="AW21" i="39"/>
  <c r="AE21" i="40" s="1"/>
  <c r="AV21" i="39"/>
  <c r="AD21" i="40" s="1"/>
  <c r="AE20" i="41" s="1"/>
  <c r="Q23" i="38"/>
  <c r="P23" i="38"/>
  <c r="O23" i="38"/>
  <c r="N23" i="38"/>
  <c r="AZ16" i="41"/>
  <c r="Y20" i="40"/>
  <c r="Z19" i="41" s="1"/>
  <c r="Z20" i="40"/>
  <c r="AA19" i="41" s="1"/>
  <c r="V19" i="41"/>
  <c r="O20" i="40"/>
  <c r="BF18" i="41"/>
  <c r="AV18" i="41"/>
  <c r="BG18" i="41"/>
  <c r="AL17" i="41"/>
  <c r="BD17" i="41"/>
  <c r="AP17" i="41"/>
  <c r="BE17" i="41"/>
  <c r="AH20" i="42"/>
  <c r="AS20" i="42"/>
  <c r="AP20" i="42"/>
  <c r="AB20" i="42"/>
  <c r="AQ20" i="42"/>
  <c r="AE20" i="42"/>
  <c r="AR20" i="42"/>
  <c r="AS18" i="41"/>
  <c r="BH16" i="41"/>
  <c r="Y20" i="42"/>
  <c r="L20" i="40"/>
  <c r="M19" i="41" s="1"/>
  <c r="AX20" i="39"/>
  <c r="AD19" i="41"/>
  <c r="AF19" i="41"/>
  <c r="V20" i="40"/>
  <c r="N20" i="40"/>
  <c r="Y18" i="41"/>
  <c r="AE19" i="41"/>
  <c r="AO17" i="41"/>
  <c r="T19" i="41"/>
  <c r="S19" i="41"/>
  <c r="X20" i="40"/>
  <c r="AG19" i="40"/>
  <c r="AB19" i="41"/>
  <c r="Q19" i="41"/>
  <c r="AH17" i="41"/>
  <c r="AK17" i="41"/>
  <c r="U19" i="41"/>
  <c r="V20" i="42"/>
  <c r="AT19" i="42"/>
  <c r="AL19" i="42"/>
  <c r="T22" i="38"/>
  <c r="R21" i="42"/>
  <c r="V48" i="41"/>
  <c r="AG48" i="40"/>
  <c r="U48" i="41"/>
  <c r="S48" i="41"/>
  <c r="R48" i="41"/>
  <c r="T48" i="41"/>
  <c r="M22" i="42" l="1"/>
  <c r="T22" i="42"/>
  <c r="U22" i="42"/>
  <c r="Q22" i="42"/>
  <c r="P22" i="42"/>
  <c r="O19" i="41"/>
  <c r="N22" i="42"/>
  <c r="L22" i="42"/>
  <c r="P19" i="41"/>
  <c r="AG22" i="39"/>
  <c r="AQ22" i="39"/>
  <c r="AP22" i="39"/>
  <c r="AF22" i="39"/>
  <c r="AU22" i="39"/>
  <c r="AC22" i="40" s="1"/>
  <c r="AJ22" i="39"/>
  <c r="R22" i="40" s="1"/>
  <c r="AT22" i="39"/>
  <c r="AB22" i="40" s="1"/>
  <c r="AK22" i="39"/>
  <c r="S22" i="40" s="1"/>
  <c r="AS22" i="39"/>
  <c r="AA22" i="40" s="1"/>
  <c r="AB21" i="41" s="1"/>
  <c r="AR22" i="39"/>
  <c r="AI22" i="39"/>
  <c r="Q22" i="40" s="1"/>
  <c r="R21" i="41" s="1"/>
  <c r="AH22" i="39"/>
  <c r="P22" i="40" s="1"/>
  <c r="AO22" i="39"/>
  <c r="W22" i="40" s="1"/>
  <c r="AN22" i="39"/>
  <c r="AD22" i="39"/>
  <c r="AE22" i="39"/>
  <c r="M22" i="40" s="1"/>
  <c r="AM22" i="39"/>
  <c r="U22" i="40" s="1"/>
  <c r="V21" i="41" s="1"/>
  <c r="AW22" i="39"/>
  <c r="AE22" i="40" s="1"/>
  <c r="AF21" i="41" s="1"/>
  <c r="AL22" i="39"/>
  <c r="T22" i="40" s="1"/>
  <c r="U21" i="41" s="1"/>
  <c r="AV22" i="39"/>
  <c r="O24" i="38"/>
  <c r="N24" i="38"/>
  <c r="Q24" i="38"/>
  <c r="P24" i="38"/>
  <c r="K24" i="38"/>
  <c r="J24" i="38"/>
  <c r="S24" i="38"/>
  <c r="M24" i="38"/>
  <c r="L24" i="38"/>
  <c r="R24" i="38"/>
  <c r="AA20" i="41"/>
  <c r="AB21" i="40"/>
  <c r="AZ17" i="41"/>
  <c r="Y21" i="40"/>
  <c r="Z20" i="41" s="1"/>
  <c r="O21" i="40"/>
  <c r="P20" i="41" s="1"/>
  <c r="M21" i="40"/>
  <c r="BF19" i="41"/>
  <c r="AP21" i="42"/>
  <c r="BG19" i="41"/>
  <c r="AO18" i="41"/>
  <c r="BE18" i="41"/>
  <c r="AL18" i="41"/>
  <c r="BD18" i="41"/>
  <c r="AB21" i="42"/>
  <c r="AQ21" i="42"/>
  <c r="AH21" i="42"/>
  <c r="AS21" i="42"/>
  <c r="AE21" i="42"/>
  <c r="AR21" i="42"/>
  <c r="Y21" i="42"/>
  <c r="AV19" i="41"/>
  <c r="Q20" i="41"/>
  <c r="AS19" i="41"/>
  <c r="AP18" i="41"/>
  <c r="S20" i="41"/>
  <c r="AF20" i="41"/>
  <c r="X21" i="40"/>
  <c r="V21" i="40"/>
  <c r="W20" i="41" s="1"/>
  <c r="W19" i="41"/>
  <c r="L21" i="40"/>
  <c r="M20" i="41" s="1"/>
  <c r="AX21" i="39"/>
  <c r="AH18" i="41"/>
  <c r="N21" i="40"/>
  <c r="AG20" i="40"/>
  <c r="BH17" i="41"/>
  <c r="AK18" i="41"/>
  <c r="R20" i="41"/>
  <c r="Y19" i="41"/>
  <c r="V20" i="41"/>
  <c r="AT20" i="42"/>
  <c r="AL20" i="42"/>
  <c r="V21" i="42"/>
  <c r="S22" i="42"/>
  <c r="R22" i="42"/>
  <c r="T23" i="38"/>
  <c r="X48" i="41"/>
  <c r="AC48" i="41"/>
  <c r="Z48" i="41"/>
  <c r="AA48" i="41"/>
  <c r="AF48" i="41"/>
  <c r="AD48" i="41"/>
  <c r="AB48" i="41"/>
  <c r="W48" i="41"/>
  <c r="Q48" i="41"/>
  <c r="AE48" i="41"/>
  <c r="Y48" i="41"/>
  <c r="AO48" i="41"/>
  <c r="AC49" i="41"/>
  <c r="AG49" i="40"/>
  <c r="AF49" i="41"/>
  <c r="AB49" i="41"/>
  <c r="AD49" i="41"/>
  <c r="W49" i="41"/>
  <c r="S49" i="41"/>
  <c r="Q49" i="41"/>
  <c r="S23" i="42" l="1"/>
  <c r="M23" i="42"/>
  <c r="P23" i="42"/>
  <c r="L23" i="42"/>
  <c r="O23" i="42"/>
  <c r="N21" i="41"/>
  <c r="N20" i="41"/>
  <c r="O20" i="41"/>
  <c r="N23" i="42"/>
  <c r="AG23" i="39"/>
  <c r="O23" i="40" s="1"/>
  <c r="AQ23" i="39"/>
  <c r="AP23" i="39"/>
  <c r="AF23" i="39"/>
  <c r="AU23" i="39"/>
  <c r="AC23" i="40" s="1"/>
  <c r="AD22" i="41" s="1"/>
  <c r="AT23" i="39"/>
  <c r="AB23" i="40" s="1"/>
  <c r="AJ23" i="39"/>
  <c r="R23" i="40" s="1"/>
  <c r="AK23" i="39"/>
  <c r="S23" i="40" s="1"/>
  <c r="T22" i="41" s="1"/>
  <c r="AS23" i="39"/>
  <c r="AA23" i="40" s="1"/>
  <c r="AB22" i="41" s="1"/>
  <c r="AR23" i="39"/>
  <c r="Z23" i="40" s="1"/>
  <c r="AI23" i="39"/>
  <c r="Q23" i="40" s="1"/>
  <c r="AH23" i="39"/>
  <c r="P23" i="40" s="1"/>
  <c r="AO23" i="39"/>
  <c r="W23" i="40" s="1"/>
  <c r="X22" i="41" s="1"/>
  <c r="AN23" i="39"/>
  <c r="AE23" i="39"/>
  <c r="M23" i="40" s="1"/>
  <c r="AD23" i="39"/>
  <c r="AM23" i="39"/>
  <c r="U23" i="40" s="1"/>
  <c r="V22" i="41" s="1"/>
  <c r="AW23" i="39"/>
  <c r="AE23" i="40" s="1"/>
  <c r="AF22" i="41" s="1"/>
  <c r="AL23" i="39"/>
  <c r="T23" i="40" s="1"/>
  <c r="AV23" i="39"/>
  <c r="O25" i="38"/>
  <c r="P25" i="38"/>
  <c r="N25" i="38"/>
  <c r="Q25" i="38"/>
  <c r="R25" i="38"/>
  <c r="S25" i="38"/>
  <c r="K25" i="38"/>
  <c r="J25" i="38"/>
  <c r="L24" i="42" s="1"/>
  <c r="L25" i="38"/>
  <c r="M25" i="38"/>
  <c r="BG48" i="41"/>
  <c r="AC21" i="41"/>
  <c r="AC20" i="41"/>
  <c r="BG20" i="41" s="1"/>
  <c r="AD22" i="40"/>
  <c r="AE21" i="41" s="1"/>
  <c r="AZ18" i="41"/>
  <c r="Z22" i="40"/>
  <c r="AA21" i="41" s="1"/>
  <c r="Y22" i="40"/>
  <c r="Z21" i="41" s="1"/>
  <c r="O22" i="40"/>
  <c r="BE48" i="41"/>
  <c r="BD48" i="41"/>
  <c r="AL48" i="41"/>
  <c r="AV48" i="41"/>
  <c r="BF48" i="41"/>
  <c r="AS48" i="41"/>
  <c r="AP48" i="41"/>
  <c r="BD19" i="41"/>
  <c r="AO19" i="41"/>
  <c r="BE19" i="41"/>
  <c r="BF20" i="41"/>
  <c r="AQ22" i="42"/>
  <c r="AP22" i="42"/>
  <c r="AH22" i="42"/>
  <c r="AS22" i="42"/>
  <c r="AE22" i="42"/>
  <c r="AR22" i="42"/>
  <c r="AB22" i="42"/>
  <c r="BH18" i="41"/>
  <c r="Y22" i="42"/>
  <c r="R23" i="42"/>
  <c r="AS20" i="41"/>
  <c r="AL19" i="41"/>
  <c r="AP19" i="41"/>
  <c r="Q21" i="41"/>
  <c r="X22" i="40"/>
  <c r="Y21" i="41" s="1"/>
  <c r="AG21" i="40"/>
  <c r="V22" i="40"/>
  <c r="W21" i="41" s="1"/>
  <c r="L22" i="40"/>
  <c r="AX22" i="39"/>
  <c r="T21" i="41"/>
  <c r="S21" i="41"/>
  <c r="N22" i="40"/>
  <c r="X21" i="41"/>
  <c r="Y20" i="41"/>
  <c r="AD21" i="41"/>
  <c r="AH19" i="41"/>
  <c r="AK19" i="41"/>
  <c r="U23" i="42"/>
  <c r="T24" i="38"/>
  <c r="Q23" i="42"/>
  <c r="AL21" i="42"/>
  <c r="V22" i="42"/>
  <c r="T23" i="42"/>
  <c r="AT21" i="42"/>
  <c r="T49" i="41"/>
  <c r="BG49" i="41" s="1"/>
  <c r="AA49" i="41"/>
  <c r="AE49" i="41"/>
  <c r="AH48" i="41"/>
  <c r="AK48" i="41"/>
  <c r="AO49" i="41"/>
  <c r="Y49" i="41"/>
  <c r="R49" i="41"/>
  <c r="V49" i="41"/>
  <c r="U49" i="41"/>
  <c r="AK49" i="41"/>
  <c r="Z49" i="41"/>
  <c r="X49" i="41"/>
  <c r="Q50" i="41"/>
  <c r="AG50" i="40"/>
  <c r="AD50" i="41"/>
  <c r="AF50" i="41"/>
  <c r="AE50" i="41"/>
  <c r="P22" i="41" l="1"/>
  <c r="P24" i="42"/>
  <c r="Q24" i="42"/>
  <c r="U24" i="42"/>
  <c r="T24" i="42"/>
  <c r="P21" i="41"/>
  <c r="M21" i="41"/>
  <c r="O21" i="41"/>
  <c r="N22" i="41"/>
  <c r="O24" i="42"/>
  <c r="M24" i="42"/>
  <c r="N24" i="42"/>
  <c r="AU24" i="39"/>
  <c r="AC24" i="40" s="1"/>
  <c r="AD23" i="41" s="1"/>
  <c r="AK24" i="39"/>
  <c r="S24" i="40" s="1"/>
  <c r="T23" i="41" s="1"/>
  <c r="AT24" i="39"/>
  <c r="AB24" i="40" s="1"/>
  <c r="AC23" i="41" s="1"/>
  <c r="AJ24" i="39"/>
  <c r="R24" i="40" s="1"/>
  <c r="AQ24" i="39"/>
  <c r="AG24" i="39"/>
  <c r="O24" i="40" s="1"/>
  <c r="P23" i="41" s="1"/>
  <c r="AP24" i="39"/>
  <c r="AF24" i="39"/>
  <c r="AS24" i="39"/>
  <c r="AA24" i="40" s="1"/>
  <c r="AB23" i="41" s="1"/>
  <c r="AR24" i="39"/>
  <c r="Z24" i="40" s="1"/>
  <c r="AI24" i="39"/>
  <c r="Q24" i="40" s="1"/>
  <c r="R23" i="41" s="1"/>
  <c r="AH24" i="39"/>
  <c r="AO24" i="39"/>
  <c r="W24" i="40" s="1"/>
  <c r="X23" i="41" s="1"/>
  <c r="AE24" i="39"/>
  <c r="M24" i="40" s="1"/>
  <c r="N23" i="41" s="1"/>
  <c r="AD24" i="39"/>
  <c r="AN24" i="39"/>
  <c r="M26" i="38"/>
  <c r="R26" i="38"/>
  <c r="L26" i="38"/>
  <c r="K26" i="38"/>
  <c r="J26" i="38"/>
  <c r="S26" i="38"/>
  <c r="Q26" i="38"/>
  <c r="P26" i="38"/>
  <c r="O26" i="38"/>
  <c r="N26" i="38"/>
  <c r="AL24" i="39"/>
  <c r="T24" i="40" s="1"/>
  <c r="U23" i="41" s="1"/>
  <c r="AM24" i="39"/>
  <c r="U24" i="40" s="1"/>
  <c r="AW24" i="39"/>
  <c r="AE24" i="40" s="1"/>
  <c r="AF23" i="41" s="1"/>
  <c r="AV24" i="39"/>
  <c r="AD24" i="40" s="1"/>
  <c r="AV20" i="41"/>
  <c r="AA22" i="41"/>
  <c r="AD23" i="40"/>
  <c r="AE22" i="41" s="1"/>
  <c r="Y23" i="40"/>
  <c r="Z22" i="41" s="1"/>
  <c r="AZ19" i="41"/>
  <c r="AZ48" i="41"/>
  <c r="AP49" i="41"/>
  <c r="BF49" i="41"/>
  <c r="BE49" i="41"/>
  <c r="AS49" i="41"/>
  <c r="BE20" i="41"/>
  <c r="AL49" i="41"/>
  <c r="BD49" i="41"/>
  <c r="AV49" i="41"/>
  <c r="BG21" i="41"/>
  <c r="AS21" i="41"/>
  <c r="BF21" i="41"/>
  <c r="AL20" i="41"/>
  <c r="BD20" i="41"/>
  <c r="AP23" i="42"/>
  <c r="AH23" i="42"/>
  <c r="AS23" i="42"/>
  <c r="AB23" i="42"/>
  <c r="AQ23" i="42"/>
  <c r="AR23" i="42"/>
  <c r="Y23" i="42"/>
  <c r="R24" i="42"/>
  <c r="AE23" i="42"/>
  <c r="AP20" i="41"/>
  <c r="AV21" i="41"/>
  <c r="BH19" i="41"/>
  <c r="X23" i="40"/>
  <c r="Y22" i="41" s="1"/>
  <c r="V23" i="40"/>
  <c r="W22" i="41" s="1"/>
  <c r="AK20" i="41"/>
  <c r="AH20" i="41"/>
  <c r="AC22" i="41"/>
  <c r="R22" i="41"/>
  <c r="AG22" i="40"/>
  <c r="U22" i="41"/>
  <c r="S22" i="41"/>
  <c r="N23" i="40"/>
  <c r="O22" i="41" s="1"/>
  <c r="AO20" i="41"/>
  <c r="Q22" i="41"/>
  <c r="L23" i="40"/>
  <c r="AX23" i="39"/>
  <c r="AL22" i="42"/>
  <c r="S24" i="42"/>
  <c r="T25" i="38"/>
  <c r="V23" i="42"/>
  <c r="AT22" i="42"/>
  <c r="BH48" i="41"/>
  <c r="AH49" i="41"/>
  <c r="AB50" i="41"/>
  <c r="S50" i="41"/>
  <c r="U50" i="41"/>
  <c r="Z50" i="41"/>
  <c r="AC50" i="41"/>
  <c r="V50" i="41"/>
  <c r="Y50" i="41"/>
  <c r="AA50" i="41"/>
  <c r="X50" i="41"/>
  <c r="W50" i="41"/>
  <c r="R50" i="41"/>
  <c r="T50" i="41"/>
  <c r="Z51" i="41"/>
  <c r="V51" i="41"/>
  <c r="X51" i="41"/>
  <c r="AG51" i="40"/>
  <c r="S25" i="42" l="1"/>
  <c r="U25" i="42"/>
  <c r="M25" i="42"/>
  <c r="T25" i="42"/>
  <c r="L25" i="42"/>
  <c r="N25" i="42"/>
  <c r="M22" i="41"/>
  <c r="P25" i="42"/>
  <c r="O25" i="42"/>
  <c r="AU25" i="39"/>
  <c r="AC25" i="40" s="1"/>
  <c r="AD24" i="41" s="1"/>
  <c r="AJ25" i="39"/>
  <c r="R25" i="40" s="1"/>
  <c r="AT25" i="39"/>
  <c r="AB25" i="40" s="1"/>
  <c r="AC24" i="41" s="1"/>
  <c r="AK25" i="39"/>
  <c r="S25" i="40" s="1"/>
  <c r="AQ25" i="39"/>
  <c r="AP25" i="39"/>
  <c r="AG25" i="39"/>
  <c r="AF25" i="39"/>
  <c r="AS25" i="39"/>
  <c r="AA25" i="40" s="1"/>
  <c r="AB24" i="41" s="1"/>
  <c r="AR25" i="39"/>
  <c r="Z25" i="40" s="1"/>
  <c r="AI25" i="39"/>
  <c r="Q25" i="40" s="1"/>
  <c r="R24" i="41" s="1"/>
  <c r="AH25" i="39"/>
  <c r="P25" i="40" s="1"/>
  <c r="AO25" i="39"/>
  <c r="W25" i="40" s="1"/>
  <c r="X24" i="41" s="1"/>
  <c r="AN25" i="39"/>
  <c r="AD25" i="39"/>
  <c r="AE25" i="39"/>
  <c r="M25" i="40" s="1"/>
  <c r="N24" i="41" s="1"/>
  <c r="AM25" i="39"/>
  <c r="U25" i="40" s="1"/>
  <c r="V24" i="41" s="1"/>
  <c r="AW25" i="39"/>
  <c r="AE25" i="40" s="1"/>
  <c r="AL25" i="39"/>
  <c r="T25" i="40" s="1"/>
  <c r="U24" i="41" s="1"/>
  <c r="AV25" i="39"/>
  <c r="AD25" i="40" s="1"/>
  <c r="AE24" i="41" s="1"/>
  <c r="S27" i="38"/>
  <c r="K27" i="38"/>
  <c r="R27" i="38"/>
  <c r="L27" i="38"/>
  <c r="J27" i="38"/>
  <c r="M27" i="38"/>
  <c r="O27" i="38"/>
  <c r="Q27" i="38"/>
  <c r="N27" i="38"/>
  <c r="P27" i="38"/>
  <c r="P24" i="40"/>
  <c r="Q23" i="41" s="1"/>
  <c r="AE23" i="41"/>
  <c r="AZ49" i="41"/>
  <c r="AZ20" i="41"/>
  <c r="Y24" i="40"/>
  <c r="Z23" i="41" s="1"/>
  <c r="BF50" i="41"/>
  <c r="AS50" i="41"/>
  <c r="BD50" i="41"/>
  <c r="AL50" i="41"/>
  <c r="BG50" i="41"/>
  <c r="AV50" i="41"/>
  <c r="BE50" i="41"/>
  <c r="AP50" i="41"/>
  <c r="BF22" i="41"/>
  <c r="AL21" i="41"/>
  <c r="BD21" i="41"/>
  <c r="AP21" i="41"/>
  <c r="BE21" i="41"/>
  <c r="BG22" i="41"/>
  <c r="AE24" i="42"/>
  <c r="AR24" i="42"/>
  <c r="AS24" i="42"/>
  <c r="AQ24" i="42"/>
  <c r="Y24" i="42"/>
  <c r="AP24" i="42"/>
  <c r="AV22" i="41"/>
  <c r="AH24" i="42"/>
  <c r="AB24" i="42"/>
  <c r="AS22" i="41"/>
  <c r="AO21" i="41"/>
  <c r="L24" i="40"/>
  <c r="AX24" i="39"/>
  <c r="AK21" i="41"/>
  <c r="AH21" i="41"/>
  <c r="N24" i="40"/>
  <c r="O23" i="41" s="1"/>
  <c r="S23" i="41"/>
  <c r="AG23" i="40"/>
  <c r="AA23" i="41"/>
  <c r="X24" i="40"/>
  <c r="V23" i="41"/>
  <c r="BH20" i="41"/>
  <c r="V24" i="40"/>
  <c r="AL23" i="42"/>
  <c r="V24" i="42"/>
  <c r="R25" i="42"/>
  <c r="AS25" i="42" s="1"/>
  <c r="T26" i="38"/>
  <c r="Q25" i="42"/>
  <c r="AT23" i="42"/>
  <c r="BH49" i="41"/>
  <c r="AO50" i="41"/>
  <c r="Q51" i="41"/>
  <c r="AF51" i="41"/>
  <c r="AH50" i="41"/>
  <c r="AK50" i="41"/>
  <c r="AA51" i="41"/>
  <c r="R51" i="41"/>
  <c r="W51" i="41"/>
  <c r="AE51" i="41"/>
  <c r="AC51" i="41"/>
  <c r="U51" i="41"/>
  <c r="T51" i="41"/>
  <c r="Y51" i="41"/>
  <c r="AK51" i="41"/>
  <c r="AB51" i="41"/>
  <c r="AD51" i="41"/>
  <c r="S51" i="41"/>
  <c r="V52" i="41"/>
  <c r="AF52" i="41"/>
  <c r="AG52" i="40"/>
  <c r="R52" i="41"/>
  <c r="AA52" i="41"/>
  <c r="S52" i="41"/>
  <c r="AE52" i="41"/>
  <c r="AB52" i="41"/>
  <c r="T26" i="42" l="1"/>
  <c r="S26" i="42"/>
  <c r="M26" i="42"/>
  <c r="U26" i="42"/>
  <c r="Q26" i="42"/>
  <c r="P26" i="42"/>
  <c r="L26" i="42"/>
  <c r="O26" i="42"/>
  <c r="M23" i="41"/>
  <c r="N26" i="42"/>
  <c r="AU26" i="39"/>
  <c r="AC26" i="40" s="1"/>
  <c r="AD25" i="41" s="1"/>
  <c r="AT26" i="39"/>
  <c r="AK26" i="39"/>
  <c r="S26" i="40" s="1"/>
  <c r="AJ26" i="39"/>
  <c r="R26" i="40" s="1"/>
  <c r="AG26" i="39"/>
  <c r="O26" i="40" s="1"/>
  <c r="AQ26" i="39"/>
  <c r="AP26" i="39"/>
  <c r="AF26" i="39"/>
  <c r="AS26" i="39"/>
  <c r="AA26" i="40" s="1"/>
  <c r="AB25" i="41" s="1"/>
  <c r="AR26" i="39"/>
  <c r="Z26" i="40" s="1"/>
  <c r="AA25" i="41" s="1"/>
  <c r="AI26" i="39"/>
  <c r="Q26" i="40" s="1"/>
  <c r="R25" i="41" s="1"/>
  <c r="AH26" i="39"/>
  <c r="P26" i="40" s="1"/>
  <c r="AO26" i="39"/>
  <c r="W26" i="40" s="1"/>
  <c r="X25" i="41" s="1"/>
  <c r="AN26" i="39"/>
  <c r="AE26" i="39"/>
  <c r="M26" i="40" s="1"/>
  <c r="AD26" i="39"/>
  <c r="Q28" i="38"/>
  <c r="P28" i="38"/>
  <c r="O28" i="38"/>
  <c r="N28" i="38"/>
  <c r="M28" i="38"/>
  <c r="L28" i="38"/>
  <c r="J28" i="38"/>
  <c r="R28" i="38"/>
  <c r="S28" i="38"/>
  <c r="K28" i="38"/>
  <c r="AM26" i="39"/>
  <c r="U26" i="40" s="1"/>
  <c r="V25" i="41" s="1"/>
  <c r="AV26" i="39"/>
  <c r="AD26" i="40" s="1"/>
  <c r="AW26" i="39"/>
  <c r="AL26" i="39"/>
  <c r="T26" i="40" s="1"/>
  <c r="U25" i="41" s="1"/>
  <c r="AZ50" i="41"/>
  <c r="AZ21" i="41"/>
  <c r="Y25" i="40"/>
  <c r="Z24" i="41" s="1"/>
  <c r="O25" i="40"/>
  <c r="BD51" i="41"/>
  <c r="AL51" i="41"/>
  <c r="BG51" i="41"/>
  <c r="AV51" i="41"/>
  <c r="BE51" i="41"/>
  <c r="AP51" i="41"/>
  <c r="BF51" i="41"/>
  <c r="AS51" i="41"/>
  <c r="AL22" i="41"/>
  <c r="BD22" i="41"/>
  <c r="BF23" i="41"/>
  <c r="AP22" i="41"/>
  <c r="BE22" i="41"/>
  <c r="AV23" i="41"/>
  <c r="BG23" i="41"/>
  <c r="AR25" i="42"/>
  <c r="AP25" i="42"/>
  <c r="AB25" i="42"/>
  <c r="AQ25" i="42"/>
  <c r="Y25" i="42"/>
  <c r="AE25" i="42"/>
  <c r="AH25" i="42"/>
  <c r="S24" i="41"/>
  <c r="AS23" i="41"/>
  <c r="BH21" i="41"/>
  <c r="AF24" i="41"/>
  <c r="W23" i="41"/>
  <c r="X25" i="40"/>
  <c r="Y24" i="41" s="1"/>
  <c r="Q24" i="41"/>
  <c r="V25" i="40"/>
  <c r="W24" i="41" s="1"/>
  <c r="T24" i="41"/>
  <c r="AG24" i="40"/>
  <c r="AO22" i="41"/>
  <c r="Y23" i="41"/>
  <c r="AH22" i="41"/>
  <c r="AK22" i="41"/>
  <c r="L25" i="40"/>
  <c r="AX25" i="39"/>
  <c r="AA24" i="41"/>
  <c r="N25" i="40"/>
  <c r="AT24" i="42"/>
  <c r="T27" i="38"/>
  <c r="AL24" i="42"/>
  <c r="R26" i="42"/>
  <c r="V25" i="42"/>
  <c r="BH50" i="41"/>
  <c r="AH51" i="41"/>
  <c r="AK52" i="41"/>
  <c r="AO51" i="41"/>
  <c r="Z52" i="41"/>
  <c r="W52" i="41"/>
  <c r="Y52" i="41"/>
  <c r="T52" i="41"/>
  <c r="X52" i="41"/>
  <c r="U52" i="41"/>
  <c r="AC52" i="41"/>
  <c r="AD52" i="41"/>
  <c r="Q52" i="41"/>
  <c r="T53" i="41"/>
  <c r="R53" i="41"/>
  <c r="U53" i="41"/>
  <c r="AG53" i="40"/>
  <c r="S53" i="41"/>
  <c r="Q53" i="41"/>
  <c r="V53" i="41"/>
  <c r="AB53" i="41"/>
  <c r="AA53" i="41"/>
  <c r="W53" i="41"/>
  <c r="AE53" i="41"/>
  <c r="Z53" i="41"/>
  <c r="AF53" i="41"/>
  <c r="AS26" i="42" l="1"/>
  <c r="T27" i="42"/>
  <c r="Q27" i="42"/>
  <c r="M27" i="42"/>
  <c r="S27" i="42"/>
  <c r="O27" i="42"/>
  <c r="P25" i="41"/>
  <c r="P24" i="41"/>
  <c r="O24" i="41"/>
  <c r="M24" i="41"/>
  <c r="N25" i="41"/>
  <c r="P27" i="42"/>
  <c r="N27" i="42"/>
  <c r="L27" i="42"/>
  <c r="AU27" i="39"/>
  <c r="AC27" i="40" s="1"/>
  <c r="AT27" i="39"/>
  <c r="AB27" i="40" s="1"/>
  <c r="AK27" i="39"/>
  <c r="S27" i="40" s="1"/>
  <c r="AJ27" i="39"/>
  <c r="R27" i="40" s="1"/>
  <c r="AG27" i="39"/>
  <c r="O27" i="40" s="1"/>
  <c r="P26" i="41" s="1"/>
  <c r="AQ27" i="39"/>
  <c r="AP27" i="39"/>
  <c r="AF27" i="39"/>
  <c r="AS27" i="39"/>
  <c r="AA27" i="40" s="1"/>
  <c r="AB26" i="41" s="1"/>
  <c r="AR27" i="39"/>
  <c r="AI27" i="39"/>
  <c r="Q27" i="40" s="1"/>
  <c r="AH27" i="39"/>
  <c r="P27" i="40" s="1"/>
  <c r="AO27" i="39"/>
  <c r="W27" i="40" s="1"/>
  <c r="X26" i="41" s="1"/>
  <c r="AE27" i="39"/>
  <c r="AD27" i="39"/>
  <c r="AN27" i="39"/>
  <c r="M29" i="38"/>
  <c r="L29" i="38"/>
  <c r="S29" i="38"/>
  <c r="J29" i="38"/>
  <c r="K29" i="38"/>
  <c r="R29" i="38"/>
  <c r="AM27" i="39"/>
  <c r="U27" i="40" s="1"/>
  <c r="AW27" i="39"/>
  <c r="AE27" i="40" s="1"/>
  <c r="AV27" i="39"/>
  <c r="AD27" i="40" s="1"/>
  <c r="AE26" i="41" s="1"/>
  <c r="AL27" i="39"/>
  <c r="T27" i="40" s="1"/>
  <c r="U26" i="41" s="1"/>
  <c r="Q29" i="38"/>
  <c r="N29" i="38"/>
  <c r="P29" i="38"/>
  <c r="O29" i="38"/>
  <c r="AE26" i="40"/>
  <c r="AF25" i="41" s="1"/>
  <c r="AZ22" i="41"/>
  <c r="AZ51" i="41"/>
  <c r="AB26" i="40"/>
  <c r="AC25" i="41" s="1"/>
  <c r="Y26" i="40"/>
  <c r="Z25" i="41" s="1"/>
  <c r="BD52" i="41"/>
  <c r="BG52" i="41"/>
  <c r="AV52" i="41"/>
  <c r="BF52" i="41"/>
  <c r="AS52" i="41"/>
  <c r="BE52" i="41"/>
  <c r="AP52" i="41"/>
  <c r="AL52" i="41"/>
  <c r="BF53" i="41"/>
  <c r="AS53" i="41"/>
  <c r="BG24" i="41"/>
  <c r="AK23" i="41"/>
  <c r="BD23" i="41"/>
  <c r="BF24" i="41"/>
  <c r="AO23" i="41"/>
  <c r="BE23" i="41"/>
  <c r="AQ26" i="42"/>
  <c r="AP26" i="42"/>
  <c r="AE26" i="42"/>
  <c r="AR26" i="42"/>
  <c r="AB26" i="42"/>
  <c r="AH26" i="42"/>
  <c r="Y26" i="42"/>
  <c r="AS24" i="41"/>
  <c r="AV24" i="41"/>
  <c r="AL23" i="41"/>
  <c r="AP23" i="41"/>
  <c r="AT25" i="42"/>
  <c r="L26" i="40"/>
  <c r="M25" i="41" s="1"/>
  <c r="AX26" i="39"/>
  <c r="AH23" i="41"/>
  <c r="AG25" i="40"/>
  <c r="V26" i="40"/>
  <c r="AE25" i="41"/>
  <c r="S25" i="41"/>
  <c r="BH22" i="41"/>
  <c r="X26" i="40"/>
  <c r="Y25" i="41" s="1"/>
  <c r="N26" i="40"/>
  <c r="Q25" i="41"/>
  <c r="BF25" i="41" s="1"/>
  <c r="T25" i="41"/>
  <c r="V26" i="42"/>
  <c r="AL25" i="42"/>
  <c r="T28" i="38"/>
  <c r="U27" i="42"/>
  <c r="R27" i="42"/>
  <c r="AH52" i="41"/>
  <c r="BH51" i="41"/>
  <c r="AK53" i="41"/>
  <c r="Y53" i="41"/>
  <c r="AO53" i="41"/>
  <c r="AC53" i="41"/>
  <c r="AO52" i="41"/>
  <c r="AD53" i="41"/>
  <c r="X53" i="41"/>
  <c r="Q54" i="41"/>
  <c r="AB54" i="41"/>
  <c r="R54" i="41"/>
  <c r="T54" i="41"/>
  <c r="W54" i="41"/>
  <c r="Y54" i="41"/>
  <c r="AG54" i="40"/>
  <c r="U54" i="41"/>
  <c r="U28" i="42" l="1"/>
  <c r="S28" i="42"/>
  <c r="T28" i="42"/>
  <c r="Q28" i="42"/>
  <c r="M28" i="42"/>
  <c r="N28" i="42"/>
  <c r="P28" i="42"/>
  <c r="O28" i="42"/>
  <c r="L28" i="42"/>
  <c r="O25" i="41"/>
  <c r="AQ28" i="39"/>
  <c r="AG28" i="39"/>
  <c r="AP28" i="39"/>
  <c r="AF28" i="39"/>
  <c r="AU28" i="39"/>
  <c r="AC28" i="40" s="1"/>
  <c r="AD27" i="41" s="1"/>
  <c r="AJ28" i="39"/>
  <c r="R28" i="40" s="1"/>
  <c r="AT28" i="39"/>
  <c r="AB28" i="40" s="1"/>
  <c r="AK28" i="39"/>
  <c r="S28" i="40" s="1"/>
  <c r="T27" i="41" s="1"/>
  <c r="AS28" i="39"/>
  <c r="AA28" i="40" s="1"/>
  <c r="AR28" i="39"/>
  <c r="Z28" i="40" s="1"/>
  <c r="AI28" i="39"/>
  <c r="Q28" i="40" s="1"/>
  <c r="AH28" i="39"/>
  <c r="P28" i="40" s="1"/>
  <c r="AO28" i="39"/>
  <c r="W28" i="40" s="1"/>
  <c r="X27" i="41" s="1"/>
  <c r="AN28" i="39"/>
  <c r="AE28" i="39"/>
  <c r="M28" i="40" s="1"/>
  <c r="AD28" i="39"/>
  <c r="AW28" i="39"/>
  <c r="AL28" i="39"/>
  <c r="T28" i="40" s="1"/>
  <c r="AM28" i="39"/>
  <c r="AV28" i="39"/>
  <c r="AD28" i="40" s="1"/>
  <c r="AE27" i="41" s="1"/>
  <c r="S30" i="38"/>
  <c r="K30" i="38"/>
  <c r="R30" i="38"/>
  <c r="J30" i="38"/>
  <c r="L29" i="42" s="1"/>
  <c r="M30" i="38"/>
  <c r="L30" i="38"/>
  <c r="N30" i="38"/>
  <c r="O30" i="38"/>
  <c r="Q30" i="38"/>
  <c r="P30" i="38"/>
  <c r="AC26" i="41"/>
  <c r="AF26" i="41"/>
  <c r="AZ52" i="41"/>
  <c r="AZ23" i="41"/>
  <c r="Y27" i="40"/>
  <c r="Z26" i="41" s="1"/>
  <c r="Z27" i="40"/>
  <c r="BE53" i="41"/>
  <c r="M27" i="40"/>
  <c r="BG53" i="41"/>
  <c r="AL53" i="41"/>
  <c r="AV53" i="41"/>
  <c r="BD53" i="41"/>
  <c r="AP53" i="41"/>
  <c r="BG25" i="41"/>
  <c r="AL24" i="41"/>
  <c r="BD24" i="41"/>
  <c r="AP24" i="41"/>
  <c r="BE24" i="41"/>
  <c r="AQ27" i="42"/>
  <c r="AP27" i="42"/>
  <c r="AH27" i="42"/>
  <c r="AS27" i="42"/>
  <c r="AE27" i="42"/>
  <c r="AR27" i="42"/>
  <c r="BH23" i="41"/>
  <c r="Y27" i="42"/>
  <c r="AB27" i="42"/>
  <c r="AS25" i="41"/>
  <c r="AV25" i="41"/>
  <c r="Q26" i="41"/>
  <c r="X27" i="40"/>
  <c r="Y26" i="41" s="1"/>
  <c r="L27" i="40"/>
  <c r="M26" i="41" s="1"/>
  <c r="AX27" i="39"/>
  <c r="AG26" i="40"/>
  <c r="S26" i="41"/>
  <c r="V27" i="40"/>
  <c r="W26" i="41" s="1"/>
  <c r="R26" i="41"/>
  <c r="T26" i="41"/>
  <c r="AH24" i="41"/>
  <c r="AK24" i="41"/>
  <c r="N27" i="40"/>
  <c r="AO24" i="41"/>
  <c r="W25" i="41"/>
  <c r="V26" i="41"/>
  <c r="AD26" i="41"/>
  <c r="AL26" i="42"/>
  <c r="AT26" i="42"/>
  <c r="R28" i="42"/>
  <c r="T29" i="38"/>
  <c r="V27" i="42"/>
  <c r="BH52" i="41"/>
  <c r="AH53" i="41"/>
  <c r="AD54" i="41"/>
  <c r="AF54" i="41"/>
  <c r="AC54" i="41"/>
  <c r="S54" i="41"/>
  <c r="AE54" i="41"/>
  <c r="V54" i="41"/>
  <c r="Z54" i="41"/>
  <c r="AA54" i="41"/>
  <c r="BF54" i="41" s="1"/>
  <c r="AO54" i="41"/>
  <c r="X54" i="41"/>
  <c r="T55" i="41"/>
  <c r="S55" i="41"/>
  <c r="AG55" i="40"/>
  <c r="W55" i="41"/>
  <c r="Y55" i="41"/>
  <c r="X55" i="41"/>
  <c r="V55" i="41"/>
  <c r="U29" i="42" l="1"/>
  <c r="M29" i="42"/>
  <c r="S29" i="42"/>
  <c r="O29" i="42"/>
  <c r="N27" i="41"/>
  <c r="N26" i="41"/>
  <c r="O26" i="41"/>
  <c r="N29" i="42"/>
  <c r="P29" i="42"/>
  <c r="AQ29" i="39"/>
  <c r="AP29" i="39"/>
  <c r="AG29" i="39"/>
  <c r="AF29" i="39"/>
  <c r="AU29" i="39"/>
  <c r="AC29" i="40" s="1"/>
  <c r="AK29" i="39"/>
  <c r="S29" i="40" s="1"/>
  <c r="AT29" i="39"/>
  <c r="AB29" i="40" s="1"/>
  <c r="AC28" i="41" s="1"/>
  <c r="AJ29" i="39"/>
  <c r="R29" i="40" s="1"/>
  <c r="AS29" i="39"/>
  <c r="AA29" i="40" s="1"/>
  <c r="AB28" i="41" s="1"/>
  <c r="AR29" i="39"/>
  <c r="Z29" i="40" s="1"/>
  <c r="AA28" i="41" s="1"/>
  <c r="AI29" i="39"/>
  <c r="Q29" i="40" s="1"/>
  <c r="R28" i="41" s="1"/>
  <c r="AH29" i="39"/>
  <c r="AO29" i="39"/>
  <c r="W29" i="40" s="1"/>
  <c r="AN29" i="39"/>
  <c r="AE29" i="39"/>
  <c r="M29" i="40" s="1"/>
  <c r="N28" i="41" s="1"/>
  <c r="AD29" i="39"/>
  <c r="AM29" i="39"/>
  <c r="U29" i="40" s="1"/>
  <c r="AW29" i="39"/>
  <c r="AE29" i="40" s="1"/>
  <c r="AL29" i="39"/>
  <c r="T29" i="40" s="1"/>
  <c r="U28" i="41" s="1"/>
  <c r="AV29" i="39"/>
  <c r="M31" i="38"/>
  <c r="J31" i="38"/>
  <c r="S31" i="38"/>
  <c r="K31" i="38"/>
  <c r="L31" i="38"/>
  <c r="R31" i="38"/>
  <c r="Q31" i="38"/>
  <c r="P31" i="38"/>
  <c r="O31" i="38"/>
  <c r="N31" i="38"/>
  <c r="AA26" i="41"/>
  <c r="AS26" i="41" s="1"/>
  <c r="AE28" i="40"/>
  <c r="AF27" i="41" s="1"/>
  <c r="AZ53" i="41"/>
  <c r="AZ24" i="41"/>
  <c r="Y28" i="40"/>
  <c r="Z27" i="41" s="1"/>
  <c r="U28" i="40"/>
  <c r="V27" i="41" s="1"/>
  <c r="O28" i="40"/>
  <c r="AP54" i="41"/>
  <c r="BE54" i="41"/>
  <c r="AS54" i="41"/>
  <c r="BD54" i="41"/>
  <c r="AL54" i="41"/>
  <c r="BG54" i="41"/>
  <c r="AV54" i="41"/>
  <c r="AQ28" i="42"/>
  <c r="BG26" i="41"/>
  <c r="AP25" i="41"/>
  <c r="BE25" i="41"/>
  <c r="AK25" i="41"/>
  <c r="BD25" i="41"/>
  <c r="AE28" i="42"/>
  <c r="AR28" i="42"/>
  <c r="AP28" i="42"/>
  <c r="AH28" i="42"/>
  <c r="AS28" i="42"/>
  <c r="Y28" i="42"/>
  <c r="AB28" i="42"/>
  <c r="AL25" i="41"/>
  <c r="AV26" i="41"/>
  <c r="BH24" i="41"/>
  <c r="AO25" i="41"/>
  <c r="AC27" i="41"/>
  <c r="N28" i="40"/>
  <c r="O27" i="41" s="1"/>
  <c r="Q27" i="41"/>
  <c r="R27" i="41"/>
  <c r="X28" i="40"/>
  <c r="U27" i="41"/>
  <c r="AH25" i="41"/>
  <c r="L28" i="40"/>
  <c r="AX28" i="39"/>
  <c r="AA27" i="41"/>
  <c r="V28" i="40"/>
  <c r="W27" i="41" s="1"/>
  <c r="AG27" i="40"/>
  <c r="AL27" i="42"/>
  <c r="S27" i="41"/>
  <c r="AB27" i="41"/>
  <c r="Q29" i="42"/>
  <c r="AT27" i="42"/>
  <c r="T30" i="38"/>
  <c r="T29" i="42"/>
  <c r="V28" i="42"/>
  <c r="R29" i="42"/>
  <c r="BH53" i="41"/>
  <c r="AO55" i="41"/>
  <c r="U55" i="41"/>
  <c r="AH54" i="41"/>
  <c r="AK54" i="41"/>
  <c r="Z55" i="41"/>
  <c r="AF55" i="41"/>
  <c r="AB55" i="41"/>
  <c r="Q55" i="41"/>
  <c r="AE55" i="41"/>
  <c r="AA55" i="41"/>
  <c r="R55" i="41"/>
  <c r="AD55" i="41"/>
  <c r="AC55" i="41"/>
  <c r="T56" i="41"/>
  <c r="AF56" i="41"/>
  <c r="Z56" i="41"/>
  <c r="AB56" i="41"/>
  <c r="AC56" i="41"/>
  <c r="AE56" i="41"/>
  <c r="Y56" i="41"/>
  <c r="U56" i="41"/>
  <c r="AG56" i="40"/>
  <c r="S30" i="42" l="1"/>
  <c r="Q30" i="42"/>
  <c r="L30" i="42"/>
  <c r="M30" i="42"/>
  <c r="O30" i="42"/>
  <c r="N30" i="42"/>
  <c r="T30" i="42"/>
  <c r="P30" i="42"/>
  <c r="P27" i="41"/>
  <c r="M27" i="41"/>
  <c r="AG30" i="39"/>
  <c r="AQ30" i="39"/>
  <c r="AP30" i="39"/>
  <c r="AF30" i="39"/>
  <c r="AU30" i="39"/>
  <c r="AC30" i="40" s="1"/>
  <c r="AD29" i="41" s="1"/>
  <c r="AT30" i="39"/>
  <c r="AB30" i="40" s="1"/>
  <c r="AJ30" i="39"/>
  <c r="R30" i="40" s="1"/>
  <c r="AK30" i="39"/>
  <c r="S30" i="40" s="1"/>
  <c r="T29" i="41" s="1"/>
  <c r="AS30" i="39"/>
  <c r="AA30" i="40" s="1"/>
  <c r="AB29" i="41" s="1"/>
  <c r="AR30" i="39"/>
  <c r="Z30" i="40" s="1"/>
  <c r="AI30" i="39"/>
  <c r="Q30" i="40" s="1"/>
  <c r="R29" i="41" s="1"/>
  <c r="AH30" i="39"/>
  <c r="P30" i="40" s="1"/>
  <c r="AO30" i="39"/>
  <c r="W30" i="40" s="1"/>
  <c r="X29" i="41" s="1"/>
  <c r="AE30" i="39"/>
  <c r="AD30" i="39"/>
  <c r="AN30" i="39"/>
  <c r="AM30" i="39"/>
  <c r="U30" i="40" s="1"/>
  <c r="V29" i="41" s="1"/>
  <c r="AL30" i="39"/>
  <c r="T30" i="40" s="1"/>
  <c r="AW30" i="39"/>
  <c r="AE30" i="40" s="1"/>
  <c r="AF29" i="41" s="1"/>
  <c r="AV30" i="39"/>
  <c r="AD30" i="40" s="1"/>
  <c r="S32" i="38"/>
  <c r="K32" i="38"/>
  <c r="R32" i="38"/>
  <c r="M32" i="38"/>
  <c r="L32" i="38"/>
  <c r="J32" i="38"/>
  <c r="O32" i="38"/>
  <c r="N32" i="38"/>
  <c r="Q32" i="38"/>
  <c r="P32" i="38"/>
  <c r="BF26" i="41"/>
  <c r="P29" i="40"/>
  <c r="AD29" i="40"/>
  <c r="AE28" i="41" s="1"/>
  <c r="AZ25" i="41"/>
  <c r="AZ54" i="41"/>
  <c r="Y29" i="40"/>
  <c r="Z28" i="41" s="1"/>
  <c r="O29" i="40"/>
  <c r="P28" i="41" s="1"/>
  <c r="AV55" i="41"/>
  <c r="BG27" i="41"/>
  <c r="BD55" i="41"/>
  <c r="AL55" i="41"/>
  <c r="BG55" i="41"/>
  <c r="BF55" i="41"/>
  <c r="AS55" i="41"/>
  <c r="AP55" i="41"/>
  <c r="BE55" i="41"/>
  <c r="BH25" i="41"/>
  <c r="AP26" i="41"/>
  <c r="BE26" i="41"/>
  <c r="AL26" i="41"/>
  <c r="BD26" i="41"/>
  <c r="BF27" i="41"/>
  <c r="AH29" i="42"/>
  <c r="AS29" i="42"/>
  <c r="AE29" i="42"/>
  <c r="AR29" i="42"/>
  <c r="AQ29" i="42"/>
  <c r="AP29" i="42"/>
  <c r="AO26" i="41"/>
  <c r="R30" i="42"/>
  <c r="AB29" i="42"/>
  <c r="Y29" i="42"/>
  <c r="AK26" i="41"/>
  <c r="AH26" i="41"/>
  <c r="AV27" i="41"/>
  <c r="AS27" i="41"/>
  <c r="S28" i="41"/>
  <c r="AF28" i="41"/>
  <c r="V29" i="40"/>
  <c r="L29" i="40"/>
  <c r="M28" i="41" s="1"/>
  <c r="AX29" i="39"/>
  <c r="AG28" i="40"/>
  <c r="X29" i="40"/>
  <c r="Y28" i="41" s="1"/>
  <c r="N29" i="40"/>
  <c r="O28" i="41" s="1"/>
  <c r="X28" i="41"/>
  <c r="AD28" i="41"/>
  <c r="V28" i="41"/>
  <c r="Y27" i="41"/>
  <c r="T28" i="41"/>
  <c r="V29" i="42"/>
  <c r="U30" i="42"/>
  <c r="T31" i="38"/>
  <c r="AT28" i="42"/>
  <c r="AL28" i="42"/>
  <c r="BH54" i="41"/>
  <c r="AH55" i="41"/>
  <c r="AK55" i="41"/>
  <c r="Q56" i="41"/>
  <c r="AD56" i="41"/>
  <c r="V56" i="41"/>
  <c r="S56" i="41"/>
  <c r="W56" i="41"/>
  <c r="X56" i="41"/>
  <c r="AA56" i="41"/>
  <c r="R56" i="41"/>
  <c r="AO56" i="41"/>
  <c r="AG57" i="40"/>
  <c r="R57" i="41"/>
  <c r="Y57" i="41"/>
  <c r="X57" i="41"/>
  <c r="AE57" i="41"/>
  <c r="AB57" i="41"/>
  <c r="Z57" i="41"/>
  <c r="AA57" i="41"/>
  <c r="AC57" i="41"/>
  <c r="Q31" i="42" l="1"/>
  <c r="L31" i="42"/>
  <c r="O31" i="42"/>
  <c r="T31" i="42"/>
  <c r="N31" i="42"/>
  <c r="U31" i="42"/>
  <c r="M31" i="42"/>
  <c r="P31" i="42"/>
  <c r="AG31" i="39"/>
  <c r="AQ31" i="39"/>
  <c r="AP31" i="39"/>
  <c r="AF31" i="39"/>
  <c r="AU31" i="39"/>
  <c r="AC31" i="40" s="1"/>
  <c r="AD30" i="41" s="1"/>
  <c r="AT31" i="39"/>
  <c r="AB31" i="40" s="1"/>
  <c r="AC30" i="41" s="1"/>
  <c r="AK31" i="39"/>
  <c r="S31" i="40" s="1"/>
  <c r="AJ31" i="39"/>
  <c r="R31" i="40" s="1"/>
  <c r="AS31" i="39"/>
  <c r="AA31" i="40" s="1"/>
  <c r="AB30" i="41" s="1"/>
  <c r="AR31" i="39"/>
  <c r="Z31" i="40" s="1"/>
  <c r="AI31" i="39"/>
  <c r="Q31" i="40" s="1"/>
  <c r="AH31" i="39"/>
  <c r="P31" i="40" s="1"/>
  <c r="AO31" i="39"/>
  <c r="W31" i="40" s="1"/>
  <c r="X30" i="41" s="1"/>
  <c r="AN31" i="39"/>
  <c r="AE31" i="39"/>
  <c r="M31" i="40" s="1"/>
  <c r="AD31" i="39"/>
  <c r="AM31" i="39"/>
  <c r="U31" i="40" s="1"/>
  <c r="V30" i="41" s="1"/>
  <c r="AW31" i="39"/>
  <c r="AE31" i="40" s="1"/>
  <c r="AF30" i="41" s="1"/>
  <c r="AL31" i="39"/>
  <c r="T31" i="40" s="1"/>
  <c r="U30" i="41" s="1"/>
  <c r="AV31" i="39"/>
  <c r="AD31" i="40" s="1"/>
  <c r="AE30" i="41" s="1"/>
  <c r="M33" i="38"/>
  <c r="L33" i="38"/>
  <c r="N32" i="42" s="1"/>
  <c r="S33" i="38"/>
  <c r="K33" i="38"/>
  <c r="J33" i="38"/>
  <c r="R33" i="38"/>
  <c r="Q33" i="38"/>
  <c r="P33" i="38"/>
  <c r="N33" i="38"/>
  <c r="O33" i="38"/>
  <c r="Q28" i="41"/>
  <c r="AS28" i="41" s="1"/>
  <c r="Y30" i="40"/>
  <c r="Z29" i="41" s="1"/>
  <c r="AZ55" i="41"/>
  <c r="AZ26" i="41"/>
  <c r="O30" i="40"/>
  <c r="P29" i="41" s="1"/>
  <c r="M30" i="40"/>
  <c r="BE56" i="41"/>
  <c r="BE57" i="41"/>
  <c r="AP57" i="41"/>
  <c r="BG56" i="41"/>
  <c r="AV56" i="41"/>
  <c r="BD56" i="41"/>
  <c r="AL56" i="41"/>
  <c r="BF56" i="41"/>
  <c r="AS56" i="41"/>
  <c r="AP56" i="41"/>
  <c r="BE27" i="41"/>
  <c r="AL27" i="41"/>
  <c r="BD27" i="41"/>
  <c r="BG28" i="41"/>
  <c r="AE30" i="42"/>
  <c r="AR30" i="42"/>
  <c r="AQ30" i="42"/>
  <c r="AP30" i="42"/>
  <c r="AH30" i="42"/>
  <c r="AS30" i="42"/>
  <c r="BH26" i="41"/>
  <c r="R31" i="42"/>
  <c r="AB30" i="42"/>
  <c r="AK27" i="41"/>
  <c r="Y30" i="42"/>
  <c r="AP27" i="41"/>
  <c r="AV28" i="41"/>
  <c r="S29" i="41"/>
  <c r="AE29" i="41"/>
  <c r="V30" i="40"/>
  <c r="W29" i="41" s="1"/>
  <c r="AO27" i="41"/>
  <c r="AC29" i="41"/>
  <c r="N30" i="40"/>
  <c r="AG29" i="40"/>
  <c r="W28" i="41"/>
  <c r="AA29" i="41"/>
  <c r="U29" i="41"/>
  <c r="AH27" i="41"/>
  <c r="Q29" i="41"/>
  <c r="L30" i="40"/>
  <c r="AX30" i="39"/>
  <c r="X30" i="40"/>
  <c r="Y29" i="41" s="1"/>
  <c r="AT29" i="42"/>
  <c r="AL29" i="42"/>
  <c r="T32" i="38"/>
  <c r="S31" i="42"/>
  <c r="V30" i="42"/>
  <c r="BH55" i="41"/>
  <c r="AO57" i="41"/>
  <c r="AK57" i="41"/>
  <c r="AH56" i="41"/>
  <c r="AK56" i="41"/>
  <c r="V57" i="41"/>
  <c r="AF57" i="41"/>
  <c r="S57" i="41"/>
  <c r="W57" i="41"/>
  <c r="BD57" i="41" s="1"/>
  <c r="AD57" i="41"/>
  <c r="Q57" i="41"/>
  <c r="T57" i="41"/>
  <c r="U57" i="41"/>
  <c r="AE58" i="41"/>
  <c r="Y58" i="41"/>
  <c r="Z58" i="41"/>
  <c r="U58" i="41"/>
  <c r="AG58" i="40"/>
  <c r="S32" i="42" l="1"/>
  <c r="U32" i="42"/>
  <c r="Q32" i="42"/>
  <c r="O29" i="41"/>
  <c r="M29" i="41"/>
  <c r="L32" i="42"/>
  <c r="O32" i="42"/>
  <c r="N30" i="41"/>
  <c r="N29" i="41"/>
  <c r="P32" i="42"/>
  <c r="M32" i="42"/>
  <c r="AQ32" i="39"/>
  <c r="AG32" i="39"/>
  <c r="AP32" i="39"/>
  <c r="AF32" i="39"/>
  <c r="AU32" i="39"/>
  <c r="AC32" i="40" s="1"/>
  <c r="AJ32" i="39"/>
  <c r="R32" i="40" s="1"/>
  <c r="AT32" i="39"/>
  <c r="AB32" i="40" s="1"/>
  <c r="AK32" i="39"/>
  <c r="S32" i="40" s="1"/>
  <c r="T31" i="41" s="1"/>
  <c r="AS32" i="39"/>
  <c r="AA32" i="40" s="1"/>
  <c r="AB31" i="41" s="1"/>
  <c r="AR32" i="39"/>
  <c r="AI32" i="39"/>
  <c r="Q32" i="40" s="1"/>
  <c r="R31" i="41" s="1"/>
  <c r="AH32" i="39"/>
  <c r="P32" i="40" s="1"/>
  <c r="AO32" i="39"/>
  <c r="W32" i="40" s="1"/>
  <c r="X31" i="41" s="1"/>
  <c r="AD32" i="39"/>
  <c r="AN32" i="39"/>
  <c r="AE32" i="39"/>
  <c r="M32" i="40" s="1"/>
  <c r="N34" i="38"/>
  <c r="O34" i="38"/>
  <c r="Q34" i="38"/>
  <c r="P34" i="38"/>
  <c r="S34" i="38"/>
  <c r="K34" i="38"/>
  <c r="R34" i="38"/>
  <c r="M34" i="38"/>
  <c r="J34" i="38"/>
  <c r="L34" i="38"/>
  <c r="AL32" i="39"/>
  <c r="T32" i="40" s="1"/>
  <c r="U31" i="41" s="1"/>
  <c r="AM32" i="39"/>
  <c r="U32" i="40" s="1"/>
  <c r="AW32" i="39"/>
  <c r="AE32" i="40" s="1"/>
  <c r="AV32" i="39"/>
  <c r="AD32" i="40" s="1"/>
  <c r="AE31" i="41" s="1"/>
  <c r="BF28" i="41"/>
  <c r="AZ56" i="41"/>
  <c r="AZ27" i="41"/>
  <c r="Y31" i="40"/>
  <c r="Z30" i="41" s="1"/>
  <c r="O31" i="40"/>
  <c r="P30" i="41" s="1"/>
  <c r="BF57" i="41"/>
  <c r="AS57" i="41"/>
  <c r="AL57" i="41"/>
  <c r="BG57" i="41"/>
  <c r="AV57" i="41"/>
  <c r="BG29" i="41"/>
  <c r="BF29" i="41"/>
  <c r="AK28" i="41"/>
  <c r="BD28" i="41"/>
  <c r="AP28" i="41"/>
  <c r="BE28" i="41"/>
  <c r="AE31" i="42"/>
  <c r="AR31" i="42"/>
  <c r="AQ31" i="42"/>
  <c r="AS31" i="42"/>
  <c r="AP31" i="42"/>
  <c r="BH27" i="41"/>
  <c r="R32" i="42"/>
  <c r="Y31" i="42"/>
  <c r="AB31" i="42"/>
  <c r="AH31" i="42"/>
  <c r="AV29" i="41"/>
  <c r="AL28" i="41"/>
  <c r="AS29" i="41"/>
  <c r="X31" i="40"/>
  <c r="N31" i="40"/>
  <c r="AO28" i="41"/>
  <c r="S30" i="41"/>
  <c r="AG30" i="40"/>
  <c r="T30" i="41"/>
  <c r="L31" i="40"/>
  <c r="M30" i="41" s="1"/>
  <c r="AX31" i="39"/>
  <c r="Q30" i="41"/>
  <c r="AA30" i="41"/>
  <c r="R30" i="41"/>
  <c r="AH28" i="41"/>
  <c r="V31" i="40"/>
  <c r="AT30" i="42"/>
  <c r="T33" i="38"/>
  <c r="T32" i="42"/>
  <c r="AL30" i="42"/>
  <c r="V31" i="42"/>
  <c r="AH57" i="41"/>
  <c r="BH56" i="41"/>
  <c r="AK58" i="41"/>
  <c r="W58" i="41"/>
  <c r="X58" i="41"/>
  <c r="Q58" i="41"/>
  <c r="S58" i="41"/>
  <c r="AA58" i="41"/>
  <c r="AC58" i="41"/>
  <c r="V58" i="41"/>
  <c r="R58" i="41"/>
  <c r="AF58" i="41"/>
  <c r="T58" i="41"/>
  <c r="AD58" i="41"/>
  <c r="AO58" i="41"/>
  <c r="AB58" i="41"/>
  <c r="AA59" i="41"/>
  <c r="AC59" i="41"/>
  <c r="AE59" i="41"/>
  <c r="S59" i="41"/>
  <c r="AB59" i="41"/>
  <c r="U59" i="41"/>
  <c r="AG59" i="40"/>
  <c r="S33" i="42" l="1"/>
  <c r="T33" i="42"/>
  <c r="Q33" i="42"/>
  <c r="P33" i="42"/>
  <c r="O33" i="42"/>
  <c r="N31" i="41"/>
  <c r="N33" i="42"/>
  <c r="O30" i="41"/>
  <c r="M33" i="42"/>
  <c r="L33" i="42"/>
  <c r="AG33" i="39"/>
  <c r="AQ33" i="39"/>
  <c r="Y33" i="40" s="1"/>
  <c r="AP33" i="39"/>
  <c r="AF33" i="39"/>
  <c r="AU33" i="39"/>
  <c r="AC33" i="40" s="1"/>
  <c r="AD32" i="41" s="1"/>
  <c r="AK33" i="39"/>
  <c r="S33" i="40" s="1"/>
  <c r="T32" i="41" s="1"/>
  <c r="AT33" i="39"/>
  <c r="AB33" i="40" s="1"/>
  <c r="AC32" i="41" s="1"/>
  <c r="AJ33" i="39"/>
  <c r="R33" i="40" s="1"/>
  <c r="AS33" i="39"/>
  <c r="AA33" i="40" s="1"/>
  <c r="AR33" i="39"/>
  <c r="Z33" i="40" s="1"/>
  <c r="AI33" i="39"/>
  <c r="Q33" i="40" s="1"/>
  <c r="R32" i="41" s="1"/>
  <c r="AH33" i="39"/>
  <c r="P33" i="40" s="1"/>
  <c r="AO33" i="39"/>
  <c r="AE33" i="39"/>
  <c r="AN33" i="39"/>
  <c r="AD33" i="39"/>
  <c r="AM33" i="39"/>
  <c r="AW33" i="39"/>
  <c r="AE33" i="40" s="1"/>
  <c r="AF32" i="41" s="1"/>
  <c r="AL33" i="39"/>
  <c r="T33" i="40" s="1"/>
  <c r="U32" i="41" s="1"/>
  <c r="AV33" i="39"/>
  <c r="AD33" i="40" s="1"/>
  <c r="AE32" i="41" s="1"/>
  <c r="Q35" i="38"/>
  <c r="N35" i="38"/>
  <c r="P34" i="42" s="1"/>
  <c r="P35" i="38"/>
  <c r="O35" i="38"/>
  <c r="M35" i="38"/>
  <c r="S35" i="38"/>
  <c r="J35" i="38"/>
  <c r="K35" i="38"/>
  <c r="L35" i="38"/>
  <c r="R35" i="38"/>
  <c r="Z32" i="40"/>
  <c r="AZ28" i="41"/>
  <c r="AZ57" i="41"/>
  <c r="Y32" i="40"/>
  <c r="Z31" i="41" s="1"/>
  <c r="O32" i="40"/>
  <c r="P31" i="41" s="1"/>
  <c r="BD58" i="41"/>
  <c r="AL58" i="41"/>
  <c r="BG58" i="41"/>
  <c r="AV58" i="41"/>
  <c r="AP58" i="41"/>
  <c r="BF58" i="41"/>
  <c r="AS58" i="41"/>
  <c r="BE58" i="41"/>
  <c r="BG30" i="41"/>
  <c r="BF30" i="41"/>
  <c r="AP29" i="41"/>
  <c r="BE29" i="41"/>
  <c r="AL29" i="41"/>
  <c r="BD29" i="41"/>
  <c r="AH32" i="42"/>
  <c r="AS32" i="42"/>
  <c r="AP32" i="42"/>
  <c r="AE32" i="42"/>
  <c r="AR32" i="42"/>
  <c r="AQ32" i="42"/>
  <c r="AB32" i="42"/>
  <c r="BH28" i="41"/>
  <c r="Y32" i="42"/>
  <c r="AV30" i="41"/>
  <c r="Q31" i="41"/>
  <c r="AS30" i="41"/>
  <c r="N32" i="40"/>
  <c r="O31" i="41" s="1"/>
  <c r="AC31" i="41"/>
  <c r="V31" i="41"/>
  <c r="AG31" i="40"/>
  <c r="AF31" i="41"/>
  <c r="Y30" i="41"/>
  <c r="L32" i="40"/>
  <c r="M31" i="41" s="1"/>
  <c r="AX32" i="39"/>
  <c r="AH29" i="41"/>
  <c r="AK29" i="41"/>
  <c r="X32" i="40"/>
  <c r="Y31" i="41" s="1"/>
  <c r="AO29" i="41"/>
  <c r="W30" i="41"/>
  <c r="V32" i="40"/>
  <c r="W31" i="41" s="1"/>
  <c r="S31" i="41"/>
  <c r="AD31" i="41"/>
  <c r="AL31" i="42"/>
  <c r="T34" i="38"/>
  <c r="U33" i="42"/>
  <c r="AT31" i="42"/>
  <c r="R33" i="42"/>
  <c r="V32" i="42"/>
  <c r="BH57" i="41"/>
  <c r="AH58" i="41"/>
  <c r="X59" i="41"/>
  <c r="AD59" i="41"/>
  <c r="AF59" i="41"/>
  <c r="Z59" i="41"/>
  <c r="R59" i="41"/>
  <c r="T59" i="41"/>
  <c r="Q59" i="41"/>
  <c r="W59" i="41"/>
  <c r="AO59" i="41"/>
  <c r="V59" i="41"/>
  <c r="Y59" i="41"/>
  <c r="S60" i="41"/>
  <c r="Z60" i="41"/>
  <c r="AF60" i="41"/>
  <c r="AG60" i="40"/>
  <c r="AC60" i="41"/>
  <c r="AD60" i="41"/>
  <c r="AE60" i="41"/>
  <c r="Y60" i="41"/>
  <c r="W60" i="41"/>
  <c r="V60" i="41"/>
  <c r="AS33" i="42" l="1"/>
  <c r="T34" i="42"/>
  <c r="S34" i="42"/>
  <c r="M34" i="42"/>
  <c r="U34" i="42"/>
  <c r="L34" i="42"/>
  <c r="O34" i="42"/>
  <c r="N34" i="42"/>
  <c r="AG34" i="39"/>
  <c r="AQ34" i="39"/>
  <c r="AP34" i="39"/>
  <c r="AF34" i="39"/>
  <c r="AU34" i="39"/>
  <c r="AC34" i="40" s="1"/>
  <c r="AD33" i="41" s="1"/>
  <c r="AJ34" i="39"/>
  <c r="R34" i="40" s="1"/>
  <c r="AT34" i="39"/>
  <c r="AB34" i="40" s="1"/>
  <c r="AK34" i="39"/>
  <c r="S34" i="40" s="1"/>
  <c r="T33" i="41" s="1"/>
  <c r="AS34" i="39"/>
  <c r="AA34" i="40" s="1"/>
  <c r="AB33" i="41" s="1"/>
  <c r="AR34" i="39"/>
  <c r="AI34" i="39"/>
  <c r="Q34" i="40" s="1"/>
  <c r="R33" i="41" s="1"/>
  <c r="AH34" i="39"/>
  <c r="P34" i="40" s="1"/>
  <c r="AO34" i="39"/>
  <c r="W34" i="40" s="1"/>
  <c r="AN34" i="39"/>
  <c r="AE34" i="39"/>
  <c r="M34" i="40" s="1"/>
  <c r="AD34" i="39"/>
  <c r="O36" i="38"/>
  <c r="P36" i="38"/>
  <c r="N36" i="38"/>
  <c r="P35" i="42" s="1"/>
  <c r="Q36" i="38"/>
  <c r="S36" i="38"/>
  <c r="R36" i="38"/>
  <c r="K36" i="38"/>
  <c r="M36" i="38"/>
  <c r="L36" i="38"/>
  <c r="J36" i="38"/>
  <c r="AW34" i="39"/>
  <c r="AE34" i="40" s="1"/>
  <c r="AM34" i="39"/>
  <c r="U34" i="40" s="1"/>
  <c r="AL34" i="39"/>
  <c r="T34" i="40" s="1"/>
  <c r="U33" i="41" s="1"/>
  <c r="AV34" i="39"/>
  <c r="AD34" i="40" s="1"/>
  <c r="AA31" i="41"/>
  <c r="AS31" i="41" s="1"/>
  <c r="Z32" i="41"/>
  <c r="AZ29" i="41"/>
  <c r="AZ58" i="41"/>
  <c r="W33" i="40"/>
  <c r="X32" i="41" s="1"/>
  <c r="U33" i="40"/>
  <c r="V32" i="41" s="1"/>
  <c r="O33" i="40"/>
  <c r="P32" i="41" s="1"/>
  <c r="M33" i="40"/>
  <c r="BG59" i="41"/>
  <c r="BE59" i="41"/>
  <c r="BD59" i="41"/>
  <c r="AL59" i="41"/>
  <c r="AP59" i="41"/>
  <c r="AV59" i="41"/>
  <c r="BF59" i="41"/>
  <c r="AS59" i="41"/>
  <c r="BG31" i="41"/>
  <c r="BD30" i="41"/>
  <c r="BE30" i="41"/>
  <c r="AQ33" i="42"/>
  <c r="AE33" i="42"/>
  <c r="AR33" i="42"/>
  <c r="AP33" i="42"/>
  <c r="AB33" i="42"/>
  <c r="Y33" i="42"/>
  <c r="AH33" i="42"/>
  <c r="AL30" i="41"/>
  <c r="AP30" i="41"/>
  <c r="AV31" i="41"/>
  <c r="Q32" i="41"/>
  <c r="AG32" i="40"/>
  <c r="S32" i="41"/>
  <c r="X33" i="40"/>
  <c r="Y32" i="41" s="1"/>
  <c r="L33" i="40"/>
  <c r="M32" i="41" s="1"/>
  <c r="AX33" i="39"/>
  <c r="N33" i="40"/>
  <c r="O32" i="41" s="1"/>
  <c r="V33" i="40"/>
  <c r="AH30" i="41"/>
  <c r="AK30" i="41"/>
  <c r="AO30" i="41"/>
  <c r="BH29" i="41"/>
  <c r="AB32" i="41"/>
  <c r="AA32" i="41"/>
  <c r="AL32" i="42"/>
  <c r="V33" i="42"/>
  <c r="T35" i="38"/>
  <c r="R34" i="42"/>
  <c r="AT32" i="42"/>
  <c r="Q34" i="42"/>
  <c r="BH58" i="41"/>
  <c r="AB60" i="41"/>
  <c r="T60" i="41"/>
  <c r="BG60" i="41" s="1"/>
  <c r="X60" i="41"/>
  <c r="R60" i="41"/>
  <c r="AO60" i="41"/>
  <c r="AA60" i="41"/>
  <c r="Q60" i="41"/>
  <c r="AH59" i="41"/>
  <c r="AK59" i="41"/>
  <c r="U60" i="41"/>
  <c r="S61" i="41"/>
  <c r="AG61" i="40"/>
  <c r="U61" i="41"/>
  <c r="AB61" i="41"/>
  <c r="Y61" i="41"/>
  <c r="AA61" i="41"/>
  <c r="L35" i="42" l="1"/>
  <c r="T35" i="42"/>
  <c r="U35" i="42"/>
  <c r="S35" i="42"/>
  <c r="O35" i="42"/>
  <c r="Q35" i="42"/>
  <c r="N33" i="41"/>
  <c r="N32" i="41"/>
  <c r="M35" i="42"/>
  <c r="N35" i="42"/>
  <c r="AQ35" i="39"/>
  <c r="AG35" i="39"/>
  <c r="AP35" i="39"/>
  <c r="AF35" i="39"/>
  <c r="AU35" i="39"/>
  <c r="AC35" i="40" s="1"/>
  <c r="AD34" i="41" s="1"/>
  <c r="AT35" i="39"/>
  <c r="AB35" i="40" s="1"/>
  <c r="AC34" i="41" s="1"/>
  <c r="AK35" i="39"/>
  <c r="S35" i="40" s="1"/>
  <c r="T34" i="41" s="1"/>
  <c r="AJ35" i="39"/>
  <c r="R35" i="40" s="1"/>
  <c r="AS35" i="39"/>
  <c r="AA35" i="40" s="1"/>
  <c r="AB34" i="41" s="1"/>
  <c r="AR35" i="39"/>
  <c r="AI35" i="39"/>
  <c r="Q35" i="40" s="1"/>
  <c r="AH35" i="39"/>
  <c r="P35" i="40" s="1"/>
  <c r="AO35" i="39"/>
  <c r="W35" i="40" s="1"/>
  <c r="AE35" i="39"/>
  <c r="M35" i="40" s="1"/>
  <c r="N34" i="41" s="1"/>
  <c r="AD35" i="39"/>
  <c r="AN35" i="39"/>
  <c r="AM35" i="39"/>
  <c r="U35" i="40" s="1"/>
  <c r="V34" i="41" s="1"/>
  <c r="AW35" i="39"/>
  <c r="AE35" i="40" s="1"/>
  <c r="AF34" i="41" s="1"/>
  <c r="AL35" i="39"/>
  <c r="T35" i="40" s="1"/>
  <c r="AV35" i="39"/>
  <c r="R37" i="38"/>
  <c r="S37" i="38"/>
  <c r="J37" i="38"/>
  <c r="M37" i="38"/>
  <c r="O36" i="42" s="1"/>
  <c r="L37" i="38"/>
  <c r="N36" i="42" s="1"/>
  <c r="K37" i="38"/>
  <c r="P37" i="38"/>
  <c r="Q37" i="38"/>
  <c r="O37" i="38"/>
  <c r="N37" i="38"/>
  <c r="BF31" i="41"/>
  <c r="X33" i="41"/>
  <c r="AZ59" i="41"/>
  <c r="AZ30" i="41"/>
  <c r="Y34" i="40"/>
  <c r="Z33" i="41" s="1"/>
  <c r="Z34" i="40"/>
  <c r="AA33" i="41" s="1"/>
  <c r="O34" i="40"/>
  <c r="P33" i="41" s="1"/>
  <c r="AP60" i="41"/>
  <c r="AV60" i="41"/>
  <c r="BF60" i="41"/>
  <c r="AS60" i="41"/>
  <c r="BD60" i="41"/>
  <c r="AL60" i="41"/>
  <c r="BE60" i="41"/>
  <c r="AV32" i="41"/>
  <c r="BG32" i="41"/>
  <c r="AP31" i="41"/>
  <c r="BE31" i="41"/>
  <c r="AL31" i="41"/>
  <c r="BD31" i="41"/>
  <c r="BF32" i="41"/>
  <c r="AR34" i="42"/>
  <c r="AQ34" i="42"/>
  <c r="AH34" i="42"/>
  <c r="AS34" i="42"/>
  <c r="AP34" i="42"/>
  <c r="Y34" i="42"/>
  <c r="AE34" i="42"/>
  <c r="AO31" i="41"/>
  <c r="AB34" i="42"/>
  <c r="AS32" i="41"/>
  <c r="S33" i="41"/>
  <c r="V33" i="41"/>
  <c r="AG33" i="40"/>
  <c r="W32" i="41"/>
  <c r="AH31" i="41"/>
  <c r="AK31" i="41"/>
  <c r="V34" i="40"/>
  <c r="W33" i="41" s="1"/>
  <c r="N34" i="40"/>
  <c r="BH30" i="41"/>
  <c r="AE33" i="41"/>
  <c r="Q33" i="41"/>
  <c r="AC33" i="41"/>
  <c r="X34" i="40"/>
  <c r="Y33" i="41" s="1"/>
  <c r="L34" i="40"/>
  <c r="AX34" i="39"/>
  <c r="AF33" i="41"/>
  <c r="AT33" i="42"/>
  <c r="R35" i="42"/>
  <c r="T36" i="38"/>
  <c r="V34" i="42"/>
  <c r="AL33" i="42"/>
  <c r="BH59" i="41"/>
  <c r="AH60" i="41"/>
  <c r="AK60" i="41"/>
  <c r="Q61" i="41"/>
  <c r="Z61" i="41"/>
  <c r="AF61" i="41"/>
  <c r="X61" i="41"/>
  <c r="W61" i="41"/>
  <c r="R61" i="41"/>
  <c r="AD61" i="41"/>
  <c r="AE61" i="41"/>
  <c r="AC61" i="41"/>
  <c r="T61" i="41"/>
  <c r="V61" i="41"/>
  <c r="Z62" i="41"/>
  <c r="T62" i="41"/>
  <c r="U62" i="41"/>
  <c r="AG62" i="40"/>
  <c r="V62" i="41"/>
  <c r="Q36" i="42" l="1"/>
  <c r="S36" i="42"/>
  <c r="T36" i="42"/>
  <c r="L36" i="42"/>
  <c r="O33" i="41"/>
  <c r="M33" i="41"/>
  <c r="M36" i="42"/>
  <c r="P36" i="42"/>
  <c r="AQ36" i="39"/>
  <c r="AP36" i="39"/>
  <c r="AG36" i="39"/>
  <c r="O36" i="40" s="1"/>
  <c r="AF36" i="39"/>
  <c r="AU36" i="39"/>
  <c r="AC36" i="40" s="1"/>
  <c r="AT36" i="39"/>
  <c r="AB36" i="40" s="1"/>
  <c r="AC35" i="41" s="1"/>
  <c r="AJ36" i="39"/>
  <c r="R36" i="40" s="1"/>
  <c r="AK36" i="39"/>
  <c r="S36" i="40" s="1"/>
  <c r="T35" i="41" s="1"/>
  <c r="AS36" i="39"/>
  <c r="AA36" i="40" s="1"/>
  <c r="AR36" i="39"/>
  <c r="AI36" i="39"/>
  <c r="Q36" i="40" s="1"/>
  <c r="R35" i="41" s="1"/>
  <c r="AH36" i="39"/>
  <c r="P36" i="40" s="1"/>
  <c r="AO36" i="39"/>
  <c r="AN36" i="39"/>
  <c r="AE36" i="39"/>
  <c r="M36" i="40" s="1"/>
  <c r="N35" i="41" s="1"/>
  <c r="AD36" i="39"/>
  <c r="M38" i="38"/>
  <c r="L38" i="38"/>
  <c r="J38" i="38"/>
  <c r="S38" i="38"/>
  <c r="R38" i="38"/>
  <c r="K38" i="38"/>
  <c r="AL36" i="39"/>
  <c r="T36" i="40" s="1"/>
  <c r="AV36" i="39"/>
  <c r="AD36" i="40" s="1"/>
  <c r="AM36" i="39"/>
  <c r="U36" i="40" s="1"/>
  <c r="V35" i="41" s="1"/>
  <c r="AW36" i="39"/>
  <c r="AE36" i="40" s="1"/>
  <c r="AF35" i="41" s="1"/>
  <c r="Q38" i="38"/>
  <c r="P38" i="38"/>
  <c r="N38" i="38"/>
  <c r="O38" i="38"/>
  <c r="AD35" i="40"/>
  <c r="AE34" i="41" s="1"/>
  <c r="AZ31" i="41"/>
  <c r="AZ60" i="41"/>
  <c r="Y35" i="40"/>
  <c r="Z34" i="41" s="1"/>
  <c r="Z35" i="40"/>
  <c r="AA34" i="41" s="1"/>
  <c r="O35" i="40"/>
  <c r="BG61" i="41"/>
  <c r="BD61" i="41"/>
  <c r="AL61" i="41"/>
  <c r="AV61" i="41"/>
  <c r="BF61" i="41"/>
  <c r="AS61" i="41"/>
  <c r="BE61" i="41"/>
  <c r="AP61" i="41"/>
  <c r="BG33" i="41"/>
  <c r="BD32" i="41"/>
  <c r="BE33" i="41"/>
  <c r="AP32" i="41"/>
  <c r="BE32" i="41"/>
  <c r="AS33" i="41"/>
  <c r="BF33" i="41"/>
  <c r="AQ35" i="42"/>
  <c r="Y35" i="42"/>
  <c r="AP35" i="42"/>
  <c r="AH35" i="42"/>
  <c r="AS35" i="42"/>
  <c r="AE35" i="42"/>
  <c r="AR35" i="42"/>
  <c r="AB35" i="42"/>
  <c r="BH31" i="41"/>
  <c r="AO32" i="41"/>
  <c r="AL32" i="41"/>
  <c r="AP33" i="41"/>
  <c r="Q34" i="41"/>
  <c r="AV33" i="41"/>
  <c r="AG34" i="40"/>
  <c r="U34" i="41"/>
  <c r="AO33" i="41"/>
  <c r="AK32" i="41"/>
  <c r="AH32" i="41"/>
  <c r="R34" i="41"/>
  <c r="V35" i="40"/>
  <c r="W34" i="41" s="1"/>
  <c r="L35" i="40"/>
  <c r="M34" i="41" s="1"/>
  <c r="AX35" i="39"/>
  <c r="S34" i="41"/>
  <c r="BG34" i="41" s="1"/>
  <c r="X35" i="40"/>
  <c r="Y34" i="41" s="1"/>
  <c r="N35" i="40"/>
  <c r="X34" i="41"/>
  <c r="AL34" i="42"/>
  <c r="U36" i="42"/>
  <c r="V35" i="42"/>
  <c r="T37" i="38"/>
  <c r="AT34" i="42"/>
  <c r="R36" i="42"/>
  <c r="BH60" i="41"/>
  <c r="AK62" i="41"/>
  <c r="R62" i="41"/>
  <c r="AE62" i="41"/>
  <c r="S62" i="41"/>
  <c r="AH61" i="41"/>
  <c r="AK61" i="41"/>
  <c r="Y62" i="41"/>
  <c r="W62" i="41"/>
  <c r="X62" i="41"/>
  <c r="AB62" i="41"/>
  <c r="Q62" i="41"/>
  <c r="AA62" i="41"/>
  <c r="AO61" i="41"/>
  <c r="AD62" i="41"/>
  <c r="AF62" i="41"/>
  <c r="AC62" i="41"/>
  <c r="S63" i="41"/>
  <c r="AA63" i="41"/>
  <c r="Z63" i="41"/>
  <c r="Y63" i="41"/>
  <c r="X63" i="41"/>
  <c r="AE63" i="41"/>
  <c r="R63" i="41"/>
  <c r="AG63" i="40"/>
  <c r="U63" i="41"/>
  <c r="AD63" i="41"/>
  <c r="N37" i="42" l="1"/>
  <c r="T37" i="42"/>
  <c r="S37" i="42"/>
  <c r="Q37" i="42"/>
  <c r="P35" i="41"/>
  <c r="P34" i="41"/>
  <c r="P37" i="42"/>
  <c r="M37" i="42"/>
  <c r="O34" i="41"/>
  <c r="O37" i="42"/>
  <c r="L37" i="42"/>
  <c r="AU37" i="39"/>
  <c r="AC37" i="40" s="1"/>
  <c r="AK37" i="39"/>
  <c r="S37" i="40" s="1"/>
  <c r="AJ37" i="39"/>
  <c r="R37" i="40" s="1"/>
  <c r="AT37" i="39"/>
  <c r="AB37" i="40" s="1"/>
  <c r="AC36" i="41" s="1"/>
  <c r="AG37" i="39"/>
  <c r="AQ37" i="39"/>
  <c r="AP37" i="39"/>
  <c r="AF37" i="39"/>
  <c r="AS37" i="39"/>
  <c r="AA37" i="40" s="1"/>
  <c r="AB36" i="41" s="1"/>
  <c r="AR37" i="39"/>
  <c r="Z37" i="40" s="1"/>
  <c r="AH37" i="39"/>
  <c r="P37" i="40" s="1"/>
  <c r="AI37" i="39"/>
  <c r="Q37" i="40" s="1"/>
  <c r="AO37" i="39"/>
  <c r="W37" i="40" s="1"/>
  <c r="AD37" i="39"/>
  <c r="AN37" i="39"/>
  <c r="AE37" i="39"/>
  <c r="M37" i="40" s="1"/>
  <c r="AM37" i="39"/>
  <c r="U37" i="40" s="1"/>
  <c r="V36" i="41" s="1"/>
  <c r="AW37" i="39"/>
  <c r="AL37" i="39"/>
  <c r="T37" i="40" s="1"/>
  <c r="AV37" i="39"/>
  <c r="AD37" i="40" s="1"/>
  <c r="AE36" i="41" s="1"/>
  <c r="M39" i="38"/>
  <c r="K39" i="38"/>
  <c r="J39" i="38"/>
  <c r="R39" i="38"/>
  <c r="L39" i="38"/>
  <c r="S39" i="38"/>
  <c r="Q39" i="38"/>
  <c r="P39" i="38"/>
  <c r="O39" i="38"/>
  <c r="N39" i="38"/>
  <c r="AZ61" i="41"/>
  <c r="AZ32" i="41"/>
  <c r="Z36" i="40"/>
  <c r="AA35" i="41" s="1"/>
  <c r="Y36" i="40"/>
  <c r="Z35" i="41" s="1"/>
  <c r="W36" i="40"/>
  <c r="X35" i="41" s="1"/>
  <c r="BD62" i="41"/>
  <c r="BG62" i="41"/>
  <c r="AV62" i="41"/>
  <c r="BE63" i="41"/>
  <c r="AP63" i="41"/>
  <c r="AL62" i="41"/>
  <c r="BE62" i="41"/>
  <c r="AP62" i="41"/>
  <c r="BF62" i="41"/>
  <c r="AS62" i="41"/>
  <c r="BF34" i="41"/>
  <c r="AL33" i="41"/>
  <c r="BD33" i="41"/>
  <c r="BH33" i="41" s="1"/>
  <c r="Y36" i="42"/>
  <c r="AP36" i="42"/>
  <c r="AE36" i="42"/>
  <c r="AR36" i="42"/>
  <c r="AH36" i="42"/>
  <c r="AS36" i="42"/>
  <c r="AB36" i="42"/>
  <c r="AQ36" i="42"/>
  <c r="BH32" i="41"/>
  <c r="Q35" i="41"/>
  <c r="AV34" i="41"/>
  <c r="AS34" i="41"/>
  <c r="S35" i="41"/>
  <c r="AG35" i="40"/>
  <c r="AH33" i="41"/>
  <c r="AK33" i="41"/>
  <c r="U35" i="41"/>
  <c r="L36" i="40"/>
  <c r="M35" i="41" s="1"/>
  <c r="AX36" i="39"/>
  <c r="AB35" i="41"/>
  <c r="N36" i="40"/>
  <c r="X36" i="40"/>
  <c r="Y35" i="41" s="1"/>
  <c r="AD35" i="41"/>
  <c r="V36" i="40"/>
  <c r="W35" i="41" s="1"/>
  <c r="AE35" i="41"/>
  <c r="AT35" i="42"/>
  <c r="R37" i="42"/>
  <c r="AL35" i="42"/>
  <c r="U37" i="42"/>
  <c r="V36" i="42"/>
  <c r="T38" i="38"/>
  <c r="AH62" i="41"/>
  <c r="BH61" i="41"/>
  <c r="AO63" i="41"/>
  <c r="AF63" i="41"/>
  <c r="AO62" i="41"/>
  <c r="V63" i="41"/>
  <c r="AB63" i="41"/>
  <c r="T63" i="41"/>
  <c r="Q63" i="41"/>
  <c r="W63" i="41"/>
  <c r="AC63" i="41"/>
  <c r="Z64" i="41"/>
  <c r="S64" i="41"/>
  <c r="Q64" i="41"/>
  <c r="AC64" i="41"/>
  <c r="AG64" i="40"/>
  <c r="T64" i="41"/>
  <c r="R64" i="41"/>
  <c r="V64" i="41"/>
  <c r="W64" i="41"/>
  <c r="AE64" i="41"/>
  <c r="X64" i="41"/>
  <c r="O38" i="42" l="1"/>
  <c r="M38" i="42"/>
  <c r="N36" i="41"/>
  <c r="P38" i="42"/>
  <c r="N38" i="42"/>
  <c r="O35" i="41"/>
  <c r="L38" i="42"/>
  <c r="AU38" i="39"/>
  <c r="AC38" i="40" s="1"/>
  <c r="AT38" i="39"/>
  <c r="AB38" i="40" s="1"/>
  <c r="AJ38" i="39"/>
  <c r="R38" i="40" s="1"/>
  <c r="AK38" i="39"/>
  <c r="S38" i="40" s="1"/>
  <c r="T37" i="41" s="1"/>
  <c r="AG38" i="39"/>
  <c r="AQ38" i="39"/>
  <c r="AP38" i="39"/>
  <c r="AF38" i="39"/>
  <c r="AS38" i="39"/>
  <c r="AA38" i="40" s="1"/>
  <c r="AB37" i="41" s="1"/>
  <c r="AR38" i="39"/>
  <c r="Z38" i="40" s="1"/>
  <c r="AI38" i="39"/>
  <c r="Q38" i="40" s="1"/>
  <c r="R37" i="41" s="1"/>
  <c r="AH38" i="39"/>
  <c r="P38" i="40" s="1"/>
  <c r="AO38" i="39"/>
  <c r="AE38" i="39"/>
  <c r="M38" i="40" s="1"/>
  <c r="AN38" i="39"/>
  <c r="AD38" i="39"/>
  <c r="K40" i="38"/>
  <c r="M39" i="42" s="1"/>
  <c r="S40" i="38"/>
  <c r="L40" i="38"/>
  <c r="M40" i="38"/>
  <c r="R40" i="38"/>
  <c r="J40" i="38"/>
  <c r="O40" i="38"/>
  <c r="N40" i="38"/>
  <c r="Q40" i="38"/>
  <c r="P40" i="38"/>
  <c r="AW38" i="39"/>
  <c r="AE38" i="40" s="1"/>
  <c r="AM38" i="39"/>
  <c r="U38" i="40" s="1"/>
  <c r="V37" i="41" s="1"/>
  <c r="AL38" i="39"/>
  <c r="T38" i="40" s="1"/>
  <c r="AV38" i="39"/>
  <c r="AD38" i="40" s="1"/>
  <c r="AA36" i="41"/>
  <c r="AE37" i="40"/>
  <c r="AF36" i="41" s="1"/>
  <c r="AZ33" i="41"/>
  <c r="AZ62" i="41"/>
  <c r="X36" i="41"/>
  <c r="Y37" i="40"/>
  <c r="Z36" i="41" s="1"/>
  <c r="O37" i="40"/>
  <c r="BG63" i="41"/>
  <c r="BD63" i="41"/>
  <c r="AL63" i="41"/>
  <c r="BF63" i="41"/>
  <c r="AS63" i="41"/>
  <c r="AV63" i="41"/>
  <c r="BF35" i="41"/>
  <c r="AP34" i="41"/>
  <c r="BE34" i="41"/>
  <c r="AL34" i="41"/>
  <c r="BD34" i="41"/>
  <c r="AV35" i="41"/>
  <c r="BG35" i="41"/>
  <c r="AP37" i="42"/>
  <c r="AE37" i="42"/>
  <c r="AR37" i="42"/>
  <c r="AH37" i="42"/>
  <c r="AS37" i="42"/>
  <c r="AB37" i="42"/>
  <c r="AQ37" i="42"/>
  <c r="Y37" i="42"/>
  <c r="AO34" i="41"/>
  <c r="AS35" i="41"/>
  <c r="AL36" i="42"/>
  <c r="AH34" i="41"/>
  <c r="AK34" i="41"/>
  <c r="AD36" i="41"/>
  <c r="U36" i="41"/>
  <c r="S36" i="41"/>
  <c r="T36" i="41"/>
  <c r="R36" i="41"/>
  <c r="L37" i="40"/>
  <c r="M36" i="41" s="1"/>
  <c r="AX37" i="39"/>
  <c r="Q36" i="41"/>
  <c r="BD35" i="41"/>
  <c r="AG36" i="40"/>
  <c r="V37" i="40"/>
  <c r="W36" i="41" s="1"/>
  <c r="N37" i="40"/>
  <c r="O36" i="41" s="1"/>
  <c r="X37" i="40"/>
  <c r="Y36" i="41" s="1"/>
  <c r="T38" i="42"/>
  <c r="AT36" i="42"/>
  <c r="Q38" i="42"/>
  <c r="R38" i="42"/>
  <c r="U38" i="42"/>
  <c r="V37" i="42"/>
  <c r="S38" i="42"/>
  <c r="T39" i="38"/>
  <c r="BH62" i="41"/>
  <c r="AD64" i="41"/>
  <c r="BG64" i="41" s="1"/>
  <c r="BD64" i="41"/>
  <c r="AF64" i="41"/>
  <c r="AO64" i="41"/>
  <c r="Y64" i="41"/>
  <c r="AA64" i="41"/>
  <c r="AB64" i="41"/>
  <c r="U64" i="41"/>
  <c r="AH63" i="41"/>
  <c r="AK63" i="41"/>
  <c r="U65" i="41"/>
  <c r="AG65" i="40"/>
  <c r="V65" i="41"/>
  <c r="AC65" i="41"/>
  <c r="AB65" i="41"/>
  <c r="AD65" i="41"/>
  <c r="T65" i="41"/>
  <c r="R65" i="41"/>
  <c r="Q65" i="41"/>
  <c r="U39" i="42" l="1"/>
  <c r="S39" i="42"/>
  <c r="T39" i="42"/>
  <c r="L39" i="42"/>
  <c r="P36" i="41"/>
  <c r="BE36" i="41" s="1"/>
  <c r="N39" i="42"/>
  <c r="O39" i="42"/>
  <c r="N37" i="41"/>
  <c r="P39" i="42"/>
  <c r="AQ39" i="39"/>
  <c r="AG39" i="39"/>
  <c r="AP39" i="39"/>
  <c r="AF39" i="39"/>
  <c r="AU39" i="39"/>
  <c r="AC39" i="40" s="1"/>
  <c r="AT39" i="39"/>
  <c r="AB39" i="40" s="1"/>
  <c r="AK39" i="39"/>
  <c r="S39" i="40" s="1"/>
  <c r="T38" i="41" s="1"/>
  <c r="AJ39" i="39"/>
  <c r="R39" i="40" s="1"/>
  <c r="AS39" i="39"/>
  <c r="AA39" i="40" s="1"/>
  <c r="AR39" i="39"/>
  <c r="AI39" i="39"/>
  <c r="Q39" i="40" s="1"/>
  <c r="R38" i="41" s="1"/>
  <c r="AH39" i="39"/>
  <c r="P39" i="40" s="1"/>
  <c r="AO39" i="39"/>
  <c r="W39" i="40" s="1"/>
  <c r="AN39" i="39"/>
  <c r="AD39" i="39"/>
  <c r="AE39" i="39"/>
  <c r="M39" i="40" s="1"/>
  <c r="N38" i="41" s="1"/>
  <c r="R41" i="38"/>
  <c r="M41" i="38"/>
  <c r="J41" i="38"/>
  <c r="S41" i="38"/>
  <c r="L41" i="38"/>
  <c r="K41" i="38"/>
  <c r="AM39" i="39"/>
  <c r="U39" i="40" s="1"/>
  <c r="AL39" i="39"/>
  <c r="T39" i="40" s="1"/>
  <c r="U38" i="41" s="1"/>
  <c r="AW39" i="39"/>
  <c r="AE39" i="40" s="1"/>
  <c r="AF38" i="41" s="1"/>
  <c r="AV39" i="39"/>
  <c r="P41" i="38"/>
  <c r="O41" i="38"/>
  <c r="Q41" i="38"/>
  <c r="N41" i="38"/>
  <c r="P40" i="42" s="1"/>
  <c r="AP38" i="42"/>
  <c r="BF64" i="41"/>
  <c r="AF37" i="41"/>
  <c r="AZ34" i="41"/>
  <c r="AZ63" i="41"/>
  <c r="Y38" i="40"/>
  <c r="Z37" i="41" s="1"/>
  <c r="W38" i="40"/>
  <c r="X37" i="41" s="1"/>
  <c r="O38" i="40"/>
  <c r="BE64" i="41"/>
  <c r="AS64" i="41"/>
  <c r="BF36" i="41"/>
  <c r="AV64" i="41"/>
  <c r="AL64" i="41"/>
  <c r="AP64" i="41"/>
  <c r="BG36" i="41"/>
  <c r="AP35" i="41"/>
  <c r="BE35" i="41"/>
  <c r="AS38" i="42"/>
  <c r="AR38" i="42"/>
  <c r="AQ38" i="42"/>
  <c r="AE38" i="42"/>
  <c r="AB38" i="42"/>
  <c r="Y38" i="42"/>
  <c r="AH38" i="42"/>
  <c r="R39" i="42"/>
  <c r="BH34" i="41"/>
  <c r="AV36" i="41"/>
  <c r="AS36" i="41"/>
  <c r="AK35" i="41"/>
  <c r="AL35" i="41"/>
  <c r="AO35" i="41"/>
  <c r="S37" i="41"/>
  <c r="AD37" i="41"/>
  <c r="AC37" i="41"/>
  <c r="V38" i="40"/>
  <c r="AE37" i="41"/>
  <c r="AG37" i="40"/>
  <c r="X38" i="40"/>
  <c r="N38" i="40"/>
  <c r="AA37" i="41"/>
  <c r="AH35" i="41"/>
  <c r="L38" i="40"/>
  <c r="AX38" i="39"/>
  <c r="Q37" i="41"/>
  <c r="U37" i="41"/>
  <c r="AT37" i="42"/>
  <c r="V38" i="42"/>
  <c r="Q39" i="42"/>
  <c r="AL37" i="42"/>
  <c r="T40" i="38"/>
  <c r="BH63" i="41"/>
  <c r="AK64" i="41"/>
  <c r="AH64" i="41"/>
  <c r="AK65" i="41"/>
  <c r="W65" i="41"/>
  <c r="AE65" i="41"/>
  <c r="Z65" i="41"/>
  <c r="S65" i="41"/>
  <c r="X65" i="41"/>
  <c r="AF65" i="41"/>
  <c r="Y65" i="41"/>
  <c r="AA65" i="41"/>
  <c r="BF65" i="41" s="1"/>
  <c r="W66" i="41"/>
  <c r="Y66" i="41"/>
  <c r="X66" i="41"/>
  <c r="U66" i="41"/>
  <c r="AG66" i="40"/>
  <c r="AC66" i="41"/>
  <c r="AA66" i="41"/>
  <c r="AD66" i="41"/>
  <c r="AB66" i="41"/>
  <c r="Q66" i="41"/>
  <c r="U40" i="42" l="1"/>
  <c r="M40" i="42"/>
  <c r="N40" i="42"/>
  <c r="Q40" i="42"/>
  <c r="P37" i="41"/>
  <c r="O37" i="41"/>
  <c r="L40" i="42"/>
  <c r="M37" i="41"/>
  <c r="O40" i="42"/>
  <c r="AG40" i="39"/>
  <c r="O40" i="40" s="1"/>
  <c r="AQ40" i="39"/>
  <c r="AP40" i="39"/>
  <c r="AF40" i="39"/>
  <c r="AU40" i="39"/>
  <c r="AC40" i="40" s="1"/>
  <c r="AD39" i="41" s="1"/>
  <c r="AT40" i="39"/>
  <c r="AB40" i="40" s="1"/>
  <c r="AK40" i="39"/>
  <c r="S40" i="40" s="1"/>
  <c r="T39" i="41" s="1"/>
  <c r="AJ40" i="39"/>
  <c r="R40" i="40" s="1"/>
  <c r="AS40" i="39"/>
  <c r="AA40" i="40" s="1"/>
  <c r="AB39" i="41" s="1"/>
  <c r="AI40" i="39"/>
  <c r="Q40" i="40" s="1"/>
  <c r="R39" i="41" s="1"/>
  <c r="AR40" i="39"/>
  <c r="Z40" i="40" s="1"/>
  <c r="AH40" i="39"/>
  <c r="P40" i="40" s="1"/>
  <c r="AO40" i="39"/>
  <c r="AE40" i="39"/>
  <c r="M40" i="40" s="1"/>
  <c r="AD40" i="39"/>
  <c r="AN40" i="39"/>
  <c r="Q42" i="38"/>
  <c r="P42" i="38"/>
  <c r="N42" i="38"/>
  <c r="O42" i="38"/>
  <c r="AW40" i="39"/>
  <c r="AE40" i="40" s="1"/>
  <c r="AL40" i="39"/>
  <c r="AM40" i="39"/>
  <c r="U40" i="40" s="1"/>
  <c r="V39" i="41" s="1"/>
  <c r="AV40" i="39"/>
  <c r="AD40" i="40" s="1"/>
  <c r="M42" i="38"/>
  <c r="L42" i="38"/>
  <c r="R42" i="38"/>
  <c r="S42" i="38"/>
  <c r="K42" i="38"/>
  <c r="J42" i="38"/>
  <c r="AD39" i="40"/>
  <c r="AE38" i="41" s="1"/>
  <c r="AZ64" i="41"/>
  <c r="AZ35" i="41"/>
  <c r="Y39" i="40"/>
  <c r="Z38" i="41" s="1"/>
  <c r="Z39" i="40"/>
  <c r="AA38" i="41" s="1"/>
  <c r="O39" i="40"/>
  <c r="AL65" i="41"/>
  <c r="BD65" i="41"/>
  <c r="BG65" i="41"/>
  <c r="AV65" i="41"/>
  <c r="AS65" i="41"/>
  <c r="BE65" i="41"/>
  <c r="AP65" i="41"/>
  <c r="BF37" i="41"/>
  <c r="BG37" i="41"/>
  <c r="AL36" i="41"/>
  <c r="BD36" i="41"/>
  <c r="AR39" i="42"/>
  <c r="AH39" i="42"/>
  <c r="AS39" i="42"/>
  <c r="AQ39" i="42"/>
  <c r="AP39" i="42"/>
  <c r="AE39" i="42"/>
  <c r="AB39" i="42"/>
  <c r="Y39" i="42"/>
  <c r="AK36" i="41"/>
  <c r="AV37" i="41"/>
  <c r="AH36" i="41"/>
  <c r="AP36" i="41"/>
  <c r="Q38" i="41"/>
  <c r="S38" i="41"/>
  <c r="AS37" i="41"/>
  <c r="BH35" i="41"/>
  <c r="N39" i="40"/>
  <c r="O38" i="41" s="1"/>
  <c r="V38" i="41"/>
  <c r="AB38" i="41"/>
  <c r="AG38" i="40"/>
  <c r="V39" i="40"/>
  <c r="W38" i="41" s="1"/>
  <c r="L39" i="40"/>
  <c r="AX39" i="39"/>
  <c r="W37" i="41"/>
  <c r="Y37" i="41"/>
  <c r="AC38" i="41"/>
  <c r="X38" i="41"/>
  <c r="AO36" i="41"/>
  <c r="X39" i="40"/>
  <c r="AD38" i="41"/>
  <c r="S40" i="42"/>
  <c r="T41" i="38"/>
  <c r="AL38" i="42"/>
  <c r="R40" i="42"/>
  <c r="T40" i="42"/>
  <c r="AT38" i="42"/>
  <c r="V39" i="42"/>
  <c r="BH64" i="41"/>
  <c r="AH65" i="41"/>
  <c r="AF66" i="41"/>
  <c r="T66" i="41"/>
  <c r="BD66" i="41"/>
  <c r="Z66" i="41"/>
  <c r="AE66" i="41"/>
  <c r="AO65" i="41"/>
  <c r="S66" i="41"/>
  <c r="R66" i="41"/>
  <c r="BF66" i="41" s="1"/>
  <c r="AO66" i="41"/>
  <c r="V66" i="41"/>
  <c r="U67" i="41"/>
  <c r="AG67" i="40"/>
  <c r="AA67" i="41"/>
  <c r="Y67" i="41"/>
  <c r="AB67" i="41"/>
  <c r="R67" i="41"/>
  <c r="M41" i="42" l="1"/>
  <c r="P41" i="42"/>
  <c r="S41" i="42"/>
  <c r="U41" i="42"/>
  <c r="T41" i="42"/>
  <c r="O41" i="42"/>
  <c r="P39" i="41"/>
  <c r="P38" i="41"/>
  <c r="N41" i="42"/>
  <c r="N39" i="41"/>
  <c r="L41" i="42"/>
  <c r="M38" i="41"/>
  <c r="AG41" i="39"/>
  <c r="O41" i="40" s="1"/>
  <c r="P40" i="41" s="1"/>
  <c r="AQ41" i="39"/>
  <c r="AP41" i="39"/>
  <c r="AF41" i="39"/>
  <c r="AU41" i="39"/>
  <c r="AC41" i="40" s="1"/>
  <c r="AJ41" i="39"/>
  <c r="R41" i="40" s="1"/>
  <c r="AT41" i="39"/>
  <c r="AB41" i="40" s="1"/>
  <c r="AC40" i="41" s="1"/>
  <c r="AK41" i="39"/>
  <c r="S41" i="40" s="1"/>
  <c r="T40" i="41" s="1"/>
  <c r="AS41" i="39"/>
  <c r="AA41" i="40" s="1"/>
  <c r="AR41" i="39"/>
  <c r="Z41" i="40" s="1"/>
  <c r="AA40" i="41" s="1"/>
  <c r="AI41" i="39"/>
  <c r="Q41" i="40" s="1"/>
  <c r="R40" i="41" s="1"/>
  <c r="AH41" i="39"/>
  <c r="P41" i="40" s="1"/>
  <c r="AO41" i="39"/>
  <c r="AN41" i="39"/>
  <c r="AE41" i="39"/>
  <c r="M41" i="40" s="1"/>
  <c r="AD41" i="39"/>
  <c r="L43" i="38"/>
  <c r="S43" i="38"/>
  <c r="J43" i="38"/>
  <c r="K43" i="38"/>
  <c r="R43" i="38"/>
  <c r="M43" i="38"/>
  <c r="AM41" i="39"/>
  <c r="AL41" i="39"/>
  <c r="T41" i="40" s="1"/>
  <c r="AW41" i="39"/>
  <c r="AE41" i="40" s="1"/>
  <c r="AF40" i="41" s="1"/>
  <c r="AV41" i="39"/>
  <c r="AD41" i="40" s="1"/>
  <c r="O43" i="38"/>
  <c r="N43" i="38"/>
  <c r="P43" i="38"/>
  <c r="Q43" i="38"/>
  <c r="AA39" i="41"/>
  <c r="AE39" i="41"/>
  <c r="T40" i="40"/>
  <c r="U39" i="41" s="1"/>
  <c r="AZ65" i="41"/>
  <c r="AZ36" i="41"/>
  <c r="Y40" i="40"/>
  <c r="Z39" i="41" s="1"/>
  <c r="W40" i="40"/>
  <c r="X39" i="41" s="1"/>
  <c r="AP66" i="41"/>
  <c r="BE66" i="41"/>
  <c r="AS66" i="41"/>
  <c r="AL66" i="41"/>
  <c r="BG66" i="41"/>
  <c r="AV66" i="41"/>
  <c r="BE37" i="41"/>
  <c r="BG38" i="41"/>
  <c r="BD37" i="41"/>
  <c r="BF38" i="41"/>
  <c r="AQ40" i="42"/>
  <c r="AP40" i="42"/>
  <c r="AS40" i="42"/>
  <c r="AE40" i="42"/>
  <c r="AR40" i="42"/>
  <c r="AB40" i="42"/>
  <c r="BH36" i="41"/>
  <c r="R41" i="42"/>
  <c r="AH40" i="42"/>
  <c r="Y40" i="42"/>
  <c r="AV38" i="41"/>
  <c r="AL37" i="41"/>
  <c r="AS38" i="41"/>
  <c r="AP37" i="41"/>
  <c r="N40" i="40"/>
  <c r="O39" i="41" s="1"/>
  <c r="AG39" i="40"/>
  <c r="L40" i="40"/>
  <c r="AX40" i="39"/>
  <c r="X40" i="40"/>
  <c r="Y39" i="41" s="1"/>
  <c r="S39" i="41"/>
  <c r="AO37" i="41"/>
  <c r="Q39" i="41"/>
  <c r="V40" i="40"/>
  <c r="AK37" i="41"/>
  <c r="AH37" i="41"/>
  <c r="AF39" i="41"/>
  <c r="Y38" i="41"/>
  <c r="AC39" i="41"/>
  <c r="AT39" i="42"/>
  <c r="AL39" i="42"/>
  <c r="T42" i="38"/>
  <c r="Q41" i="42"/>
  <c r="V40" i="42"/>
  <c r="BH65" i="41"/>
  <c r="AH66" i="41"/>
  <c r="AO67" i="41"/>
  <c r="W67" i="41"/>
  <c r="AK66" i="41"/>
  <c r="Z67" i="41"/>
  <c r="BE67" i="41" s="1"/>
  <c r="AC67" i="41"/>
  <c r="AE67" i="41"/>
  <c r="S67" i="41"/>
  <c r="Q67" i="41"/>
  <c r="T67" i="41"/>
  <c r="X67" i="41"/>
  <c r="AD67" i="41"/>
  <c r="V67" i="41"/>
  <c r="AF67" i="41"/>
  <c r="AC68" i="41"/>
  <c r="Q68" i="41"/>
  <c r="S68" i="41"/>
  <c r="AG68" i="40"/>
  <c r="U68" i="41"/>
  <c r="T68" i="41"/>
  <c r="AB68" i="41"/>
  <c r="T42" i="42" l="1"/>
  <c r="M42" i="42"/>
  <c r="S42" i="42"/>
  <c r="U42" i="42"/>
  <c r="Q42" i="42"/>
  <c r="O42" i="42"/>
  <c r="N40" i="41"/>
  <c r="N42" i="42"/>
  <c r="P42" i="42"/>
  <c r="M39" i="41"/>
  <c r="L42" i="42"/>
  <c r="AU42" i="39"/>
  <c r="AC42" i="40" s="1"/>
  <c r="AD41" i="41" s="1"/>
  <c r="AT42" i="39"/>
  <c r="AB42" i="40" s="1"/>
  <c r="AJ42" i="39"/>
  <c r="R42" i="40" s="1"/>
  <c r="AK42" i="39"/>
  <c r="S42" i="40" s="1"/>
  <c r="AQ42" i="39"/>
  <c r="AG42" i="39"/>
  <c r="O42" i="40" s="1"/>
  <c r="P41" i="41" s="1"/>
  <c r="AP42" i="39"/>
  <c r="AF42" i="39"/>
  <c r="AS42" i="39"/>
  <c r="AA42" i="40" s="1"/>
  <c r="AB41" i="41" s="1"/>
  <c r="AI42" i="39"/>
  <c r="Q42" i="40" s="1"/>
  <c r="AR42" i="39"/>
  <c r="Z42" i="40" s="1"/>
  <c r="AH42" i="39"/>
  <c r="P42" i="40" s="1"/>
  <c r="AO42" i="39"/>
  <c r="AD42" i="39"/>
  <c r="AN42" i="39"/>
  <c r="AE42" i="39"/>
  <c r="AW42" i="39"/>
  <c r="AE42" i="40" s="1"/>
  <c r="AF41" i="41" s="1"/>
  <c r="AM42" i="39"/>
  <c r="U42" i="40" s="1"/>
  <c r="AL42" i="39"/>
  <c r="T42" i="40" s="1"/>
  <c r="AV42" i="39"/>
  <c r="AD42" i="40" s="1"/>
  <c r="AE41" i="41" s="1"/>
  <c r="M44" i="38"/>
  <c r="L44" i="38"/>
  <c r="R44" i="38"/>
  <c r="J44" i="38"/>
  <c r="K44" i="38"/>
  <c r="S44" i="38"/>
  <c r="Q44" i="38"/>
  <c r="P44" i="38"/>
  <c r="O44" i="38"/>
  <c r="N44" i="38"/>
  <c r="AZ66" i="41"/>
  <c r="AZ37" i="41"/>
  <c r="Y41" i="40"/>
  <c r="Z40" i="41" s="1"/>
  <c r="W41" i="40"/>
  <c r="X40" i="41" s="1"/>
  <c r="U41" i="40"/>
  <c r="V40" i="41" s="1"/>
  <c r="BG67" i="41"/>
  <c r="AV67" i="41"/>
  <c r="AP67" i="41"/>
  <c r="BD67" i="41"/>
  <c r="AL67" i="41"/>
  <c r="BF67" i="41"/>
  <c r="AS67" i="41"/>
  <c r="BG39" i="41"/>
  <c r="AO38" i="41"/>
  <c r="BE38" i="41"/>
  <c r="AS39" i="41"/>
  <c r="BF39" i="41"/>
  <c r="AL38" i="41"/>
  <c r="BD38" i="41"/>
  <c r="AP41" i="42"/>
  <c r="AQ41" i="42"/>
  <c r="AH41" i="42"/>
  <c r="AS41" i="42"/>
  <c r="AR41" i="42"/>
  <c r="Y41" i="42"/>
  <c r="AB41" i="42"/>
  <c r="AE41" i="42"/>
  <c r="S40" i="41"/>
  <c r="AV39" i="41"/>
  <c r="Q40" i="41"/>
  <c r="AP38" i="41"/>
  <c r="BH37" i="41"/>
  <c r="V41" i="40"/>
  <c r="W40" i="41" s="1"/>
  <c r="AB40" i="41"/>
  <c r="U40" i="41"/>
  <c r="AT40" i="42"/>
  <c r="L41" i="40"/>
  <c r="AX41" i="39"/>
  <c r="AG40" i="40"/>
  <c r="AH38" i="41"/>
  <c r="AK38" i="41"/>
  <c r="N41" i="40"/>
  <c r="O40" i="41" s="1"/>
  <c r="X41" i="40"/>
  <c r="AE40" i="41"/>
  <c r="AD40" i="41"/>
  <c r="W39" i="41"/>
  <c r="R42" i="42"/>
  <c r="T43" i="38"/>
  <c r="V41" i="42"/>
  <c r="AL40" i="42"/>
  <c r="BH66" i="41"/>
  <c r="AO68" i="41"/>
  <c r="Y68" i="41"/>
  <c r="AD68" i="41"/>
  <c r="BG68" i="41" s="1"/>
  <c r="V68" i="41"/>
  <c r="X68" i="41"/>
  <c r="Z68" i="41"/>
  <c r="R68" i="41"/>
  <c r="W68" i="41"/>
  <c r="AA68" i="41"/>
  <c r="AF68" i="41"/>
  <c r="AH67" i="41"/>
  <c r="AK67" i="41"/>
  <c r="AE68" i="41"/>
  <c r="V69" i="41"/>
  <c r="AD69" i="41"/>
  <c r="AG69" i="40"/>
  <c r="R69" i="41"/>
  <c r="T69" i="41"/>
  <c r="Y69" i="41"/>
  <c r="AA69" i="41"/>
  <c r="S43" i="42" l="1"/>
  <c r="U43" i="42"/>
  <c r="Q43" i="42"/>
  <c r="T43" i="42"/>
  <c r="N43" i="42"/>
  <c r="P43" i="42"/>
  <c r="M40" i="41"/>
  <c r="L43" i="42"/>
  <c r="M43" i="42"/>
  <c r="O43" i="42"/>
  <c r="AU43" i="39"/>
  <c r="AC43" i="40" s="1"/>
  <c r="AT43" i="39"/>
  <c r="AB43" i="40" s="1"/>
  <c r="AC42" i="41" s="1"/>
  <c r="AK43" i="39"/>
  <c r="S43" i="40" s="1"/>
  <c r="AJ43" i="39"/>
  <c r="R43" i="40" s="1"/>
  <c r="AG43" i="39"/>
  <c r="O43" i="40" s="1"/>
  <c r="AQ43" i="39"/>
  <c r="AP43" i="39"/>
  <c r="AF43" i="39"/>
  <c r="AS43" i="39"/>
  <c r="AA43" i="40" s="1"/>
  <c r="AB42" i="41" s="1"/>
  <c r="AR43" i="39"/>
  <c r="Z43" i="40" s="1"/>
  <c r="AA42" i="41" s="1"/>
  <c r="AI43" i="39"/>
  <c r="Q43" i="40" s="1"/>
  <c r="AH43" i="39"/>
  <c r="P43" i="40" s="1"/>
  <c r="AO43" i="39"/>
  <c r="W43" i="40" s="1"/>
  <c r="AE43" i="39"/>
  <c r="AN43" i="39"/>
  <c r="AD43" i="39"/>
  <c r="M45" i="38"/>
  <c r="L45" i="38"/>
  <c r="N44" i="42" s="1"/>
  <c r="R45" i="38"/>
  <c r="J45" i="38"/>
  <c r="S45" i="38"/>
  <c r="K45" i="38"/>
  <c r="AM43" i="39"/>
  <c r="U43" i="40" s="1"/>
  <c r="AV43" i="39"/>
  <c r="AW43" i="39"/>
  <c r="AL43" i="39"/>
  <c r="T43" i="40" s="1"/>
  <c r="U42" i="41" s="1"/>
  <c r="Q45" i="38"/>
  <c r="N45" i="38"/>
  <c r="P45" i="38"/>
  <c r="O45" i="38"/>
  <c r="V41" i="41"/>
  <c r="AZ67" i="41"/>
  <c r="AZ38" i="41"/>
  <c r="Y42" i="40"/>
  <c r="Z41" i="41" s="1"/>
  <c r="W42" i="40"/>
  <c r="X41" i="41" s="1"/>
  <c r="BF68" i="41"/>
  <c r="M42" i="40"/>
  <c r="BF40" i="41"/>
  <c r="AV68" i="41"/>
  <c r="BE68" i="41"/>
  <c r="BD68" i="41"/>
  <c r="AL68" i="41"/>
  <c r="AP68" i="41"/>
  <c r="AS68" i="41"/>
  <c r="AQ42" i="42"/>
  <c r="AP39" i="41"/>
  <c r="BE39" i="41"/>
  <c r="BG40" i="41"/>
  <c r="AK39" i="41"/>
  <c r="BD39" i="41"/>
  <c r="AP42" i="42"/>
  <c r="AH42" i="42"/>
  <c r="AS42" i="42"/>
  <c r="AE42" i="42"/>
  <c r="AR42" i="42"/>
  <c r="AB42" i="42"/>
  <c r="Y42" i="42"/>
  <c r="AS40" i="41"/>
  <c r="AO39" i="41"/>
  <c r="AL39" i="41"/>
  <c r="AV40" i="41"/>
  <c r="AH39" i="41"/>
  <c r="BH38" i="41"/>
  <c r="AT41" i="42"/>
  <c r="R41" i="41"/>
  <c r="L42" i="40"/>
  <c r="AX42" i="39"/>
  <c r="V42" i="40"/>
  <c r="W41" i="41" s="1"/>
  <c r="T41" i="41"/>
  <c r="AA41" i="41"/>
  <c r="S41" i="41"/>
  <c r="X42" i="40"/>
  <c r="Y41" i="41" s="1"/>
  <c r="Q41" i="41"/>
  <c r="AG41" i="40"/>
  <c r="AC41" i="41"/>
  <c r="N42" i="40"/>
  <c r="Y40" i="41"/>
  <c r="U41" i="41"/>
  <c r="AL41" i="42"/>
  <c r="R43" i="42"/>
  <c r="V42" i="42"/>
  <c r="T44" i="38"/>
  <c r="BH67" i="41"/>
  <c r="U69" i="41"/>
  <c r="Z69" i="41"/>
  <c r="Q69" i="41"/>
  <c r="AF69" i="41"/>
  <c r="AB69" i="41"/>
  <c r="AE69" i="41"/>
  <c r="S69" i="41"/>
  <c r="AH68" i="41"/>
  <c r="AK68" i="41"/>
  <c r="X69" i="41"/>
  <c r="W69" i="41"/>
  <c r="AC69" i="41"/>
  <c r="AG70" i="40"/>
  <c r="AC70" i="41"/>
  <c r="AA70" i="41"/>
  <c r="T70" i="41"/>
  <c r="R70" i="41"/>
  <c r="Q70" i="41"/>
  <c r="U44" i="42" l="1"/>
  <c r="Q44" i="42"/>
  <c r="L44" i="42"/>
  <c r="M44" i="42"/>
  <c r="T44" i="42"/>
  <c r="S44" i="42"/>
  <c r="O41" i="41"/>
  <c r="N41" i="41"/>
  <c r="M41" i="41"/>
  <c r="P42" i="41"/>
  <c r="O44" i="42"/>
  <c r="P44" i="42"/>
  <c r="AU44" i="39"/>
  <c r="AC44" i="40" s="1"/>
  <c r="AD43" i="41" s="1"/>
  <c r="AK44" i="39"/>
  <c r="S44" i="40" s="1"/>
  <c r="T43" i="41" s="1"/>
  <c r="AT44" i="39"/>
  <c r="AB44" i="40" s="1"/>
  <c r="AC43" i="41" s="1"/>
  <c r="AJ44" i="39"/>
  <c r="R44" i="40" s="1"/>
  <c r="AG44" i="39"/>
  <c r="O44" i="40" s="1"/>
  <c r="AQ44" i="39"/>
  <c r="AP44" i="39"/>
  <c r="AF44" i="39"/>
  <c r="AS44" i="39"/>
  <c r="AA44" i="40" s="1"/>
  <c r="AR44" i="39"/>
  <c r="Z44" i="40" s="1"/>
  <c r="AI44" i="39"/>
  <c r="Q44" i="40" s="1"/>
  <c r="AH44" i="39"/>
  <c r="P44" i="40" s="1"/>
  <c r="AO44" i="39"/>
  <c r="AD44" i="39"/>
  <c r="AN44" i="39"/>
  <c r="AE44" i="39"/>
  <c r="M44" i="40" s="1"/>
  <c r="AW44" i="39"/>
  <c r="AE44" i="40" s="1"/>
  <c r="AM44" i="39"/>
  <c r="U44" i="40" s="1"/>
  <c r="AL44" i="39"/>
  <c r="T44" i="40" s="1"/>
  <c r="U43" i="41" s="1"/>
  <c r="AV44" i="39"/>
  <c r="AD44" i="40" s="1"/>
  <c r="S46" i="38"/>
  <c r="J46" i="38"/>
  <c r="L46" i="38"/>
  <c r="K46" i="38"/>
  <c r="R46" i="38"/>
  <c r="M46" i="38"/>
  <c r="N46" i="38"/>
  <c r="O46" i="38"/>
  <c r="Q46" i="38"/>
  <c r="P46" i="38"/>
  <c r="M43" i="40"/>
  <c r="AE43" i="40"/>
  <c r="AF42" i="41" s="1"/>
  <c r="AD43" i="40"/>
  <c r="AE42" i="41" s="1"/>
  <c r="AZ68" i="41"/>
  <c r="AZ39" i="41"/>
  <c r="Y43" i="40"/>
  <c r="Z42" i="41" s="1"/>
  <c r="BG69" i="41"/>
  <c r="AV69" i="41"/>
  <c r="BE69" i="41"/>
  <c r="AP69" i="41"/>
  <c r="BD69" i="41"/>
  <c r="AL69" i="41"/>
  <c r="BF69" i="41"/>
  <c r="AS69" i="41"/>
  <c r="BF41" i="41"/>
  <c r="AO40" i="41"/>
  <c r="BE40" i="41"/>
  <c r="BG41" i="41"/>
  <c r="AL40" i="41"/>
  <c r="BD40" i="41"/>
  <c r="AQ43" i="42"/>
  <c r="AP43" i="42"/>
  <c r="AH43" i="42"/>
  <c r="AS43" i="42"/>
  <c r="AE43" i="42"/>
  <c r="AR43" i="42"/>
  <c r="AB43" i="42"/>
  <c r="Y43" i="42"/>
  <c r="BH39" i="41"/>
  <c r="AP40" i="41"/>
  <c r="AV41" i="41"/>
  <c r="AS41" i="41"/>
  <c r="AT42" i="42"/>
  <c r="N43" i="40"/>
  <c r="R42" i="41"/>
  <c r="Q42" i="41"/>
  <c r="X43" i="40"/>
  <c r="Y42" i="41" s="1"/>
  <c r="V42" i="41"/>
  <c r="X42" i="41"/>
  <c r="T42" i="41"/>
  <c r="AH40" i="41"/>
  <c r="L43" i="40"/>
  <c r="M42" i="41" s="1"/>
  <c r="AX43" i="39"/>
  <c r="S42" i="41"/>
  <c r="AK40" i="41"/>
  <c r="AD42" i="41"/>
  <c r="V43" i="40"/>
  <c r="W42" i="41" s="1"/>
  <c r="AG42" i="40"/>
  <c r="V43" i="42"/>
  <c r="R44" i="42"/>
  <c r="AL42" i="42"/>
  <c r="T45" i="38"/>
  <c r="BH68" i="41"/>
  <c r="AO69" i="41"/>
  <c r="AK69" i="41"/>
  <c r="AH69" i="41"/>
  <c r="AD70" i="41"/>
  <c r="AB70" i="41"/>
  <c r="BF70" i="41" s="1"/>
  <c r="Y70" i="41"/>
  <c r="U70" i="41"/>
  <c r="X70" i="41"/>
  <c r="S70" i="41"/>
  <c r="V70" i="41"/>
  <c r="AE70" i="41"/>
  <c r="W70" i="41"/>
  <c r="Z70" i="41"/>
  <c r="AK70" i="41"/>
  <c r="AF70" i="41"/>
  <c r="T71" i="41"/>
  <c r="AD71" i="41"/>
  <c r="Q71" i="41"/>
  <c r="S71" i="41"/>
  <c r="V71" i="41"/>
  <c r="Z71" i="41"/>
  <c r="AC71" i="41"/>
  <c r="AG71" i="40"/>
  <c r="U71" i="41"/>
  <c r="W71" i="41"/>
  <c r="U45" i="42" l="1"/>
  <c r="L45" i="42"/>
  <c r="N43" i="41"/>
  <c r="N42" i="41"/>
  <c r="P45" i="42"/>
  <c r="P43" i="41"/>
  <c r="O45" i="42"/>
  <c r="N45" i="42"/>
  <c r="M45" i="42"/>
  <c r="O42" i="41"/>
  <c r="AU45" i="39"/>
  <c r="AC45" i="40" s="1"/>
  <c r="AT45" i="39"/>
  <c r="AB45" i="40" s="1"/>
  <c r="AC44" i="41" s="1"/>
  <c r="AK45" i="39"/>
  <c r="S45" i="40" s="1"/>
  <c r="T44" i="41" s="1"/>
  <c r="AJ45" i="39"/>
  <c r="R45" i="40" s="1"/>
  <c r="AG45" i="39"/>
  <c r="O45" i="40" s="1"/>
  <c r="AQ45" i="39"/>
  <c r="AP45" i="39"/>
  <c r="AF45" i="39"/>
  <c r="AS45" i="39"/>
  <c r="AA45" i="40" s="1"/>
  <c r="AB44" i="41" s="1"/>
  <c r="AI45" i="39"/>
  <c r="Q45" i="40" s="1"/>
  <c r="R44" i="41" s="1"/>
  <c r="AR45" i="39"/>
  <c r="Z45" i="40" s="1"/>
  <c r="AH45" i="39"/>
  <c r="P45" i="40" s="1"/>
  <c r="AO45" i="39"/>
  <c r="W45" i="40" s="1"/>
  <c r="AE45" i="39"/>
  <c r="M45" i="40" s="1"/>
  <c r="AN45" i="39"/>
  <c r="AD45" i="39"/>
  <c r="Q47" i="38"/>
  <c r="O47" i="38"/>
  <c r="N47" i="38"/>
  <c r="P47" i="38"/>
  <c r="R47" i="38"/>
  <c r="M47" i="38"/>
  <c r="S47" i="38"/>
  <c r="J47" i="38"/>
  <c r="L47" i="38"/>
  <c r="K47" i="38"/>
  <c r="AM45" i="39"/>
  <c r="U45" i="40" s="1"/>
  <c r="V44" i="41" s="1"/>
  <c r="AV45" i="39"/>
  <c r="AD45" i="40" s="1"/>
  <c r="AW45" i="39"/>
  <c r="AE45" i="40" s="1"/>
  <c r="AL45" i="39"/>
  <c r="T45" i="40" s="1"/>
  <c r="U44" i="41" s="1"/>
  <c r="AE43" i="41"/>
  <c r="AZ40" i="41"/>
  <c r="AZ69" i="41"/>
  <c r="Y44" i="40"/>
  <c r="Z43" i="41" s="1"/>
  <c r="W44" i="40"/>
  <c r="X43" i="41" s="1"/>
  <c r="BD70" i="41"/>
  <c r="AL70" i="41"/>
  <c r="BG71" i="41"/>
  <c r="AV71" i="41"/>
  <c r="BE70" i="41"/>
  <c r="AP70" i="41"/>
  <c r="AS70" i="41"/>
  <c r="BG70" i="41"/>
  <c r="AV70" i="41"/>
  <c r="BG42" i="41"/>
  <c r="BF42" i="41"/>
  <c r="AL41" i="41"/>
  <c r="BD41" i="41"/>
  <c r="AP41" i="41"/>
  <c r="BE41" i="41"/>
  <c r="AE44" i="42"/>
  <c r="AR44" i="42"/>
  <c r="AP44" i="42"/>
  <c r="AQ44" i="42"/>
  <c r="AH44" i="42"/>
  <c r="AS44" i="42"/>
  <c r="AK41" i="41"/>
  <c r="Y44" i="42"/>
  <c r="AB44" i="42"/>
  <c r="S43" i="41"/>
  <c r="AS42" i="41"/>
  <c r="AV42" i="41"/>
  <c r="BH40" i="41"/>
  <c r="N44" i="40"/>
  <c r="AA43" i="41"/>
  <c r="X44" i="40"/>
  <c r="Y43" i="41" s="1"/>
  <c r="AB43" i="41"/>
  <c r="AO41" i="41"/>
  <c r="V44" i="40"/>
  <c r="W43" i="41" s="1"/>
  <c r="L44" i="40"/>
  <c r="M43" i="41" s="1"/>
  <c r="AX44" i="39"/>
  <c r="V43" i="41"/>
  <c r="AH41" i="41"/>
  <c r="AG43" i="40"/>
  <c r="Q43" i="41"/>
  <c r="R43" i="41"/>
  <c r="AF43" i="41"/>
  <c r="V44" i="42"/>
  <c r="S45" i="42"/>
  <c r="AL43" i="42"/>
  <c r="T45" i="42"/>
  <c r="R45" i="42"/>
  <c r="T46" i="38"/>
  <c r="AT43" i="42"/>
  <c r="Q45" i="42"/>
  <c r="BH69" i="41"/>
  <c r="AH70" i="41"/>
  <c r="AO70" i="41"/>
  <c r="AA71" i="41"/>
  <c r="R71" i="41"/>
  <c r="AO71" i="41"/>
  <c r="AE71" i="41"/>
  <c r="Y71" i="41"/>
  <c r="BE71" i="41" s="1"/>
  <c r="X71" i="41"/>
  <c r="AK71" i="41"/>
  <c r="AB71" i="41"/>
  <c r="AF71" i="41"/>
  <c r="V72" i="41"/>
  <c r="Q72" i="41"/>
  <c r="AE72" i="41"/>
  <c r="W72" i="41"/>
  <c r="Y72" i="41"/>
  <c r="AG72" i="40"/>
  <c r="U72" i="41"/>
  <c r="N46" i="42" l="1"/>
  <c r="Q46" i="42"/>
  <c r="S46" i="42"/>
  <c r="U46" i="42"/>
  <c r="O46" i="42"/>
  <c r="O43" i="41"/>
  <c r="N44" i="41"/>
  <c r="L46" i="42"/>
  <c r="P44" i="41"/>
  <c r="M46" i="42"/>
  <c r="P46" i="42"/>
  <c r="AU46" i="39"/>
  <c r="AC46" i="40" s="1"/>
  <c r="AJ46" i="39"/>
  <c r="R46" i="40" s="1"/>
  <c r="AT46" i="39"/>
  <c r="AB46" i="40" s="1"/>
  <c r="AC45" i="41" s="1"/>
  <c r="AK46" i="39"/>
  <c r="S46" i="40" s="1"/>
  <c r="AG46" i="39"/>
  <c r="O46" i="40" s="1"/>
  <c r="AQ46" i="39"/>
  <c r="AP46" i="39"/>
  <c r="AF46" i="39"/>
  <c r="AS46" i="39"/>
  <c r="AA46" i="40" s="1"/>
  <c r="AR46" i="39"/>
  <c r="Z46" i="40" s="1"/>
  <c r="AA45" i="41" s="1"/>
  <c r="AI46" i="39"/>
  <c r="Q46" i="40" s="1"/>
  <c r="AH46" i="39"/>
  <c r="P46" i="40" s="1"/>
  <c r="AO46" i="39"/>
  <c r="AD46" i="39"/>
  <c r="AN46" i="39"/>
  <c r="AE46" i="39"/>
  <c r="M46" i="40" s="1"/>
  <c r="M48" i="38"/>
  <c r="O47" i="42" s="1"/>
  <c r="K48" i="38"/>
  <c r="L48" i="38"/>
  <c r="R48" i="38"/>
  <c r="S48" i="38"/>
  <c r="J48" i="38"/>
  <c r="AM46" i="39"/>
  <c r="U46" i="40" s="1"/>
  <c r="AV46" i="39"/>
  <c r="AD46" i="40" s="1"/>
  <c r="AE45" i="41" s="1"/>
  <c r="AL46" i="39"/>
  <c r="T46" i="40" s="1"/>
  <c r="AW46" i="39"/>
  <c r="AE46" i="40" s="1"/>
  <c r="Q48" i="38"/>
  <c r="N48" i="38"/>
  <c r="P48" i="38"/>
  <c r="O48" i="38"/>
  <c r="X44" i="41"/>
  <c r="AZ41" i="41"/>
  <c r="AZ70" i="41"/>
  <c r="Y45" i="40"/>
  <c r="Z44" i="41" s="1"/>
  <c r="BF71" i="41"/>
  <c r="AS71" i="41"/>
  <c r="AP71" i="41"/>
  <c r="AL71" i="41"/>
  <c r="BD71" i="41"/>
  <c r="AP42" i="41"/>
  <c r="BE42" i="41"/>
  <c r="AL42" i="41"/>
  <c r="BD42" i="41"/>
  <c r="BF43" i="41"/>
  <c r="AV43" i="41"/>
  <c r="BG43" i="41"/>
  <c r="AS45" i="42"/>
  <c r="AQ45" i="42"/>
  <c r="AP45" i="42"/>
  <c r="AR45" i="42"/>
  <c r="AB45" i="42"/>
  <c r="BH41" i="41"/>
  <c r="Y45" i="42"/>
  <c r="AE45" i="42"/>
  <c r="AH45" i="42"/>
  <c r="Q44" i="41"/>
  <c r="AS43" i="41"/>
  <c r="AL44" i="42"/>
  <c r="AD44" i="41"/>
  <c r="AG44" i="40"/>
  <c r="L45" i="40"/>
  <c r="AX45" i="39"/>
  <c r="AH42" i="41"/>
  <c r="AK42" i="41"/>
  <c r="S44" i="41"/>
  <c r="X45" i="40"/>
  <c r="AF44" i="41"/>
  <c r="AO42" i="41"/>
  <c r="AA44" i="41"/>
  <c r="V45" i="40"/>
  <c r="W44" i="41" s="1"/>
  <c r="N45" i="40"/>
  <c r="AE44" i="41"/>
  <c r="AT44" i="42"/>
  <c r="T47" i="38"/>
  <c r="V45" i="42"/>
  <c r="T46" i="42"/>
  <c r="R46" i="42"/>
  <c r="BH70" i="41"/>
  <c r="AH71" i="41"/>
  <c r="R72" i="41"/>
  <c r="T72" i="41"/>
  <c r="S72" i="41"/>
  <c r="AD72" i="41"/>
  <c r="AB72" i="41"/>
  <c r="AC72" i="41"/>
  <c r="AA72" i="41"/>
  <c r="AF72" i="41"/>
  <c r="Z72" i="41"/>
  <c r="X72" i="41"/>
  <c r="S73" i="41"/>
  <c r="AC73" i="41"/>
  <c r="AG73" i="40"/>
  <c r="AF73" i="41"/>
  <c r="AS46" i="42" l="1"/>
  <c r="U47" i="42"/>
  <c r="N47" i="42"/>
  <c r="Q47" i="42"/>
  <c r="L47" i="42"/>
  <c r="S47" i="42"/>
  <c r="N45" i="41"/>
  <c r="M47" i="42"/>
  <c r="O44" i="41"/>
  <c r="P47" i="42"/>
  <c r="M44" i="41"/>
  <c r="P45" i="41"/>
  <c r="AU47" i="39"/>
  <c r="AC47" i="40" s="1"/>
  <c r="AD47" i="41" s="1"/>
  <c r="AT47" i="39"/>
  <c r="AB47" i="40" s="1"/>
  <c r="AC47" i="41" s="1"/>
  <c r="AJ47" i="39"/>
  <c r="R47" i="40" s="1"/>
  <c r="AK47" i="39"/>
  <c r="S47" i="40" s="1"/>
  <c r="T47" i="41" s="1"/>
  <c r="AQ47" i="39"/>
  <c r="Y47" i="40" s="1"/>
  <c r="Z47" i="41" s="1"/>
  <c r="AG47" i="39"/>
  <c r="O47" i="40" s="1"/>
  <c r="P47" i="41" s="1"/>
  <c r="AP47" i="39"/>
  <c r="X47" i="40" s="1"/>
  <c r="Y47" i="41" s="1"/>
  <c r="AF47" i="39"/>
  <c r="N47" i="40" s="1"/>
  <c r="O47" i="41" s="1"/>
  <c r="AS47" i="39"/>
  <c r="AA47" i="40" s="1"/>
  <c r="AB47" i="41" s="1"/>
  <c r="AI47" i="39"/>
  <c r="Q47" i="40" s="1"/>
  <c r="R47" i="41" s="1"/>
  <c r="AR47" i="39"/>
  <c r="Z47" i="40" s="1"/>
  <c r="AA47" i="41" s="1"/>
  <c r="AH47" i="39"/>
  <c r="P47" i="40" s="1"/>
  <c r="AO47" i="39"/>
  <c r="W47" i="40" s="1"/>
  <c r="X47" i="41" s="1"/>
  <c r="AE47" i="39"/>
  <c r="M47" i="40" s="1"/>
  <c r="N47" i="41" s="1"/>
  <c r="AN47" i="39"/>
  <c r="AD47" i="39"/>
  <c r="M49" i="38"/>
  <c r="O48" i="42" s="1"/>
  <c r="S49" i="38"/>
  <c r="J49" i="38"/>
  <c r="L49" i="38"/>
  <c r="R49" i="38"/>
  <c r="K49" i="38"/>
  <c r="AM47" i="39"/>
  <c r="U47" i="40" s="1"/>
  <c r="V47" i="41" s="1"/>
  <c r="AW47" i="39"/>
  <c r="AE47" i="40" s="1"/>
  <c r="AF47" i="41" s="1"/>
  <c r="AL47" i="39"/>
  <c r="T47" i="40" s="1"/>
  <c r="U47" i="41" s="1"/>
  <c r="AV47" i="39"/>
  <c r="AD47" i="40" s="1"/>
  <c r="AE47" i="41" s="1"/>
  <c r="Q49" i="38"/>
  <c r="N49" i="38"/>
  <c r="P49" i="38"/>
  <c r="O49" i="38"/>
  <c r="AZ71" i="41"/>
  <c r="AZ42" i="41"/>
  <c r="Y46" i="40"/>
  <c r="Z45" i="41" s="1"/>
  <c r="W46" i="40"/>
  <c r="X45" i="41" s="1"/>
  <c r="BF72" i="41"/>
  <c r="BD72" i="41"/>
  <c r="AL72" i="41"/>
  <c r="BG44" i="41"/>
  <c r="AS72" i="41"/>
  <c r="BG72" i="41"/>
  <c r="AV72" i="41"/>
  <c r="BE72" i="41"/>
  <c r="AP72" i="41"/>
  <c r="AP43" i="41"/>
  <c r="BE43" i="41"/>
  <c r="AL43" i="41"/>
  <c r="BD43" i="41"/>
  <c r="BF44" i="41"/>
  <c r="AQ46" i="42"/>
  <c r="Y46" i="42"/>
  <c r="AP46" i="42"/>
  <c r="AE46" i="42"/>
  <c r="AR46" i="42"/>
  <c r="AB46" i="42"/>
  <c r="AH46" i="42"/>
  <c r="AO43" i="41"/>
  <c r="AV44" i="41"/>
  <c r="S45" i="41"/>
  <c r="Q45" i="41"/>
  <c r="AS44" i="41"/>
  <c r="X46" i="40"/>
  <c r="Y45" i="41" s="1"/>
  <c r="Y44" i="41"/>
  <c r="N46" i="40"/>
  <c r="AK43" i="41"/>
  <c r="AH43" i="41"/>
  <c r="BH42" i="41"/>
  <c r="T45" i="41"/>
  <c r="AD45" i="41"/>
  <c r="V46" i="40"/>
  <c r="U45" i="41"/>
  <c r="AB45" i="41"/>
  <c r="L46" i="40"/>
  <c r="M45" i="41" s="1"/>
  <c r="AX46" i="39"/>
  <c r="R45" i="41"/>
  <c r="AF45" i="41"/>
  <c r="V45" i="41"/>
  <c r="AG45" i="40"/>
  <c r="AT45" i="42"/>
  <c r="AL45" i="42"/>
  <c r="T48" i="38"/>
  <c r="V46" i="42"/>
  <c r="T47" i="42"/>
  <c r="R47" i="42"/>
  <c r="BH71" i="41"/>
  <c r="AO73" i="41"/>
  <c r="Q73" i="41"/>
  <c r="AO72" i="41"/>
  <c r="AE73" i="41"/>
  <c r="V73" i="41"/>
  <c r="AB73" i="41"/>
  <c r="AD73" i="41"/>
  <c r="R73" i="41"/>
  <c r="AA73" i="41"/>
  <c r="U73" i="41"/>
  <c r="Z73" i="41"/>
  <c r="T73" i="41"/>
  <c r="AH72" i="41"/>
  <c r="AK72" i="41"/>
  <c r="W73" i="41"/>
  <c r="Y73" i="41"/>
  <c r="AK73" i="41"/>
  <c r="X73" i="41"/>
  <c r="S74" i="41"/>
  <c r="AA74" i="41"/>
  <c r="AF74" i="41"/>
  <c r="W74" i="41"/>
  <c r="X74" i="41"/>
  <c r="Y74" i="41"/>
  <c r="R74" i="41"/>
  <c r="T74" i="41"/>
  <c r="AG74" i="40"/>
  <c r="N48" i="42" l="1"/>
  <c r="Q48" i="42"/>
  <c r="P46" i="41"/>
  <c r="O46" i="41"/>
  <c r="O45" i="41"/>
  <c r="P48" i="42"/>
  <c r="L48" i="42"/>
  <c r="N46" i="41"/>
  <c r="M48" i="42"/>
  <c r="N50" i="38"/>
  <c r="O50" i="38"/>
  <c r="Q50" i="38"/>
  <c r="P50" i="38"/>
  <c r="S50" i="38"/>
  <c r="L50" i="38"/>
  <c r="K50" i="38"/>
  <c r="R50" i="38"/>
  <c r="M50" i="38"/>
  <c r="J50" i="38"/>
  <c r="AZ43" i="41"/>
  <c r="AZ72" i="41"/>
  <c r="BG73" i="41"/>
  <c r="BE73" i="41"/>
  <c r="BD73" i="41"/>
  <c r="AP73" i="41"/>
  <c r="AV73" i="41"/>
  <c r="AL73" i="41"/>
  <c r="BF73" i="41"/>
  <c r="AS73" i="41"/>
  <c r="BG45" i="41"/>
  <c r="BF45" i="41"/>
  <c r="AL44" i="41"/>
  <c r="BD44" i="41"/>
  <c r="AO44" i="41"/>
  <c r="BE44" i="41"/>
  <c r="AQ47" i="42"/>
  <c r="Y47" i="42"/>
  <c r="AP47" i="42"/>
  <c r="AE47" i="42"/>
  <c r="AR47" i="42"/>
  <c r="AH47" i="42"/>
  <c r="AS47" i="42"/>
  <c r="AB47" i="42"/>
  <c r="AH44" i="41"/>
  <c r="BH43" i="41"/>
  <c r="AK44" i="41"/>
  <c r="AS45" i="41"/>
  <c r="AP44" i="41"/>
  <c r="AV45" i="41"/>
  <c r="AA46" i="41"/>
  <c r="AC46" i="41"/>
  <c r="X46" i="41"/>
  <c r="AT46" i="42"/>
  <c r="T46" i="41"/>
  <c r="AB46" i="41"/>
  <c r="AE46" i="41"/>
  <c r="U46" i="41"/>
  <c r="Y46" i="41"/>
  <c r="AF46" i="41"/>
  <c r="R46" i="41"/>
  <c r="V46" i="41"/>
  <c r="W45" i="41"/>
  <c r="AG46" i="40"/>
  <c r="V47" i="40"/>
  <c r="W47" i="41" s="1"/>
  <c r="S46" i="41"/>
  <c r="S47" i="41"/>
  <c r="L47" i="40"/>
  <c r="M47" i="41" s="1"/>
  <c r="AX47" i="39"/>
  <c r="Z46" i="41"/>
  <c r="Q46" i="41"/>
  <c r="Q47" i="41"/>
  <c r="AD46" i="41"/>
  <c r="U48" i="42"/>
  <c r="R48" i="42"/>
  <c r="S48" i="42"/>
  <c r="T49" i="38"/>
  <c r="V47" i="42"/>
  <c r="T48" i="42"/>
  <c r="AL46" i="42"/>
  <c r="BH72" i="41"/>
  <c r="AH73" i="41"/>
  <c r="AD74" i="41"/>
  <c r="Q74" i="41"/>
  <c r="AC74" i="41"/>
  <c r="AE74" i="41"/>
  <c r="V74" i="41"/>
  <c r="U74" i="41"/>
  <c r="Z74" i="41"/>
  <c r="AB74" i="41"/>
  <c r="AG75" i="40"/>
  <c r="U75" i="41"/>
  <c r="Y75" i="41"/>
  <c r="AE75" i="41"/>
  <c r="W75" i="41"/>
  <c r="V75" i="41"/>
  <c r="AC75" i="41"/>
  <c r="AA75" i="41"/>
  <c r="S75" i="41"/>
  <c r="Q75" i="41"/>
  <c r="AB75" i="41"/>
  <c r="T75" i="41"/>
  <c r="R75" i="41"/>
  <c r="M49" i="42" l="1"/>
  <c r="S49" i="42"/>
  <c r="T49" i="42"/>
  <c r="M46" i="41"/>
  <c r="N49" i="42"/>
  <c r="P49" i="42"/>
  <c r="O49" i="42"/>
  <c r="L49" i="42"/>
  <c r="Q51" i="38"/>
  <c r="N51" i="38"/>
  <c r="P51" i="38"/>
  <c r="O51" i="38"/>
  <c r="M51" i="38"/>
  <c r="J51" i="38"/>
  <c r="K51" i="38"/>
  <c r="R51" i="38"/>
  <c r="L51" i="38"/>
  <c r="S51" i="38"/>
  <c r="BG74" i="41"/>
  <c r="AZ73" i="41"/>
  <c r="AZ44" i="41"/>
  <c r="BD74" i="41"/>
  <c r="AL74" i="41"/>
  <c r="BF75" i="41"/>
  <c r="AS75" i="41"/>
  <c r="BE74" i="41"/>
  <c r="AP74" i="41"/>
  <c r="AV74" i="41"/>
  <c r="BF74" i="41"/>
  <c r="AS74" i="41"/>
  <c r="AS47" i="41"/>
  <c r="BF47" i="41"/>
  <c r="BD45" i="41"/>
  <c r="BF46" i="41"/>
  <c r="AP45" i="41"/>
  <c r="BE45" i="41"/>
  <c r="BG46" i="41"/>
  <c r="AP47" i="41"/>
  <c r="BE47" i="41"/>
  <c r="AV47" i="41"/>
  <c r="BG47" i="41"/>
  <c r="AO45" i="41"/>
  <c r="BE46" i="41"/>
  <c r="AP48" i="42"/>
  <c r="AQ48" i="42"/>
  <c r="AS48" i="42"/>
  <c r="AE48" i="42"/>
  <c r="AR48" i="42"/>
  <c r="BH44" i="41"/>
  <c r="Y48" i="42"/>
  <c r="AH48" i="42"/>
  <c r="AB48" i="42"/>
  <c r="AK45" i="41"/>
  <c r="AL45" i="41"/>
  <c r="AV46" i="41"/>
  <c r="AS46" i="41"/>
  <c r="AP46" i="41"/>
  <c r="AH45" i="41"/>
  <c r="AO47" i="41"/>
  <c r="AO46" i="41"/>
  <c r="W46" i="41"/>
  <c r="AG47" i="40"/>
  <c r="AL47" i="42"/>
  <c r="AT47" i="42"/>
  <c r="V48" i="42"/>
  <c r="U49" i="42"/>
  <c r="R49" i="42"/>
  <c r="Q49" i="42"/>
  <c r="T50" i="38"/>
  <c r="BH73" i="41"/>
  <c r="AD75" i="41"/>
  <c r="BG75" i="41" s="1"/>
  <c r="AO74" i="41"/>
  <c r="AK74" i="41"/>
  <c r="AH74" i="41"/>
  <c r="Z75" i="41"/>
  <c r="X75" i="41"/>
  <c r="AF75" i="41"/>
  <c r="AG76" i="40"/>
  <c r="U76" i="41"/>
  <c r="T76" i="41"/>
  <c r="R76" i="41"/>
  <c r="V76" i="41"/>
  <c r="S76" i="41"/>
  <c r="Y76" i="41"/>
  <c r="X76" i="41"/>
  <c r="W76" i="41"/>
  <c r="AF76" i="41"/>
  <c r="AA76" i="41"/>
  <c r="P50" i="42" l="1"/>
  <c r="U50" i="42"/>
  <c r="AS49" i="42"/>
  <c r="Q50" i="42"/>
  <c r="S50" i="42"/>
  <c r="N50" i="42"/>
  <c r="L50" i="42"/>
  <c r="M50" i="42"/>
  <c r="O50" i="42"/>
  <c r="S52" i="38"/>
  <c r="K52" i="38"/>
  <c r="M52" i="38"/>
  <c r="R52" i="38"/>
  <c r="L52" i="38"/>
  <c r="J52" i="38"/>
  <c r="L51" i="42" s="1"/>
  <c r="O52" i="38"/>
  <c r="Q52" i="38"/>
  <c r="N52" i="38"/>
  <c r="P51" i="42" s="1"/>
  <c r="P52" i="38"/>
  <c r="AZ45" i="41"/>
  <c r="AZ74" i="41"/>
  <c r="BD75" i="41"/>
  <c r="AL75" i="41"/>
  <c r="BE75" i="41"/>
  <c r="AP75" i="41"/>
  <c r="AV75" i="41"/>
  <c r="BH45" i="41"/>
  <c r="AR49" i="42"/>
  <c r="AL47" i="41"/>
  <c r="BD47" i="41"/>
  <c r="BH47" i="41" s="1"/>
  <c r="AL46" i="41"/>
  <c r="BD46" i="41"/>
  <c r="BH46" i="41" s="1"/>
  <c r="AP49" i="42"/>
  <c r="AQ49" i="42"/>
  <c r="AE49" i="42"/>
  <c r="Y49" i="42"/>
  <c r="AH49" i="42"/>
  <c r="AB49" i="42"/>
  <c r="AH46" i="41"/>
  <c r="AH47" i="41"/>
  <c r="AK47" i="41"/>
  <c r="AK46" i="41"/>
  <c r="R50" i="42"/>
  <c r="AT48" i="42"/>
  <c r="AL48" i="42"/>
  <c r="T50" i="42"/>
  <c r="V49" i="42"/>
  <c r="T51" i="38"/>
  <c r="BH74" i="41"/>
  <c r="AK75" i="41"/>
  <c r="AH75" i="41"/>
  <c r="Z76" i="41"/>
  <c r="AE76" i="41"/>
  <c r="AD76" i="41"/>
  <c r="Q76" i="41"/>
  <c r="AO75" i="41"/>
  <c r="AB76" i="41"/>
  <c r="AC76" i="41"/>
  <c r="R77" i="41"/>
  <c r="T77" i="41"/>
  <c r="Z77" i="41"/>
  <c r="AF77" i="41"/>
  <c r="AG77" i="40"/>
  <c r="U77" i="41"/>
  <c r="AC77" i="41"/>
  <c r="AA77" i="41"/>
  <c r="V77" i="41"/>
  <c r="AB77" i="41"/>
  <c r="AD77" i="41"/>
  <c r="S77" i="41"/>
  <c r="Q77" i="41"/>
  <c r="Y77" i="41"/>
  <c r="X77" i="41"/>
  <c r="AE77" i="41"/>
  <c r="W77" i="41"/>
  <c r="O51" i="42" l="1"/>
  <c r="S51" i="42"/>
  <c r="T51" i="42"/>
  <c r="M51" i="42"/>
  <c r="N51" i="42"/>
  <c r="M53" i="38"/>
  <c r="S53" i="38"/>
  <c r="K53" i="38"/>
  <c r="J53" i="38"/>
  <c r="L53" i="38"/>
  <c r="R53" i="38"/>
  <c r="N53" i="38"/>
  <c r="Q53" i="38"/>
  <c r="P53" i="38"/>
  <c r="O53" i="38"/>
  <c r="BG76" i="41"/>
  <c r="AQ50" i="42"/>
  <c r="AZ46" i="41"/>
  <c r="AZ47" i="41"/>
  <c r="AZ75" i="41"/>
  <c r="AV76" i="41"/>
  <c r="BD76" i="41"/>
  <c r="AL76" i="41"/>
  <c r="BG77" i="41"/>
  <c r="AV77" i="41"/>
  <c r="BE76" i="41"/>
  <c r="AP76" i="41"/>
  <c r="BD77" i="41"/>
  <c r="AL77" i="41"/>
  <c r="BF77" i="41"/>
  <c r="AS77" i="41"/>
  <c r="BF76" i="41"/>
  <c r="AS76" i="41"/>
  <c r="AE50" i="42"/>
  <c r="AR50" i="42"/>
  <c r="Y50" i="42"/>
  <c r="AP50" i="42"/>
  <c r="AH50" i="42"/>
  <c r="AS50" i="42"/>
  <c r="AB50" i="42"/>
  <c r="AL49" i="42"/>
  <c r="AT49" i="42"/>
  <c r="V50" i="42"/>
  <c r="R51" i="42"/>
  <c r="T52" i="38"/>
  <c r="Q51" i="42"/>
  <c r="U51" i="42"/>
  <c r="BH75" i="41"/>
  <c r="AK77" i="41"/>
  <c r="AH76" i="41"/>
  <c r="AK76" i="41"/>
  <c r="AO76" i="41"/>
  <c r="AG78" i="40"/>
  <c r="Q52" i="42" l="1"/>
  <c r="T52" i="42"/>
  <c r="O52" i="42"/>
  <c r="N52" i="42"/>
  <c r="L52" i="42"/>
  <c r="P52" i="42"/>
  <c r="M52" i="42"/>
  <c r="N54" i="38"/>
  <c r="Q54" i="38"/>
  <c r="P54" i="38"/>
  <c r="O54" i="38"/>
  <c r="S54" i="38"/>
  <c r="K54" i="38"/>
  <c r="M53" i="42" s="1"/>
  <c r="R54" i="38"/>
  <c r="J54" i="38"/>
  <c r="M54" i="38"/>
  <c r="L54" i="38"/>
  <c r="AZ76" i="41"/>
  <c r="AH77" i="41"/>
  <c r="BE77" i="41"/>
  <c r="BE6" i="41" s="1"/>
  <c r="AP77" i="41"/>
  <c r="AP6" i="41" s="1"/>
  <c r="AP51" i="42"/>
  <c r="AQ51" i="42"/>
  <c r="AE51" i="42"/>
  <c r="AR51" i="42"/>
  <c r="AH51" i="42"/>
  <c r="AS51" i="42"/>
  <c r="AB51" i="42"/>
  <c r="Y51" i="42"/>
  <c r="T53" i="38"/>
  <c r="R52" i="42"/>
  <c r="AT50" i="42"/>
  <c r="AL50" i="42"/>
  <c r="U52" i="42"/>
  <c r="S52" i="42"/>
  <c r="V51" i="42"/>
  <c r="AV6" i="41"/>
  <c r="BF6" i="41"/>
  <c r="AL6" i="41"/>
  <c r="AS6" i="41"/>
  <c r="BG6" i="41"/>
  <c r="BD6" i="41"/>
  <c r="BH76" i="41"/>
  <c r="AK6" i="41"/>
  <c r="AO77" i="41"/>
  <c r="AO6" i="41" s="1"/>
  <c r="S53" i="42" l="1"/>
  <c r="U53" i="42"/>
  <c r="Q53" i="42"/>
  <c r="P53" i="42"/>
  <c r="L53" i="42"/>
  <c r="O53" i="42"/>
  <c r="N53" i="42"/>
  <c r="M55" i="38"/>
  <c r="S55" i="38"/>
  <c r="J55" i="38"/>
  <c r="K55" i="38"/>
  <c r="R55" i="38"/>
  <c r="L55" i="38"/>
  <c r="Q55" i="38"/>
  <c r="O55" i="38"/>
  <c r="N55" i="38"/>
  <c r="P55" i="38"/>
  <c r="AZ77" i="41"/>
  <c r="AZ6" i="41" s="1"/>
  <c r="AQ52" i="42"/>
  <c r="AS52" i="42"/>
  <c r="AE52" i="42"/>
  <c r="AR52" i="42"/>
  <c r="AP52" i="42"/>
  <c r="AH52" i="42"/>
  <c r="AB52" i="42"/>
  <c r="Y52" i="42"/>
  <c r="AT51" i="42"/>
  <c r="T54" i="38"/>
  <c r="R53" i="42"/>
  <c r="T53" i="42"/>
  <c r="V52" i="42"/>
  <c r="AL51" i="42"/>
  <c r="BH77" i="41"/>
  <c r="BH6" i="41" s="1"/>
  <c r="S54" i="42" l="1"/>
  <c r="Q54" i="42"/>
  <c r="U54" i="42"/>
  <c r="AS53" i="42"/>
  <c r="M54" i="42"/>
  <c r="T54" i="42"/>
  <c r="L54" i="42"/>
  <c r="O54" i="42"/>
  <c r="N54" i="42"/>
  <c r="P54" i="42"/>
  <c r="O56" i="38"/>
  <c r="P56" i="38"/>
  <c r="N56" i="38"/>
  <c r="Q56" i="38"/>
  <c r="K56" i="38"/>
  <c r="M55" i="42" s="1"/>
  <c r="L56" i="38"/>
  <c r="N55" i="42" s="1"/>
  <c r="J56" i="38"/>
  <c r="S56" i="38"/>
  <c r="M56" i="38"/>
  <c r="R56" i="38"/>
  <c r="AQ53" i="42"/>
  <c r="AP53" i="42"/>
  <c r="AE53" i="42"/>
  <c r="AR53" i="42"/>
  <c r="AH53" i="42"/>
  <c r="Y53" i="42"/>
  <c r="AB53" i="42"/>
  <c r="R54" i="42"/>
  <c r="D10" i="6"/>
  <c r="C10" i="6"/>
  <c r="AL52" i="42"/>
  <c r="V53" i="42"/>
  <c r="AT52" i="42"/>
  <c r="T55" i="38"/>
  <c r="S55" i="42" l="1"/>
  <c r="T55" i="42"/>
  <c r="Q55" i="42"/>
  <c r="L55" i="42"/>
  <c r="P55" i="42"/>
  <c r="O55" i="42"/>
  <c r="M57" i="38"/>
  <c r="K57" i="38"/>
  <c r="R57" i="38"/>
  <c r="L57" i="38"/>
  <c r="S57" i="38"/>
  <c r="J57" i="38"/>
  <c r="Q57" i="38"/>
  <c r="N57" i="38"/>
  <c r="O57" i="38"/>
  <c r="P57" i="38"/>
  <c r="AE54" i="42"/>
  <c r="AR54" i="42"/>
  <c r="AP54" i="42"/>
  <c r="AH54" i="42"/>
  <c r="AS54" i="42"/>
  <c r="AQ54" i="42"/>
  <c r="AB54" i="42"/>
  <c r="Y54" i="42"/>
  <c r="T56" i="38"/>
  <c r="V54" i="42"/>
  <c r="R55" i="42"/>
  <c r="AL53" i="42"/>
  <c r="AT53" i="42"/>
  <c r="U55" i="42"/>
  <c r="M56" i="42" l="1"/>
  <c r="U56" i="42"/>
  <c r="Q56" i="42"/>
  <c r="S56" i="42"/>
  <c r="T56" i="42"/>
  <c r="N56" i="42"/>
  <c r="L56" i="42"/>
  <c r="O56" i="42"/>
  <c r="P56" i="42"/>
  <c r="S58" i="38"/>
  <c r="J58" i="38"/>
  <c r="K58" i="38"/>
  <c r="R58" i="38"/>
  <c r="L58" i="38"/>
  <c r="N57" i="42" s="1"/>
  <c r="M58" i="38"/>
  <c r="N58" i="38"/>
  <c r="O58" i="38"/>
  <c r="Q58" i="38"/>
  <c r="P58" i="38"/>
  <c r="AP55" i="42"/>
  <c r="AQ55" i="42"/>
  <c r="AH55" i="42"/>
  <c r="AS55" i="42"/>
  <c r="AE55" i="42"/>
  <c r="AR55" i="42"/>
  <c r="Y55" i="42"/>
  <c r="AB55" i="42"/>
  <c r="AT54" i="42"/>
  <c r="AL54" i="42"/>
  <c r="T57" i="38"/>
  <c r="V55" i="42"/>
  <c r="R56" i="42"/>
  <c r="U57" i="42" l="1"/>
  <c r="S57" i="42"/>
  <c r="Q57" i="42"/>
  <c r="T57" i="42"/>
  <c r="L57" i="42"/>
  <c r="M57" i="42"/>
  <c r="P57" i="42"/>
  <c r="O57" i="42"/>
  <c r="Q59" i="38"/>
  <c r="P59" i="38"/>
  <c r="O59" i="38"/>
  <c r="N59" i="38"/>
  <c r="P58" i="42" s="1"/>
  <c r="J59" i="38"/>
  <c r="R59" i="38"/>
  <c r="L59" i="38"/>
  <c r="S59" i="38"/>
  <c r="M59" i="38"/>
  <c r="K59" i="38"/>
  <c r="AP56" i="42"/>
  <c r="AQ56" i="42"/>
  <c r="AH56" i="42"/>
  <c r="AS56" i="42"/>
  <c r="AE56" i="42"/>
  <c r="AR56" i="42"/>
  <c r="AB56" i="42"/>
  <c r="Y56" i="42"/>
  <c r="AL55" i="42"/>
  <c r="AT55" i="42"/>
  <c r="V56" i="42"/>
  <c r="T58" i="38"/>
  <c r="R57" i="42"/>
  <c r="N58" i="42" l="1"/>
  <c r="S58" i="42"/>
  <c r="Q58" i="42"/>
  <c r="O58" i="42"/>
  <c r="M58" i="42"/>
  <c r="L58" i="42"/>
  <c r="S60" i="38"/>
  <c r="J60" i="38"/>
  <c r="K60" i="38"/>
  <c r="M60" i="38"/>
  <c r="R60" i="38"/>
  <c r="L60" i="38"/>
  <c r="O60" i="38"/>
  <c r="Q60" i="38"/>
  <c r="N60" i="38"/>
  <c r="P60" i="38"/>
  <c r="AP57" i="42"/>
  <c r="AH57" i="42"/>
  <c r="AS57" i="42"/>
  <c r="AE57" i="42"/>
  <c r="AR57" i="42"/>
  <c r="AQ57" i="42"/>
  <c r="Y57" i="42"/>
  <c r="AB57" i="42"/>
  <c r="AL56" i="42"/>
  <c r="AT56" i="42"/>
  <c r="T58" i="42"/>
  <c r="U58" i="42"/>
  <c r="V57" i="42"/>
  <c r="R58" i="42"/>
  <c r="T59" i="38"/>
  <c r="U59" i="42" l="1"/>
  <c r="T59" i="42"/>
  <c r="N59" i="42"/>
  <c r="P59" i="42"/>
  <c r="L59" i="42"/>
  <c r="O60" i="42"/>
  <c r="O59" i="42"/>
  <c r="M59" i="42"/>
  <c r="Q61" i="38"/>
  <c r="N61" i="38"/>
  <c r="P61" i="38"/>
  <c r="O61" i="38"/>
  <c r="M61" i="38"/>
  <c r="L61" i="38"/>
  <c r="S61" i="38"/>
  <c r="K61" i="38"/>
  <c r="R61" i="38"/>
  <c r="J61" i="38"/>
  <c r="AP58" i="42"/>
  <c r="AH58" i="42"/>
  <c r="AS58" i="42"/>
  <c r="AE58" i="42"/>
  <c r="AR58" i="42"/>
  <c r="AQ58" i="42"/>
  <c r="Y58" i="42"/>
  <c r="AB58" i="42"/>
  <c r="AT57" i="42"/>
  <c r="AL57" i="42"/>
  <c r="S59" i="42"/>
  <c r="T60" i="38"/>
  <c r="V58" i="42"/>
  <c r="R59" i="42"/>
  <c r="Q59" i="42"/>
  <c r="N60" i="42" l="1"/>
  <c r="U60" i="42"/>
  <c r="Q60" i="42"/>
  <c r="P60" i="42"/>
  <c r="T60" i="42"/>
  <c r="S60" i="42"/>
  <c r="M60" i="42"/>
  <c r="L60" i="42"/>
  <c r="N62" i="38"/>
  <c r="O62" i="38"/>
  <c r="P62" i="38"/>
  <c r="Q62" i="38"/>
  <c r="S62" i="38"/>
  <c r="J62" i="38"/>
  <c r="L62" i="38"/>
  <c r="K62" i="38"/>
  <c r="R62" i="38"/>
  <c r="M62" i="38"/>
  <c r="AR59" i="42"/>
  <c r="AP59" i="42"/>
  <c r="AS59" i="42"/>
  <c r="AQ59" i="42"/>
  <c r="AE59" i="42"/>
  <c r="AB59" i="42"/>
  <c r="AH59" i="42"/>
  <c r="Y59" i="42"/>
  <c r="AL58" i="42"/>
  <c r="AT58" i="42"/>
  <c r="V59" i="42"/>
  <c r="T61" i="38"/>
  <c r="R60" i="42"/>
  <c r="U61" i="42" l="1"/>
  <c r="S61" i="42"/>
  <c r="Q61" i="42"/>
  <c r="T61" i="42"/>
  <c r="P61" i="42"/>
  <c r="O61" i="42"/>
  <c r="N61" i="42"/>
  <c r="L61" i="42"/>
  <c r="M61" i="42"/>
  <c r="Q63" i="38"/>
  <c r="N63" i="38"/>
  <c r="P63" i="38"/>
  <c r="O63" i="38"/>
  <c r="R63" i="38"/>
  <c r="K63" i="38"/>
  <c r="M63" i="38"/>
  <c r="L63" i="38"/>
  <c r="S63" i="38"/>
  <c r="J63" i="38"/>
  <c r="AP60" i="42"/>
  <c r="AE60" i="42"/>
  <c r="AR60" i="42"/>
  <c r="AQ60" i="42"/>
  <c r="AH60" i="42"/>
  <c r="AS60" i="42"/>
  <c r="Y60" i="42"/>
  <c r="AB60" i="42"/>
  <c r="AT59" i="42"/>
  <c r="T62" i="38"/>
  <c r="R61" i="42"/>
  <c r="AS61" i="42" s="1"/>
  <c r="AL59" i="42"/>
  <c r="V60" i="42"/>
  <c r="S62" i="42" l="1"/>
  <c r="U62" i="42"/>
  <c r="Q62" i="42"/>
  <c r="L62" i="42"/>
  <c r="N62" i="42"/>
  <c r="M62" i="42"/>
  <c r="O62" i="42"/>
  <c r="P62" i="42"/>
  <c r="Q64" i="38"/>
  <c r="O64" i="38"/>
  <c r="N64" i="38"/>
  <c r="P64" i="38"/>
  <c r="M64" i="38"/>
  <c r="R64" i="38"/>
  <c r="S64" i="38"/>
  <c r="L64" i="38"/>
  <c r="J64" i="38"/>
  <c r="K64" i="38"/>
  <c r="AQ61" i="42"/>
  <c r="AP61" i="42"/>
  <c r="AE61" i="42"/>
  <c r="AR61" i="42"/>
  <c r="Y61" i="42"/>
  <c r="AB61" i="42"/>
  <c r="AH61" i="42"/>
  <c r="T63" i="38"/>
  <c r="R62" i="42"/>
  <c r="AT60" i="42"/>
  <c r="AL60" i="42"/>
  <c r="T62" i="42"/>
  <c r="V61" i="42"/>
  <c r="P63" i="42" l="1"/>
  <c r="U63" i="42"/>
  <c r="T63" i="42"/>
  <c r="S63" i="42"/>
  <c r="O63" i="42"/>
  <c r="Q63" i="42"/>
  <c r="M63" i="42"/>
  <c r="N63" i="42"/>
  <c r="L63" i="42"/>
  <c r="Q65" i="38"/>
  <c r="N65" i="38"/>
  <c r="P65" i="38"/>
  <c r="O65" i="38"/>
  <c r="M65" i="38"/>
  <c r="J65" i="38"/>
  <c r="L64" i="42" s="1"/>
  <c r="L65" i="38"/>
  <c r="S65" i="38"/>
  <c r="K65" i="38"/>
  <c r="R65" i="38"/>
  <c r="AP62" i="42"/>
  <c r="AH62" i="42"/>
  <c r="AS62" i="42"/>
  <c r="AE62" i="42"/>
  <c r="AR62" i="42"/>
  <c r="AQ62" i="42"/>
  <c r="Y62" i="42"/>
  <c r="AB62" i="42"/>
  <c r="R63" i="42"/>
  <c r="V62" i="42"/>
  <c r="AT61" i="42"/>
  <c r="AL61" i="42"/>
  <c r="T64" i="38"/>
  <c r="O64" i="42" l="1"/>
  <c r="T64" i="42"/>
  <c r="U64" i="42"/>
  <c r="Q64" i="42"/>
  <c r="N64" i="42"/>
  <c r="P64" i="42"/>
  <c r="M64" i="42"/>
  <c r="N66" i="38"/>
  <c r="P66" i="38"/>
  <c r="O66" i="38"/>
  <c r="Q66" i="38"/>
  <c r="S66" i="38"/>
  <c r="R66" i="38"/>
  <c r="L66" i="38"/>
  <c r="K66" i="38"/>
  <c r="J66" i="38"/>
  <c r="M66" i="38"/>
  <c r="AQ63" i="42"/>
  <c r="AP63" i="42"/>
  <c r="AE63" i="42"/>
  <c r="AR63" i="42"/>
  <c r="AH63" i="42"/>
  <c r="AS63" i="42"/>
  <c r="R64" i="42"/>
  <c r="Y63" i="42"/>
  <c r="AB63" i="42"/>
  <c r="S64" i="42"/>
  <c r="T65" i="38"/>
  <c r="V63" i="42"/>
  <c r="AL62" i="42"/>
  <c r="AT62" i="42"/>
  <c r="U65" i="42" l="1"/>
  <c r="S65" i="42"/>
  <c r="O65" i="42"/>
  <c r="T65" i="42"/>
  <c r="Q65" i="42"/>
  <c r="L65" i="42"/>
  <c r="N65" i="42"/>
  <c r="M65" i="42"/>
  <c r="P65" i="42"/>
  <c r="Q67" i="38"/>
  <c r="P67" i="38"/>
  <c r="N67" i="38"/>
  <c r="O67" i="38"/>
  <c r="M67" i="38"/>
  <c r="L67" i="38"/>
  <c r="N66" i="42" s="1"/>
  <c r="K67" i="38"/>
  <c r="J67" i="38"/>
  <c r="S67" i="38"/>
  <c r="R67" i="38"/>
  <c r="AP64" i="42"/>
  <c r="AQ64" i="42"/>
  <c r="AE64" i="42"/>
  <c r="AR64" i="42"/>
  <c r="AS64" i="42"/>
  <c r="AB64" i="42"/>
  <c r="Y64" i="42"/>
  <c r="AH64" i="42"/>
  <c r="AL63" i="42"/>
  <c r="AT63" i="42"/>
  <c r="V64" i="42"/>
  <c r="T66" i="38"/>
  <c r="R65" i="42"/>
  <c r="U66" i="42" l="1"/>
  <c r="T66" i="42"/>
  <c r="M66" i="42"/>
  <c r="L66" i="42"/>
  <c r="O66" i="42"/>
  <c r="P66" i="42"/>
  <c r="S68" i="38"/>
  <c r="K68" i="38"/>
  <c r="L68" i="38"/>
  <c r="R68" i="38"/>
  <c r="M68" i="38"/>
  <c r="O67" i="42" s="1"/>
  <c r="J68" i="38"/>
  <c r="O68" i="38"/>
  <c r="P68" i="38"/>
  <c r="N68" i="38"/>
  <c r="Q68" i="38"/>
  <c r="AE65" i="42"/>
  <c r="AR65" i="42"/>
  <c r="Y65" i="42"/>
  <c r="AP65" i="42"/>
  <c r="AH65" i="42"/>
  <c r="AS65" i="42"/>
  <c r="AQ65" i="42"/>
  <c r="AB65" i="42"/>
  <c r="AL64" i="42"/>
  <c r="AT64" i="42"/>
  <c r="R66" i="42"/>
  <c r="T67" i="38"/>
  <c r="V65" i="42"/>
  <c r="Q66" i="42"/>
  <c r="S66" i="42"/>
  <c r="S67" i="42" l="1"/>
  <c r="T67" i="42"/>
  <c r="U67" i="42"/>
  <c r="P67" i="42"/>
  <c r="Q67" i="42"/>
  <c r="N67" i="42"/>
  <c r="M67" i="42"/>
  <c r="L67" i="42"/>
  <c r="R69" i="38"/>
  <c r="J69" i="38"/>
  <c r="S69" i="38"/>
  <c r="L69" i="38"/>
  <c r="M69" i="38"/>
  <c r="O68" i="42" s="1"/>
  <c r="K69" i="38"/>
  <c r="P69" i="38"/>
  <c r="O69" i="38"/>
  <c r="N69" i="38"/>
  <c r="Q69" i="38"/>
  <c r="AP66" i="42"/>
  <c r="AS66" i="42"/>
  <c r="AB66" i="42"/>
  <c r="AQ66" i="42"/>
  <c r="AR66" i="42"/>
  <c r="AH66" i="42"/>
  <c r="Y66" i="42"/>
  <c r="AE66" i="42"/>
  <c r="AT65" i="42"/>
  <c r="AL65" i="42"/>
  <c r="V66" i="42"/>
  <c r="R67" i="42"/>
  <c r="T68" i="38"/>
  <c r="AR67" i="42" l="1"/>
  <c r="S68" i="42"/>
  <c r="Q68" i="42"/>
  <c r="U68" i="42"/>
  <c r="L68" i="42"/>
  <c r="P68" i="42"/>
  <c r="N68" i="42"/>
  <c r="O69" i="42"/>
  <c r="M68" i="42"/>
  <c r="Q70" i="38"/>
  <c r="P70" i="38"/>
  <c r="O70" i="38"/>
  <c r="N70" i="38"/>
  <c r="M70" i="38"/>
  <c r="S70" i="38"/>
  <c r="L70" i="38"/>
  <c r="R70" i="38"/>
  <c r="K70" i="38"/>
  <c r="J70" i="38"/>
  <c r="AH67" i="42"/>
  <c r="AS67" i="42"/>
  <c r="Y67" i="42"/>
  <c r="AP67" i="42"/>
  <c r="AB67" i="42"/>
  <c r="AQ67" i="42"/>
  <c r="AE67" i="42"/>
  <c r="V67" i="42"/>
  <c r="T68" i="42"/>
  <c r="AL66" i="42"/>
  <c r="R68" i="42"/>
  <c r="T69" i="38"/>
  <c r="AT66" i="42"/>
  <c r="S69" i="42" l="1"/>
  <c r="L69" i="42"/>
  <c r="T69" i="42"/>
  <c r="P69" i="42"/>
  <c r="M69" i="42"/>
  <c r="N69" i="42"/>
  <c r="O71" i="38"/>
  <c r="N71" i="38"/>
  <c r="Q71" i="38"/>
  <c r="P71" i="38"/>
  <c r="L71" i="38"/>
  <c r="K71" i="38"/>
  <c r="R71" i="38"/>
  <c r="S71" i="38"/>
  <c r="J71" i="38"/>
  <c r="M71" i="38"/>
  <c r="Y68" i="42"/>
  <c r="AP68" i="42"/>
  <c r="AE68" i="42"/>
  <c r="AR68" i="42"/>
  <c r="AH68" i="42"/>
  <c r="AS68" i="42"/>
  <c r="AB68" i="42"/>
  <c r="AQ68" i="42"/>
  <c r="R69" i="42"/>
  <c r="T70" i="38"/>
  <c r="Q69" i="42"/>
  <c r="U69" i="42"/>
  <c r="AL67" i="42"/>
  <c r="V68" i="42"/>
  <c r="AT67" i="42"/>
  <c r="Q70" i="42" l="1"/>
  <c r="N70" i="42"/>
  <c r="S70" i="42"/>
  <c r="L70" i="42"/>
  <c r="T70" i="42"/>
  <c r="O70" i="42"/>
  <c r="P70" i="42"/>
  <c r="M70" i="42"/>
  <c r="N71" i="42"/>
  <c r="Q72" i="38"/>
  <c r="P72" i="38"/>
  <c r="O72" i="38"/>
  <c r="N72" i="38"/>
  <c r="M72" i="38"/>
  <c r="L72" i="38"/>
  <c r="J72" i="38"/>
  <c r="R72" i="38"/>
  <c r="S72" i="38"/>
  <c r="K72" i="38"/>
  <c r="AP69" i="42"/>
  <c r="AR69" i="42"/>
  <c r="AH69" i="42"/>
  <c r="AS69" i="42"/>
  <c r="AB69" i="42"/>
  <c r="AQ69" i="42"/>
  <c r="Y69" i="42"/>
  <c r="AE69" i="42"/>
  <c r="AL68" i="42"/>
  <c r="AT68" i="42"/>
  <c r="T71" i="38"/>
  <c r="V69" i="42"/>
  <c r="R70" i="42"/>
  <c r="U70" i="42"/>
  <c r="S71" i="42" l="1"/>
  <c r="U71" i="42"/>
  <c r="T71" i="42"/>
  <c r="Q71" i="42"/>
  <c r="M71" i="42"/>
  <c r="L71" i="42"/>
  <c r="O71" i="42"/>
  <c r="P71" i="42"/>
  <c r="M73" i="38"/>
  <c r="S73" i="38"/>
  <c r="R73" i="38"/>
  <c r="L73" i="38"/>
  <c r="K73" i="38"/>
  <c r="J73" i="38"/>
  <c r="Q73" i="38"/>
  <c r="N73" i="38"/>
  <c r="O73" i="38"/>
  <c r="P73" i="38"/>
  <c r="AE70" i="42"/>
  <c r="AR70" i="42"/>
  <c r="AH70" i="42"/>
  <c r="AS70" i="42"/>
  <c r="AB70" i="42"/>
  <c r="AQ70" i="42"/>
  <c r="Y70" i="42"/>
  <c r="AP70" i="42"/>
  <c r="AL69" i="42"/>
  <c r="R71" i="42"/>
  <c r="AT69" i="42"/>
  <c r="V70" i="42"/>
  <c r="T72" i="38"/>
  <c r="T72" i="42" l="1"/>
  <c r="P72" i="42"/>
  <c r="S72" i="42"/>
  <c r="U72" i="42"/>
  <c r="N72" i="42"/>
  <c r="O72" i="42"/>
  <c r="L72" i="42"/>
  <c r="N73" i="42"/>
  <c r="M72" i="42"/>
  <c r="S74" i="38"/>
  <c r="J74" i="38"/>
  <c r="M74" i="38"/>
  <c r="K74" i="38"/>
  <c r="R74" i="38"/>
  <c r="L74" i="38"/>
  <c r="N74" i="38"/>
  <c r="O74" i="38"/>
  <c r="P74" i="38"/>
  <c r="Q74" i="38"/>
  <c r="AP71" i="42"/>
  <c r="AQ71" i="42"/>
  <c r="AH71" i="42"/>
  <c r="AS71" i="42"/>
  <c r="AE71" i="42"/>
  <c r="AR71" i="42"/>
  <c r="Y71" i="42"/>
  <c r="R72" i="42"/>
  <c r="AB71" i="42"/>
  <c r="V71" i="42"/>
  <c r="AL70" i="42"/>
  <c r="AT70" i="42"/>
  <c r="Q72" i="42"/>
  <c r="T73" i="38"/>
  <c r="S73" i="42" l="1"/>
  <c r="Q73" i="42"/>
  <c r="T73" i="42"/>
  <c r="M73" i="42"/>
  <c r="L74" i="42"/>
  <c r="L73" i="42"/>
  <c r="P73" i="42"/>
  <c r="AR73" i="42" s="1"/>
  <c r="O73" i="42"/>
  <c r="Q75" i="38"/>
  <c r="N75" i="38"/>
  <c r="P75" i="38"/>
  <c r="O75" i="38"/>
  <c r="J75" i="38"/>
  <c r="K75" i="38"/>
  <c r="R75" i="38"/>
  <c r="L75" i="38"/>
  <c r="N74" i="42" s="1"/>
  <c r="M75" i="38"/>
  <c r="S75" i="38"/>
  <c r="AR72" i="42"/>
  <c r="AQ72" i="42"/>
  <c r="Y72" i="42"/>
  <c r="AP72" i="42"/>
  <c r="AH72" i="42"/>
  <c r="AS72" i="42"/>
  <c r="R73" i="42"/>
  <c r="AE72" i="42"/>
  <c r="AB72" i="42"/>
  <c r="U73" i="42"/>
  <c r="V72" i="42"/>
  <c r="AT71" i="42"/>
  <c r="AL71" i="42"/>
  <c r="T74" i="38"/>
  <c r="Q74" i="42" l="1"/>
  <c r="U74" i="42"/>
  <c r="P74" i="42"/>
  <c r="O74" i="42"/>
  <c r="M74" i="42"/>
  <c r="O76" i="38"/>
  <c r="N76" i="38"/>
  <c r="Q76" i="38"/>
  <c r="P76" i="38"/>
  <c r="S76" i="38"/>
  <c r="M76" i="38"/>
  <c r="R76" i="38"/>
  <c r="K76" i="38"/>
  <c r="L76" i="38"/>
  <c r="J76" i="38"/>
  <c r="AQ73" i="42"/>
  <c r="AP73" i="42"/>
  <c r="AH73" i="42"/>
  <c r="AS73" i="42"/>
  <c r="AB73" i="42"/>
  <c r="R74" i="42"/>
  <c r="AE73" i="42"/>
  <c r="Y73" i="42"/>
  <c r="V73" i="42"/>
  <c r="T74" i="42"/>
  <c r="T75" i="38"/>
  <c r="AT72" i="42"/>
  <c r="AL72" i="42"/>
  <c r="S74" i="42"/>
  <c r="U75" i="42" l="1"/>
  <c r="S75" i="42"/>
  <c r="N75" i="42"/>
  <c r="Q75" i="42"/>
  <c r="L75" i="42"/>
  <c r="P75" i="42"/>
  <c r="M75" i="42"/>
  <c r="O75" i="42"/>
  <c r="M77" i="38"/>
  <c r="R77" i="38"/>
  <c r="L77" i="38"/>
  <c r="S77" i="38"/>
  <c r="J77" i="38"/>
  <c r="L76" i="42" s="1"/>
  <c r="K77" i="38"/>
  <c r="M76" i="42" s="1"/>
  <c r="Q77" i="38"/>
  <c r="P77" i="38"/>
  <c r="N77" i="38"/>
  <c r="O77" i="38"/>
  <c r="AP74" i="42"/>
  <c r="AQ74" i="42"/>
  <c r="AE74" i="42"/>
  <c r="AR74" i="42"/>
  <c r="AS74" i="42"/>
  <c r="AB74" i="42"/>
  <c r="AH74" i="42"/>
  <c r="Y74" i="42"/>
  <c r="AT73" i="42"/>
  <c r="AL73" i="42"/>
  <c r="T76" i="38"/>
  <c r="T75" i="42"/>
  <c r="V74" i="42"/>
  <c r="R75" i="42"/>
  <c r="AS75" i="42" l="1"/>
  <c r="T76" i="42"/>
  <c r="Q76" i="42"/>
  <c r="S76" i="42"/>
  <c r="U76" i="42"/>
  <c r="N76" i="42"/>
  <c r="O76" i="42"/>
  <c r="P76" i="42"/>
  <c r="S78" i="38"/>
  <c r="U77" i="42" s="1"/>
  <c r="R78" i="38"/>
  <c r="T77" i="42" s="1"/>
  <c r="L78" i="38"/>
  <c r="N77" i="42" s="1"/>
  <c r="K78" i="38"/>
  <c r="J78" i="38"/>
  <c r="M78" i="38"/>
  <c r="N78" i="38"/>
  <c r="P77" i="42" s="1"/>
  <c r="Q78" i="38"/>
  <c r="S77" i="42" s="1"/>
  <c r="O78" i="38"/>
  <c r="Q77" i="42" s="1"/>
  <c r="P78" i="38"/>
  <c r="AP75" i="42"/>
  <c r="AQ75" i="42"/>
  <c r="AE75" i="42"/>
  <c r="AR75" i="42"/>
  <c r="Y75" i="42"/>
  <c r="AH75" i="42"/>
  <c r="AB75" i="42"/>
  <c r="T77" i="38"/>
  <c r="V75" i="42"/>
  <c r="AL74" i="42"/>
  <c r="R76" i="42"/>
  <c r="AT74" i="42"/>
  <c r="L77" i="42" l="1"/>
  <c r="M77" i="42"/>
  <c r="O77" i="42"/>
  <c r="AB76" i="42"/>
  <c r="AQ76" i="42"/>
  <c r="AE76" i="42"/>
  <c r="AR76" i="42"/>
  <c r="AH76" i="42"/>
  <c r="AS76" i="42"/>
  <c r="Y76" i="42"/>
  <c r="AP76" i="42"/>
  <c r="V76" i="42"/>
  <c r="T78" i="38"/>
  <c r="AL75" i="42"/>
  <c r="AT75" i="42"/>
  <c r="R77" i="42"/>
  <c r="AP77" i="42" l="1"/>
  <c r="AP6" i="42" s="1"/>
  <c r="AH77" i="42"/>
  <c r="AH6" i="42" s="1"/>
  <c r="AS77" i="42"/>
  <c r="AS6" i="42" s="1"/>
  <c r="AE77" i="42"/>
  <c r="AE6" i="42" s="1"/>
  <c r="AR77" i="42"/>
  <c r="AR6" i="42" s="1"/>
  <c r="AB77" i="42"/>
  <c r="AB6" i="42" s="1"/>
  <c r="AQ77" i="42"/>
  <c r="AQ6" i="42" s="1"/>
  <c r="Y77" i="42"/>
  <c r="Y6" i="42" s="1"/>
  <c r="AL76" i="42"/>
  <c r="AT76" i="42"/>
  <c r="V77" i="42"/>
  <c r="AL77" i="42" l="1"/>
  <c r="AL6" i="42" s="1"/>
  <c r="AT77" i="42"/>
  <c r="AT6" i="42" s="1"/>
  <c r="D11" i="6" l="1"/>
  <c r="C11" i="6"/>
  <c r="E16" i="6" s="1"/>
  <c r="F10" i="6" l="1"/>
  <c r="F16" i="6"/>
  <c r="G16" i="6" s="1"/>
  <c r="E10" i="6"/>
  <c r="G10" i="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tc={D8CCBAC0-AB50-43F8-B6C3-286B22868CFF}</author>
  </authors>
  <commentList>
    <comment ref="I103" authorId="0" shapeId="0" xr:uid="{00000000-0006-0000-1000-00000300000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100세 이상은 모두 1로 가정</t>
      </text>
    </comment>
  </commentList>
</comments>
</file>

<file path=xl/sharedStrings.xml><?xml version="1.0" encoding="utf-8"?>
<sst xmlns="http://schemas.openxmlformats.org/spreadsheetml/2006/main" count="979" uniqueCount="438">
  <si>
    <t>age</t>
  </si>
  <si>
    <t>table_MCI_to_Mild</t>
    <phoneticPr fontId="1" type="noConversion"/>
  </si>
  <si>
    <t>table_Mild_to_MCI</t>
    <phoneticPr fontId="1" type="noConversion"/>
  </si>
  <si>
    <t>table_Mild_to_Moderate</t>
    <phoneticPr fontId="1" type="noConversion"/>
  </si>
  <si>
    <t>table_Moderate_to_Mild</t>
    <phoneticPr fontId="1" type="noConversion"/>
  </si>
  <si>
    <t>table_Mild_to_Severe</t>
    <phoneticPr fontId="1" type="noConversion"/>
  </si>
  <si>
    <t>table_Moderate_to_Severe</t>
    <phoneticPr fontId="1" type="noConversion"/>
  </si>
  <si>
    <t>table_Severe_to_Moderate</t>
    <phoneticPr fontId="1" type="noConversion"/>
  </si>
  <si>
    <t>table_mort_MCI</t>
    <phoneticPr fontId="1" type="noConversion"/>
  </si>
  <si>
    <t>table_mort_Mild</t>
    <phoneticPr fontId="1" type="noConversion"/>
  </si>
  <si>
    <t>table_mort_Moderate</t>
    <phoneticPr fontId="1" type="noConversion"/>
  </si>
  <si>
    <t>table_mort_Severe</t>
    <phoneticPr fontId="1" type="noConversion"/>
  </si>
  <si>
    <t>die MCI</t>
    <phoneticPr fontId="1" type="noConversion"/>
  </si>
  <si>
    <t>die Mild</t>
    <phoneticPr fontId="1" type="noConversion"/>
  </si>
  <si>
    <t>die Moderate</t>
    <phoneticPr fontId="1" type="noConversion"/>
  </si>
  <si>
    <t>die Severe</t>
    <phoneticPr fontId="1" type="noConversion"/>
  </si>
  <si>
    <t>Probability of death</t>
    <phoneticPr fontId="1" type="noConversion"/>
  </si>
  <si>
    <t>MCI Due to AD</t>
    <phoneticPr fontId="1" type="noConversion"/>
  </si>
  <si>
    <t>Mild AD</t>
    <phoneticPr fontId="1" type="noConversion"/>
  </si>
  <si>
    <t>Moderate AD</t>
    <phoneticPr fontId="1" type="noConversion"/>
  </si>
  <si>
    <t>Severe AD</t>
    <phoneticPr fontId="1" type="noConversion"/>
  </si>
  <si>
    <t>Value</t>
    <phoneticPr fontId="1" type="noConversion"/>
  </si>
  <si>
    <t>MCI</t>
    <phoneticPr fontId="1" type="noConversion"/>
  </si>
  <si>
    <t>Mild</t>
    <phoneticPr fontId="1" type="noConversion"/>
  </si>
  <si>
    <t>Moderate</t>
    <phoneticPr fontId="1" type="noConversion"/>
  </si>
  <si>
    <t>Severe</t>
    <phoneticPr fontId="1" type="noConversion"/>
  </si>
  <si>
    <t>Health state distribution</t>
  </si>
  <si>
    <t>Costs</t>
  </si>
  <si>
    <t>QALYs</t>
  </si>
  <si>
    <t>dead</t>
  </si>
  <si>
    <t>mortality risks</t>
  </si>
  <si>
    <t>health care</t>
  </si>
  <si>
    <t>consumption</t>
  </si>
  <si>
    <t>prodloss</t>
  </si>
  <si>
    <t>TOTAL</t>
  </si>
  <si>
    <t>cycle</t>
  </si>
  <si>
    <t>model value</t>
  </si>
  <si>
    <t>mean value</t>
  </si>
  <si>
    <t>se</t>
  </si>
  <si>
    <t>alpha</t>
  </si>
  <si>
    <t>beta</t>
  </si>
  <si>
    <t>distribution</t>
  </si>
  <si>
    <t>formula</t>
  </si>
  <si>
    <t>Start age</t>
  </si>
  <si>
    <r>
      <t xml:space="preserve">Costs </t>
    </r>
    <r>
      <rPr>
        <b/>
        <sz val="10"/>
        <color theme="1"/>
        <rFont val="맑은 고딕"/>
        <family val="2"/>
        <scheme val="minor"/>
      </rPr>
      <t>(annual costs per patient)</t>
    </r>
  </si>
  <si>
    <t>gamma</t>
  </si>
  <si>
    <t>Utilities</t>
  </si>
  <si>
    <t>Treatment effect</t>
  </si>
  <si>
    <t>Discount rates</t>
  </si>
  <si>
    <t>discount rate costs</t>
  </si>
  <si>
    <t>disc_rate_costs</t>
  </si>
  <si>
    <t>discount rate effects</t>
  </si>
  <si>
    <t>disc_rate_effects</t>
  </si>
  <si>
    <t>c_lecanemab</t>
    <phoneticPr fontId="1" type="noConversion"/>
  </si>
  <si>
    <t>cost of Lecanemab</t>
    <phoneticPr fontId="1" type="noConversion"/>
  </si>
  <si>
    <t>model type</t>
  </si>
  <si>
    <t>age group</t>
  </si>
  <si>
    <t>time horizon</t>
  </si>
  <si>
    <t>perspective</t>
  </si>
  <si>
    <t>Incremental</t>
  </si>
  <si>
    <t>ICER</t>
  </si>
  <si>
    <t>model_type</t>
  </si>
  <si>
    <t>deterministic</t>
  </si>
  <si>
    <t>probabilistic</t>
  </si>
  <si>
    <t>age_group</t>
  </si>
  <si>
    <t>start_age</t>
  </si>
  <si>
    <t>time_horizon</t>
  </si>
  <si>
    <t>1y</t>
  </si>
  <si>
    <t>5y</t>
  </si>
  <si>
    <t>10y</t>
  </si>
  <si>
    <t>lifetime</t>
  </si>
  <si>
    <t>health care payer</t>
  </si>
  <si>
    <t>societal</t>
  </si>
  <si>
    <t>Lecanemab</t>
    <phoneticPr fontId="1" type="noConversion"/>
  </si>
  <si>
    <t>Costs</t>
    <phoneticPr fontId="1" type="noConversion"/>
  </si>
  <si>
    <t>(Cost/QALY)</t>
    <phoneticPr fontId="1" type="noConversion"/>
  </si>
  <si>
    <t>No treatment</t>
    <phoneticPr fontId="1" type="noConversion"/>
  </si>
  <si>
    <t>wtp</t>
  </si>
  <si>
    <t>incremental</t>
  </si>
  <si>
    <t>iteration</t>
  </si>
  <si>
    <t>cost</t>
  </si>
  <si>
    <t>60y</t>
    <phoneticPr fontId="1" type="noConversion"/>
  </si>
  <si>
    <t>65y</t>
    <phoneticPr fontId="1" type="noConversion"/>
  </si>
  <si>
    <t>70y</t>
    <phoneticPr fontId="1" type="noConversion"/>
  </si>
  <si>
    <t>75y</t>
    <phoneticPr fontId="1" type="noConversion"/>
  </si>
  <si>
    <t>Lecanemab plus supportive care vs supportive care for Alzheimer's disease</t>
    <phoneticPr fontId="13" type="noConversion"/>
  </si>
  <si>
    <t>연령별</t>
  </si>
  <si>
    <t>2021</t>
  </si>
  <si>
    <t>0세</t>
  </si>
  <si>
    <t>1세</t>
  </si>
  <si>
    <t>2세</t>
  </si>
  <si>
    <t>3세</t>
  </si>
  <si>
    <t>4세</t>
  </si>
  <si>
    <t>5세</t>
  </si>
  <si>
    <t>6세</t>
  </si>
  <si>
    <t>7세</t>
  </si>
  <si>
    <t>8세</t>
  </si>
  <si>
    <t>9세</t>
  </si>
  <si>
    <t>10세</t>
  </si>
  <si>
    <t>11세</t>
  </si>
  <si>
    <t>12세</t>
  </si>
  <si>
    <t>13세</t>
  </si>
  <si>
    <t>14세</t>
  </si>
  <si>
    <t>15세</t>
  </si>
  <si>
    <t>16세</t>
  </si>
  <si>
    <t>17세</t>
  </si>
  <si>
    <t>18세</t>
  </si>
  <si>
    <t>19세</t>
  </si>
  <si>
    <t>20세</t>
  </si>
  <si>
    <t>21세</t>
  </si>
  <si>
    <t>22세</t>
  </si>
  <si>
    <t>23세</t>
  </si>
  <si>
    <t>24세</t>
  </si>
  <si>
    <t>25세</t>
  </si>
  <si>
    <t>26세</t>
  </si>
  <si>
    <t>27세</t>
  </si>
  <si>
    <t>28세</t>
  </si>
  <si>
    <t>29세</t>
  </si>
  <si>
    <t>30세</t>
  </si>
  <si>
    <t>31세</t>
  </si>
  <si>
    <t>32세</t>
  </si>
  <si>
    <t>33세</t>
  </si>
  <si>
    <t>34세</t>
  </si>
  <si>
    <t>35세</t>
  </si>
  <si>
    <t>36세</t>
  </si>
  <si>
    <t>37세</t>
  </si>
  <si>
    <t>38세</t>
  </si>
  <si>
    <t>39세</t>
  </si>
  <si>
    <t>40세</t>
  </si>
  <si>
    <t>41세</t>
  </si>
  <si>
    <t>42세</t>
  </si>
  <si>
    <t>43세</t>
  </si>
  <si>
    <t>44세</t>
  </si>
  <si>
    <t>45세</t>
  </si>
  <si>
    <t>46세</t>
  </si>
  <si>
    <t>47세</t>
  </si>
  <si>
    <t>48세</t>
  </si>
  <si>
    <t>49세</t>
  </si>
  <si>
    <t>50세</t>
  </si>
  <si>
    <t>51세</t>
  </si>
  <si>
    <t>52세</t>
  </si>
  <si>
    <t>53세</t>
  </si>
  <si>
    <t>54세</t>
  </si>
  <si>
    <t>55세</t>
  </si>
  <si>
    <t>56세</t>
  </si>
  <si>
    <t>57세</t>
  </si>
  <si>
    <t>58세</t>
  </si>
  <si>
    <t>59세</t>
  </si>
  <si>
    <t>60세</t>
  </si>
  <si>
    <t>61세</t>
  </si>
  <si>
    <t>62세</t>
  </si>
  <si>
    <t>63세</t>
  </si>
  <si>
    <t>64세</t>
  </si>
  <si>
    <t>65세</t>
  </si>
  <si>
    <t>66세</t>
  </si>
  <si>
    <t>67세</t>
  </si>
  <si>
    <t>68세</t>
  </si>
  <si>
    <t>69세</t>
  </si>
  <si>
    <t>70세</t>
  </si>
  <si>
    <t>71세</t>
  </si>
  <si>
    <t>72세</t>
  </si>
  <si>
    <t>73세</t>
  </si>
  <si>
    <t>74세</t>
  </si>
  <si>
    <t>75세</t>
  </si>
  <si>
    <t>76세</t>
  </si>
  <si>
    <t>77세</t>
  </si>
  <si>
    <t>78세</t>
  </si>
  <si>
    <t>79세</t>
  </si>
  <si>
    <t>80세</t>
  </si>
  <si>
    <t>81세</t>
  </si>
  <si>
    <t>82세</t>
  </si>
  <si>
    <t>83세</t>
  </si>
  <si>
    <t>84세</t>
  </si>
  <si>
    <t>85세</t>
  </si>
  <si>
    <t>86세</t>
  </si>
  <si>
    <t>87세</t>
  </si>
  <si>
    <t>88세</t>
  </si>
  <si>
    <t>89세</t>
  </si>
  <si>
    <t>90세</t>
  </si>
  <si>
    <t>91세</t>
  </si>
  <si>
    <t>92세</t>
  </si>
  <si>
    <t>93세</t>
  </si>
  <si>
    <t>94세</t>
  </si>
  <si>
    <t>95세</t>
  </si>
  <si>
    <t>96세</t>
  </si>
  <si>
    <t>97세</t>
  </si>
  <si>
    <t>98세</t>
  </si>
  <si>
    <t>99세</t>
  </si>
  <si>
    <t>100세이상</t>
  </si>
  <si>
    <t>Community</t>
    <phoneticPr fontId="1" type="noConversion"/>
  </si>
  <si>
    <t>LTC</t>
    <phoneticPr fontId="1" type="noConversion"/>
  </si>
  <si>
    <t>Total</t>
    <phoneticPr fontId="1" type="noConversion"/>
  </si>
  <si>
    <t>Discontinuation rate</t>
    <phoneticPr fontId="1" type="noConversion"/>
  </si>
  <si>
    <t>DC_rate_trt</t>
    <phoneticPr fontId="1" type="noConversion"/>
  </si>
  <si>
    <t>Healthcare perspective</t>
    <phoneticPr fontId="1" type="noConversion"/>
  </si>
  <si>
    <t>Societal perspective</t>
    <phoneticPr fontId="1" type="noConversion"/>
  </si>
  <si>
    <t>Drug acquisition costs</t>
    <phoneticPr fontId="1" type="noConversion"/>
  </si>
  <si>
    <t>Intervention costs</t>
    <phoneticPr fontId="1" type="noConversion"/>
  </si>
  <si>
    <t>Health care system costs</t>
    <phoneticPr fontId="1" type="noConversion"/>
  </si>
  <si>
    <t>Monitoring costs</t>
    <phoneticPr fontId="1" type="noConversion"/>
  </si>
  <si>
    <t>Adverse event costs</t>
    <phoneticPr fontId="1" type="noConversion"/>
  </si>
  <si>
    <t>Administration costs</t>
    <phoneticPr fontId="1" type="noConversion"/>
  </si>
  <si>
    <t>조건</t>
    <phoneticPr fontId="1" type="noConversion"/>
  </si>
  <si>
    <t>MCI</t>
    <phoneticPr fontId="1" type="noConversion"/>
  </si>
  <si>
    <t>Mild</t>
    <phoneticPr fontId="1" type="noConversion"/>
  </si>
  <si>
    <t>Moderate</t>
    <phoneticPr fontId="1" type="noConversion"/>
  </si>
  <si>
    <t>Severe</t>
    <phoneticPr fontId="1" type="noConversion"/>
  </si>
  <si>
    <t>Com_MCI</t>
    <phoneticPr fontId="1" type="noConversion"/>
  </si>
  <si>
    <t>Com_Mild</t>
    <phoneticPr fontId="1" type="noConversion"/>
  </si>
  <si>
    <t>Com_Moderate</t>
    <phoneticPr fontId="1" type="noConversion"/>
  </si>
  <si>
    <t>Com_Severe</t>
    <phoneticPr fontId="1" type="noConversion"/>
  </si>
  <si>
    <t>LTC_MCI</t>
    <phoneticPr fontId="1" type="noConversion"/>
  </si>
  <si>
    <t>LTC_Mild</t>
    <phoneticPr fontId="1" type="noConversion"/>
  </si>
  <si>
    <t>LTC_Moderate</t>
    <phoneticPr fontId="1" type="noConversion"/>
  </si>
  <si>
    <t>LTC_Severe</t>
    <phoneticPr fontId="1" type="noConversion"/>
  </si>
  <si>
    <t>Non-intervention costs</t>
    <phoneticPr fontId="1" type="noConversion"/>
  </si>
  <si>
    <t>cost of Monitoring</t>
    <phoneticPr fontId="1" type="noConversion"/>
  </si>
  <si>
    <t>c_monitoring</t>
    <phoneticPr fontId="1" type="noConversion"/>
  </si>
  <si>
    <t>cost of administration</t>
    <phoneticPr fontId="1" type="noConversion"/>
  </si>
  <si>
    <t>c_administration</t>
    <phoneticPr fontId="1" type="noConversion"/>
  </si>
  <si>
    <t>Trt related</t>
    <phoneticPr fontId="1" type="noConversion"/>
  </si>
  <si>
    <t>cost of adverse event</t>
    <phoneticPr fontId="1" type="noConversion"/>
  </si>
  <si>
    <t>c_AE</t>
    <phoneticPr fontId="1" type="noConversion"/>
  </si>
  <si>
    <t>costs_Community_MCI</t>
    <phoneticPr fontId="1" type="noConversion"/>
  </si>
  <si>
    <t>costs_Community_Mild</t>
    <phoneticPr fontId="1" type="noConversion"/>
  </si>
  <si>
    <t>costs_Community_Moderate</t>
    <phoneticPr fontId="1" type="noConversion"/>
  </si>
  <si>
    <t>costs_Community_Severe</t>
    <phoneticPr fontId="1" type="noConversion"/>
  </si>
  <si>
    <t>costs_LTC_MCI</t>
    <phoneticPr fontId="1" type="noConversion"/>
  </si>
  <si>
    <t>costs_LTC_Mild</t>
    <phoneticPr fontId="1" type="noConversion"/>
  </si>
  <si>
    <t>costs_LTC_Moderate</t>
    <phoneticPr fontId="1" type="noConversion"/>
  </si>
  <si>
    <t>costs_LTC_Severe</t>
    <phoneticPr fontId="1" type="noConversion"/>
  </si>
  <si>
    <t>c_Com_MCI</t>
    <phoneticPr fontId="1" type="noConversion"/>
  </si>
  <si>
    <t>c_Com_Mild</t>
    <phoneticPr fontId="1" type="noConversion"/>
  </si>
  <si>
    <t>c_Com_Moderate</t>
    <phoneticPr fontId="1" type="noConversion"/>
  </si>
  <si>
    <t>c_Com_Severe</t>
    <phoneticPr fontId="1" type="noConversion"/>
  </si>
  <si>
    <t>c_LTC_MCI</t>
    <phoneticPr fontId="1" type="noConversion"/>
  </si>
  <si>
    <t>c_LTC_Mild</t>
    <phoneticPr fontId="1" type="noConversion"/>
  </si>
  <si>
    <t>c_LTC_Moderate</t>
    <phoneticPr fontId="1" type="noConversion"/>
  </si>
  <si>
    <t>c_LTC_Severe</t>
    <phoneticPr fontId="1" type="noConversion"/>
  </si>
  <si>
    <t>71y</t>
    <phoneticPr fontId="1" type="noConversion"/>
  </si>
  <si>
    <t>Patient Disutility Estimates</t>
    <phoneticPr fontId="1" type="noConversion"/>
  </si>
  <si>
    <t>Parameter</t>
    <phoneticPr fontId="1" type="noConversion"/>
  </si>
  <si>
    <t>Commmunity Setting</t>
    <phoneticPr fontId="1" type="noConversion"/>
  </si>
  <si>
    <t>LTC Setting</t>
    <phoneticPr fontId="1" type="noConversion"/>
  </si>
  <si>
    <t>Caregiver Disutility Estimates</t>
    <phoneticPr fontId="1" type="noConversion"/>
  </si>
  <si>
    <t>Provider-administered mark-up</t>
    <phoneticPr fontId="1" type="noConversion"/>
  </si>
  <si>
    <t>%</t>
    <phoneticPr fontId="1" type="noConversion"/>
  </si>
  <si>
    <t>C_Com_MCI</t>
    <phoneticPr fontId="1" type="noConversion"/>
  </si>
  <si>
    <t>C_Com_Mild</t>
    <phoneticPr fontId="1" type="noConversion"/>
  </si>
  <si>
    <t>C_Com_Moderate</t>
    <phoneticPr fontId="1" type="noConversion"/>
  </si>
  <si>
    <t>C_Com_Severe</t>
    <phoneticPr fontId="1" type="noConversion"/>
  </si>
  <si>
    <t>C_LTC_MCI</t>
    <phoneticPr fontId="1" type="noConversion"/>
  </si>
  <si>
    <t>C_LTC_Mild</t>
    <phoneticPr fontId="1" type="noConversion"/>
  </si>
  <si>
    <t>C_LTC_Moderate</t>
    <phoneticPr fontId="1" type="noConversion"/>
  </si>
  <si>
    <t>C_LTC_Severe</t>
    <phoneticPr fontId="1" type="noConversion"/>
  </si>
  <si>
    <t>table_MCI_to_MCI</t>
    <phoneticPr fontId="1" type="noConversion"/>
  </si>
  <si>
    <t>table_Mild_to_Mild</t>
    <phoneticPr fontId="1" type="noConversion"/>
  </si>
  <si>
    <t>table_Moderate_to_Moderate</t>
    <phoneticPr fontId="1" type="noConversion"/>
  </si>
  <si>
    <t>table_Severe_to_Severe</t>
    <phoneticPr fontId="1" type="noConversion"/>
  </si>
  <si>
    <t>`</t>
    <phoneticPr fontId="1" type="noConversion"/>
  </si>
  <si>
    <t>MCI</t>
    <phoneticPr fontId="1" type="noConversion"/>
  </si>
  <si>
    <t>Mild</t>
    <phoneticPr fontId="1" type="noConversion"/>
  </si>
  <si>
    <t>Moderate</t>
    <phoneticPr fontId="1" type="noConversion"/>
  </si>
  <si>
    <t>Community</t>
    <phoneticPr fontId="1" type="noConversion"/>
  </si>
  <si>
    <t>LTC</t>
    <phoneticPr fontId="1" type="noConversion"/>
  </si>
  <si>
    <t>Severe</t>
    <phoneticPr fontId="1" type="noConversion"/>
  </si>
  <si>
    <t>Death</t>
    <phoneticPr fontId="1" type="noConversion"/>
  </si>
  <si>
    <t>Check</t>
    <phoneticPr fontId="1" type="noConversion"/>
  </si>
  <si>
    <t>Without D/C</t>
    <phoneticPr fontId="1" type="noConversion"/>
  </si>
  <si>
    <t>D/C</t>
    <phoneticPr fontId="1" type="noConversion"/>
  </si>
  <si>
    <t>t+1</t>
  </si>
  <si>
    <t>t</t>
  </si>
  <si>
    <t>MCI/Com</t>
  </si>
  <si>
    <t>MCI/NH</t>
  </si>
  <si>
    <t>Mild/Com</t>
  </si>
  <si>
    <t>Mild/NH</t>
  </si>
  <si>
    <t>Mod/Com</t>
  </si>
  <si>
    <t>Mod/NH</t>
  </si>
  <si>
    <t>Sev/Com</t>
  </si>
  <si>
    <t>Sev/NH</t>
  </si>
  <si>
    <t>Age &amp; Sex adjusted mortality -&gt; converted to probability</t>
    <phoneticPr fontId="1" type="noConversion"/>
  </si>
  <si>
    <t>D/C: 일반적으로 치료제의 효과가 없었다고 가정</t>
    <phoneticPr fontId="1" type="noConversion"/>
  </si>
  <si>
    <t>ICER</t>
    <phoneticPr fontId="1" type="noConversion"/>
  </si>
  <si>
    <t>Age</t>
    <phoneticPr fontId="1" type="noConversion"/>
  </si>
  <si>
    <t>px</t>
    <phoneticPr fontId="1" type="noConversion"/>
  </si>
  <si>
    <t>qx</t>
    <phoneticPr fontId="1" type="noConversion"/>
  </si>
  <si>
    <t>rx</t>
    <phoneticPr fontId="1" type="noConversion"/>
  </si>
  <si>
    <t>sx</t>
    <phoneticPr fontId="1" type="noConversion"/>
  </si>
  <si>
    <t>Com</t>
    <phoneticPr fontId="1" type="noConversion"/>
  </si>
  <si>
    <t>NH</t>
    <phoneticPr fontId="1" type="noConversion"/>
  </si>
  <si>
    <t>Total</t>
    <phoneticPr fontId="1" type="noConversion"/>
  </si>
  <si>
    <t>Stage transition matrix</t>
    <phoneticPr fontId="1" type="noConversion"/>
  </si>
  <si>
    <t>t+1</t>
    <phoneticPr fontId="1" type="noConversion"/>
  </si>
  <si>
    <t>t</t>
    <phoneticPr fontId="1" type="noConversion"/>
  </si>
  <si>
    <t>Dead</t>
    <phoneticPr fontId="1" type="noConversion"/>
  </si>
  <si>
    <t>Sum</t>
    <phoneticPr fontId="1" type="noConversion"/>
  </si>
  <si>
    <t>Com to NH</t>
    <phoneticPr fontId="1" type="noConversion"/>
  </si>
  <si>
    <t>1+px</t>
    <phoneticPr fontId="1" type="noConversion"/>
  </si>
  <si>
    <t>1+qx</t>
    <phoneticPr fontId="1" type="noConversion"/>
  </si>
  <si>
    <t>1+rx</t>
    <phoneticPr fontId="1" type="noConversion"/>
  </si>
  <si>
    <t>1+sx</t>
    <phoneticPr fontId="1" type="noConversion"/>
  </si>
  <si>
    <t>Dead/Com</t>
    <phoneticPr fontId="1" type="noConversion"/>
  </si>
  <si>
    <t>Dead/NH</t>
    <phoneticPr fontId="1" type="noConversion"/>
  </si>
  <si>
    <t>Stage and setting transition matrix: Trt effect applied(0-1 cycle)</t>
    <phoneticPr fontId="1" type="noConversion"/>
  </si>
  <si>
    <t>Clinically normal</t>
    <phoneticPr fontId="1" type="noConversion"/>
  </si>
  <si>
    <t>Patient Utility Estimates</t>
    <phoneticPr fontId="1" type="noConversion"/>
  </si>
  <si>
    <t>Caregiver Utility Estimates</t>
    <phoneticPr fontId="1" type="noConversion"/>
  </si>
  <si>
    <t>Lecanemab+SoC</t>
    <phoneticPr fontId="1" type="noConversion"/>
  </si>
  <si>
    <t>SoC</t>
    <phoneticPr fontId="1" type="noConversion"/>
  </si>
  <si>
    <t>N</t>
  </si>
  <si>
    <t>N</t>
    <phoneticPr fontId="1" type="noConversion"/>
  </si>
  <si>
    <t>SD</t>
  </si>
  <si>
    <t>SD</t>
    <phoneticPr fontId="1" type="noConversion"/>
  </si>
  <si>
    <t>SE</t>
  </si>
  <si>
    <t>SE</t>
    <phoneticPr fontId="1" type="noConversion"/>
  </si>
  <si>
    <t>Mean</t>
  </si>
  <si>
    <t>Mean</t>
    <phoneticPr fontId="1" type="noConversion"/>
  </si>
  <si>
    <t>Mean(Combined)</t>
    <phoneticPr fontId="1" type="noConversion"/>
  </si>
  <si>
    <t>utility_Community_MCI</t>
  </si>
  <si>
    <t>utility_Community_Mild</t>
  </si>
  <si>
    <t>utility_Community_Moderate</t>
  </si>
  <si>
    <t>utility_Community_Severe</t>
  </si>
  <si>
    <t>utility_LTC_MCI</t>
  </si>
  <si>
    <t>utility_LTC_Mild</t>
  </si>
  <si>
    <t>utility_LTC_Moderate</t>
  </si>
  <si>
    <t>utility_LTC_Severe</t>
  </si>
  <si>
    <t>U_Com_MCI</t>
  </si>
  <si>
    <t>U_Com_Mild</t>
  </si>
  <si>
    <t>U_Com_Moderate</t>
  </si>
  <si>
    <t>U_Com_Severe</t>
  </si>
  <si>
    <t>U_LTC_MCI</t>
  </si>
  <si>
    <t>U_LTC_Mild</t>
  </si>
  <si>
    <t>U_LTC_Moderate</t>
  </si>
  <si>
    <t>U_LTC_Severe</t>
  </si>
  <si>
    <t>Healthcare persepective</t>
  </si>
  <si>
    <t>Societal perspective</t>
  </si>
  <si>
    <t>WTP</t>
    <phoneticPr fontId="1" type="noConversion"/>
  </si>
  <si>
    <t>Threshold</t>
    <phoneticPr fontId="1" type="noConversion"/>
  </si>
  <si>
    <t>threshold</t>
    <phoneticPr fontId="1" type="noConversion"/>
  </si>
  <si>
    <t>threshold</t>
    <phoneticPr fontId="1" type="noConversion"/>
  </si>
  <si>
    <t>ICER Thresholds</t>
    <phoneticPr fontId="1" type="noConversion"/>
  </si>
  <si>
    <t>LEC+SoC</t>
    <phoneticPr fontId="1" type="noConversion"/>
  </si>
  <si>
    <t>SoC</t>
    <phoneticPr fontId="1" type="noConversion"/>
  </si>
  <si>
    <t>ICER</t>
    <phoneticPr fontId="1" type="noConversion"/>
  </si>
  <si>
    <t>Prob CE</t>
    <phoneticPr fontId="1" type="noConversion"/>
  </si>
  <si>
    <t>Healthcare perspective</t>
  </si>
  <si>
    <t>lower limit</t>
  </si>
  <si>
    <t>mean</t>
  </si>
  <si>
    <t>upper limit</t>
  </si>
  <si>
    <t>Discount rate (0%-5%)</t>
    <phoneticPr fontId="1" type="noConversion"/>
  </si>
  <si>
    <t>Discontinuation rate (10%-20%)</t>
    <phoneticPr fontId="1" type="noConversion"/>
  </si>
  <si>
    <t>Mortality HR - MCI (±20%)</t>
    <phoneticPr fontId="1" type="noConversion"/>
  </si>
  <si>
    <t>Mortality HR - Mild (±20%)</t>
    <phoneticPr fontId="1" type="noConversion"/>
  </si>
  <si>
    <t>Mortality HR - Moderate (±20%)</t>
    <phoneticPr fontId="1" type="noConversion"/>
  </si>
  <si>
    <t>Mortality HR - Severe (±20%)</t>
    <phoneticPr fontId="1" type="noConversion"/>
  </si>
  <si>
    <t>Institutionalization Risk - MCI (±20%)</t>
    <phoneticPr fontId="1" type="noConversion"/>
  </si>
  <si>
    <t>Institutionalization Risk - Mild (±20%)</t>
    <phoneticPr fontId="1" type="noConversion"/>
  </si>
  <si>
    <t>Institutionalization Risk - Moderate (±20%)</t>
    <phoneticPr fontId="1" type="noConversion"/>
  </si>
  <si>
    <t>Institutionalization Risk - Severe (±20%)</t>
    <phoneticPr fontId="1" type="noConversion"/>
  </si>
  <si>
    <t>Patient Utility-Community-MCI (95% CI)</t>
    <phoneticPr fontId="1" type="noConversion"/>
  </si>
  <si>
    <t>Patient Utility-Community-Mild (95% CI)</t>
    <phoneticPr fontId="1" type="noConversion"/>
  </si>
  <si>
    <t>Patient Utility-Community-Moderate (95% CI)</t>
    <phoneticPr fontId="1" type="noConversion"/>
  </si>
  <si>
    <t>Patient Utility-Community-Severe (95% CI)</t>
    <phoneticPr fontId="1" type="noConversion"/>
  </si>
  <si>
    <t>Patient Utility-Institution-MCI (95% CI)</t>
    <phoneticPr fontId="1" type="noConversion"/>
  </si>
  <si>
    <t>Patient Utility-Institution-Mild (95% CI)</t>
  </si>
  <si>
    <t>Patient Utility-Institution-Moderate (95% CI)</t>
  </si>
  <si>
    <t>Patient Utility-Institution-Severe (95% CI)</t>
  </si>
  <si>
    <t>Care costs-Community-MCI (95% CI)</t>
    <phoneticPr fontId="1" type="noConversion"/>
  </si>
  <si>
    <t>Care costs-Community-Mild (95% CI)</t>
    <phoneticPr fontId="1" type="noConversion"/>
  </si>
  <si>
    <t>Care costs-Community-Moderate (95% CI)</t>
    <phoneticPr fontId="1" type="noConversion"/>
  </si>
  <si>
    <t>Care costs-Community-Severe (95% CI)</t>
    <phoneticPr fontId="1" type="noConversion"/>
  </si>
  <si>
    <t>Care costs-Institution-MCI (95% CI)</t>
  </si>
  <si>
    <t>Care costs-Institution-Mild (95% CI)</t>
  </si>
  <si>
    <t>Care costs-Institution-Moderate (95% CI)</t>
  </si>
  <si>
    <t>Care costs-Institution-Severe (95% CI)</t>
  </si>
  <si>
    <t>Low parameter value</t>
    <phoneticPr fontId="1" type="noConversion"/>
  </si>
  <si>
    <t>High parameter value</t>
    <phoneticPr fontId="1" type="noConversion"/>
  </si>
  <si>
    <t>abs for sorting</t>
    <phoneticPr fontId="1" type="noConversion"/>
  </si>
  <si>
    <t>Original tp</t>
    <phoneticPr fontId="1" type="noConversion"/>
  </si>
  <si>
    <t>Converted to Rate</t>
    <phoneticPr fontId="1" type="noConversion"/>
  </si>
  <si>
    <t>HR applied</t>
    <phoneticPr fontId="1" type="noConversion"/>
  </si>
  <si>
    <t>Converted to pb</t>
    <phoneticPr fontId="1" type="noConversion"/>
  </si>
  <si>
    <t>Rate</t>
    <phoneticPr fontId="1" type="noConversion"/>
  </si>
  <si>
    <t>Initial proportion</t>
    <phoneticPr fontId="1" type="noConversion"/>
  </si>
  <si>
    <t>Mild AD</t>
    <phoneticPr fontId="1" type="noConversion"/>
  </si>
  <si>
    <t>MCI due to AD</t>
    <phoneticPr fontId="1" type="noConversion"/>
  </si>
  <si>
    <t>Initial_MCI</t>
    <phoneticPr fontId="1" type="noConversion"/>
  </si>
  <si>
    <t>Initial_Mild</t>
    <phoneticPr fontId="1" type="noConversion"/>
  </si>
  <si>
    <t>Proportion institutionalized, %</t>
    <phoneticPr fontId="1" type="noConversion"/>
  </si>
  <si>
    <t>MCI due to AD</t>
    <phoneticPr fontId="1" type="noConversion"/>
  </si>
  <si>
    <t>Moderate AD</t>
    <phoneticPr fontId="1" type="noConversion"/>
  </si>
  <si>
    <t>Severe AD</t>
    <phoneticPr fontId="1" type="noConversion"/>
  </si>
  <si>
    <t>Mortality HR</t>
    <phoneticPr fontId="1" type="noConversion"/>
  </si>
  <si>
    <t>Mort_HR_MCI</t>
    <phoneticPr fontId="1" type="noConversion"/>
  </si>
  <si>
    <t>Mort_HR_Mild</t>
    <phoneticPr fontId="1" type="noConversion"/>
  </si>
  <si>
    <t>Mort_HR_Moderate</t>
    <phoneticPr fontId="1" type="noConversion"/>
  </si>
  <si>
    <t>Mort_HR_Severe</t>
    <phoneticPr fontId="1" type="noConversion"/>
  </si>
  <si>
    <t>LTC_MCI</t>
    <phoneticPr fontId="1" type="noConversion"/>
  </si>
  <si>
    <t>LTC_Mild</t>
    <phoneticPr fontId="1" type="noConversion"/>
  </si>
  <si>
    <t>LTC_Moderate</t>
    <phoneticPr fontId="1" type="noConversion"/>
  </si>
  <si>
    <t>LTC_Severe</t>
    <phoneticPr fontId="1" type="noConversion"/>
  </si>
  <si>
    <t>HR_illness</t>
    <phoneticPr fontId="1" type="noConversion"/>
  </si>
  <si>
    <t xml:space="preserve">HR for illness </t>
    <phoneticPr fontId="1" type="noConversion"/>
  </si>
  <si>
    <t>ICER</t>
    <phoneticPr fontId="1" type="noConversion"/>
  </si>
  <si>
    <t>Costs</t>
    <phoneticPr fontId="1" type="noConversion"/>
  </si>
  <si>
    <t>QALYs</t>
    <phoneticPr fontId="1" type="noConversion"/>
  </si>
  <si>
    <t>Round</t>
    <phoneticPr fontId="1" type="noConversion"/>
  </si>
  <si>
    <t>Trt_mci_mild</t>
    <phoneticPr fontId="1" type="noConversion"/>
  </si>
  <si>
    <t>Trt_mild_mod</t>
    <phoneticPr fontId="1" type="noConversion"/>
  </si>
  <si>
    <t>Trt_mild_sev</t>
    <phoneticPr fontId="1" type="noConversion"/>
  </si>
  <si>
    <t>Treatment efficacy (0.49-0.92)</t>
    <phoneticPr fontId="1" type="noConversion"/>
  </si>
  <si>
    <t>Treatment efficacy (95% CI)</t>
    <phoneticPr fontId="1" type="noConversion"/>
  </si>
  <si>
    <t>Patient Utility-Institution-Severe (95% CI)</t>
    <phoneticPr fontId="1" type="noConversion"/>
  </si>
  <si>
    <t>printing result 1000 of 1000</t>
    <phoneticPr fontId="1" type="noConversion"/>
  </si>
  <si>
    <t>Formal medical costs (HCP perspective)</t>
    <phoneticPr fontId="1" type="noConversion"/>
  </si>
  <si>
    <t>Formal medical costs (Societal perspective)</t>
    <phoneticPr fontId="1" type="noConversion"/>
  </si>
  <si>
    <t>Long-term care costs (Community)</t>
    <phoneticPr fontId="1" type="noConversion"/>
  </si>
  <si>
    <t>Long-term care costs (Institution)</t>
    <phoneticPr fontId="1" type="noConversion"/>
  </si>
  <si>
    <t>Informal medical costs</t>
    <phoneticPr fontId="1" type="noConversion"/>
  </si>
  <si>
    <t>Hospital visit costs</t>
    <phoneticPr fontId="1" type="noConversion"/>
  </si>
  <si>
    <t>Informal care costs</t>
    <phoneticPr fontId="1" type="noConversion"/>
  </si>
  <si>
    <t>Annual costs</t>
    <phoneticPr fontId="1" type="noConversion"/>
  </si>
  <si>
    <t>N(Combined)</t>
  </si>
  <si>
    <t>SD(Combined)</t>
  </si>
  <si>
    <t>/yr</t>
    <phoneticPr fontId="1" type="noConversion"/>
  </si>
  <si>
    <t>yr</t>
    <phoneticPr fontId="1" type="noConversion"/>
  </si>
  <si>
    <t>/yr</t>
  </si>
  <si>
    <t>/2 wks</t>
    <phoneticPr fontId="1" type="noConversion"/>
  </si>
  <si>
    <t>wks</t>
    <phoneticPr fontId="1" type="noConversion"/>
  </si>
  <si>
    <t>/event</t>
    <phoneticPr fontId="1" type="noConversion"/>
  </si>
  <si>
    <t>events</t>
    <phoneticPr fontId="1" type="noConversion"/>
  </si>
  <si>
    <t>SE(Combined)</t>
  </si>
  <si>
    <t>Community setting</t>
    <phoneticPr fontId="1" type="noConversion"/>
  </si>
  <si>
    <t>Igarashi(2023)</t>
    <phoneticPr fontId="1" type="noConversion"/>
  </si>
  <si>
    <t>2022 Life table</t>
    <phoneticPr fontId="1" type="noConversion"/>
  </si>
  <si>
    <t>Mortality (All)</t>
    <phoneticPr fontId="1" type="noConversion"/>
  </si>
  <si>
    <t>Male</t>
    <phoneticPr fontId="1" type="noConversion"/>
  </si>
  <si>
    <t>Female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</si>
</sst>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2" formatCode="_-&quot;₩&quot;* #,##0_-;\-&quot;₩&quot;* #,##0_-;_-&quot;₩&quot;* &quot;-&quot;_-;_-@_-"/>
    <numFmt numFmtId="41" formatCode="_-* #,##0_-;\-* #,##0_-;_-* &quot;-&quot;_-;_-@_-"/>
    <numFmt numFmtId="24" formatCode="\$#,##0_);[Red]\(\$#,##0\)"/>
    <numFmt numFmtId="176" formatCode="0.0%"/>
    <numFmt numFmtId="177" formatCode="#,##0.00_ ;\-#,##0.00\ "/>
    <numFmt numFmtId="178" formatCode="#,##0\ [$kr-41D];\-#,##0\ [$kr-41D]"/>
    <numFmt numFmtId="179" formatCode="#,##0.00000"/>
    <numFmt numFmtId="180" formatCode="#,##0.00000_ "/>
    <numFmt numFmtId="181" formatCode="0_);[Red]\(0\)"/>
    <numFmt numFmtId="182" formatCode="_-[$₩-412]* #,##0.00_-;\-[$₩-412]* #,##0.00_-;_-[$₩-412]* &quot;-&quot;??_-;_-@_-"/>
    <numFmt numFmtId="183" formatCode="_-[$₩-412]* #,##0.0_-;\-[$₩-412]* #,##0.0_-;_-[$₩-412]* &quot;-&quot;??_-;_-@_-"/>
    <numFmt numFmtId="184" formatCode="0.00_);[Red]\(0.00\)"/>
    <numFmt numFmtId="185" formatCode="_-[$₩-412]* #,##0_-;\-[$₩-412]* #,##0_-;_-[$₩-412]* &quot;-&quot;??_-;_-@_-"/>
  </numFmts>
  <fonts count="2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9"/>
      <color theme="1"/>
      <name val="맑은 고딕"/>
      <family val="2"/>
      <scheme val="minor"/>
    </font>
    <font>
      <b/>
      <sz val="9"/>
      <name val="맑은 고딕"/>
      <family val="2"/>
      <scheme val="minor"/>
    </font>
    <font>
      <b/>
      <sz val="9"/>
      <color theme="1"/>
      <name val="맑은 고딕"/>
      <family val="2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14"/>
      <color theme="1"/>
      <name val="맑은 고딕"/>
      <family val="2"/>
      <scheme val="minor"/>
    </font>
    <font>
      <b/>
      <sz val="9"/>
      <color theme="0" tint="-0.499984740745262"/>
      <name val="맑은 고딕"/>
      <family val="2"/>
      <scheme val="minor"/>
    </font>
    <font>
      <b/>
      <sz val="10"/>
      <color theme="1"/>
      <name val="맑은 고딕"/>
      <family val="2"/>
      <scheme val="minor"/>
    </font>
    <font>
      <sz val="8"/>
      <color theme="1"/>
      <name val="맑은 고딕"/>
      <family val="2"/>
      <scheme val="minor"/>
    </font>
    <font>
      <b/>
      <sz val="18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2"/>
      <scheme val="minor"/>
    </font>
    <font>
      <sz val="9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indexed="8"/>
      <name val="맑은 고딕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BCCCE0"/>
      </patternFill>
    </fill>
    <fill>
      <patternFill patternType="solid">
        <fgColor rgb="FFF0EBD7"/>
      </patternFill>
    </fill>
    <fill>
      <patternFill patternType="solid">
        <fgColor rgb="FFE2ECF8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</fills>
  <borders count="5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/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>
      <alignment vertical="center"/>
    </xf>
    <xf numFmtId="0" fontId="2" fillId="0" borderId="0"/>
    <xf numFmtId="9" fontId="2" fillId="0" borderId="0" applyFont="0" applyFill="0" applyBorder="0" applyAlignment="0" applyProtection="0"/>
    <xf numFmtId="9" fontId="18" fillId="0" borderId="0" applyFont="0" applyFill="0" applyBorder="0" applyAlignment="0" applyProtection="0">
      <alignment vertical="center"/>
    </xf>
    <xf numFmtId="41" fontId="18" fillId="0" borderId="0" applyFont="0" applyFill="0" applyBorder="0" applyAlignment="0" applyProtection="0">
      <alignment vertical="center"/>
    </xf>
    <xf numFmtId="42" fontId="18" fillId="0" borderId="0" applyFont="0" applyFill="0" applyBorder="0" applyAlignment="0" applyProtection="0">
      <alignment vertical="center"/>
    </xf>
    <xf numFmtId="0" fontId="21" fillId="0" borderId="0">
      <alignment vertical="center"/>
    </xf>
    <xf numFmtId="41" fontId="18" fillId="0" borderId="0" applyFont="0" applyFill="0" applyBorder="0" applyAlignment="0" applyProtection="0">
      <alignment vertical="center"/>
    </xf>
    <xf numFmtId="42" fontId="18" fillId="0" borderId="0" applyFont="0" applyFill="0" applyBorder="0" applyAlignment="0" applyProtection="0">
      <alignment vertical="center"/>
    </xf>
  </cellStyleXfs>
  <cellXfs count="298">
    <xf numFmtId="0" fontId="0" fillId="0" borderId="0" xfId="0">
      <alignment vertical="center"/>
    </xf>
    <xf numFmtId="0" fontId="3" fillId="2" borderId="0" xfId="1" applyFont="1" applyFill="1"/>
    <xf numFmtId="0" fontId="4" fillId="2" borderId="0" xfId="1" applyFont="1" applyFill="1" applyAlignment="1">
      <alignment horizontal="center"/>
    </xf>
    <xf numFmtId="0" fontId="5" fillId="2" borderId="0" xfId="1" applyFont="1" applyFill="1" applyAlignment="1">
      <alignment horizontal="center"/>
    </xf>
    <xf numFmtId="0" fontId="3" fillId="0" borderId="0" xfId="1" applyFont="1"/>
    <xf numFmtId="0" fontId="3" fillId="3" borderId="0" xfId="1" applyFont="1" applyFill="1" applyAlignment="1">
      <alignment horizontal="center"/>
    </xf>
    <xf numFmtId="176" fontId="3" fillId="3" borderId="0" xfId="2" applyNumberFormat="1" applyFont="1" applyFill="1" applyBorder="1" applyAlignment="1">
      <alignment horizontal="center"/>
    </xf>
    <xf numFmtId="10" fontId="3" fillId="3" borderId="0" xfId="2" applyNumberFormat="1" applyFont="1" applyFill="1" applyBorder="1" applyAlignment="1">
      <alignment horizontal="center"/>
    </xf>
    <xf numFmtId="0" fontId="6" fillId="0" borderId="0" xfId="0" applyFont="1">
      <alignment vertical="center"/>
    </xf>
    <xf numFmtId="0" fontId="7" fillId="0" borderId="0" xfId="1" applyFont="1"/>
    <xf numFmtId="0" fontId="8" fillId="2" borderId="0" xfId="1" applyFont="1" applyFill="1"/>
    <xf numFmtId="0" fontId="5" fillId="2" borderId="1" xfId="1" applyFont="1" applyFill="1" applyBorder="1" applyAlignment="1">
      <alignment horizontal="center"/>
    </xf>
    <xf numFmtId="0" fontId="3" fillId="2" borderId="0" xfId="1" applyFont="1" applyFill="1" applyAlignment="1">
      <alignment horizontal="center"/>
    </xf>
    <xf numFmtId="0" fontId="5" fillId="4" borderId="1" xfId="1" applyFont="1" applyFill="1" applyBorder="1" applyAlignment="1">
      <alignment horizontal="center"/>
    </xf>
    <xf numFmtId="0" fontId="9" fillId="2" borderId="1" xfId="1" applyFont="1" applyFill="1" applyBorder="1" applyAlignment="1">
      <alignment horizontal="center"/>
    </xf>
    <xf numFmtId="3" fontId="5" fillId="2" borderId="1" xfId="1" applyNumberFormat="1" applyFont="1" applyFill="1" applyBorder="1" applyAlignment="1">
      <alignment horizontal="center" vertical="center"/>
    </xf>
    <xf numFmtId="3" fontId="5" fillId="4" borderId="1" xfId="1" applyNumberFormat="1" applyFont="1" applyFill="1" applyBorder="1" applyAlignment="1">
      <alignment horizontal="center" vertical="center"/>
    </xf>
    <xf numFmtId="4" fontId="5" fillId="2" borderId="1" xfId="1" applyNumberFormat="1" applyFont="1" applyFill="1" applyBorder="1" applyAlignment="1">
      <alignment horizontal="center" vertical="center"/>
    </xf>
    <xf numFmtId="4" fontId="5" fillId="4" borderId="1" xfId="1" applyNumberFormat="1" applyFont="1" applyFill="1" applyBorder="1" applyAlignment="1">
      <alignment horizontal="center" vertical="center"/>
    </xf>
    <xf numFmtId="0" fontId="3" fillId="0" borderId="0" xfId="1" applyFont="1" applyAlignment="1">
      <alignment horizontal="center"/>
    </xf>
    <xf numFmtId="10" fontId="3" fillId="0" borderId="0" xfId="2" applyNumberFormat="1" applyFont="1" applyAlignment="1">
      <alignment horizontal="center"/>
    </xf>
    <xf numFmtId="176" fontId="3" fillId="0" borderId="0" xfId="2" applyNumberFormat="1" applyFont="1" applyAlignment="1">
      <alignment horizontal="center"/>
    </xf>
    <xf numFmtId="3" fontId="3" fillId="0" borderId="0" xfId="1" applyNumberFormat="1" applyFont="1" applyAlignment="1">
      <alignment horizontal="center"/>
    </xf>
    <xf numFmtId="2" fontId="3" fillId="0" borderId="0" xfId="1" applyNumberFormat="1" applyFont="1" applyAlignment="1">
      <alignment horizontal="center"/>
    </xf>
    <xf numFmtId="0" fontId="8" fillId="2" borderId="0" xfId="1" applyFont="1" applyFill="1" applyAlignment="1">
      <alignment vertical="center"/>
    </xf>
    <xf numFmtId="0" fontId="3" fillId="4" borderId="0" xfId="1" applyFont="1" applyFill="1" applyAlignment="1">
      <alignment horizontal="left" vertical="center" indent="1"/>
    </xf>
    <xf numFmtId="177" fontId="3" fillId="4" borderId="0" xfId="1" applyNumberFormat="1" applyFont="1" applyFill="1" applyAlignment="1">
      <alignment horizontal="center"/>
    </xf>
    <xf numFmtId="0" fontId="5" fillId="4" borderId="0" xfId="1" applyFont="1" applyFill="1" applyAlignment="1">
      <alignment horizontal="center"/>
    </xf>
    <xf numFmtId="0" fontId="3" fillId="4" borderId="0" xfId="1" applyFont="1" applyFill="1"/>
    <xf numFmtId="177" fontId="5" fillId="4" borderId="0" xfId="1" applyNumberFormat="1" applyFont="1" applyFill="1" applyAlignment="1">
      <alignment horizontal="center"/>
    </xf>
    <xf numFmtId="178" fontId="3" fillId="5" borderId="0" xfId="1" applyNumberFormat="1" applyFont="1" applyFill="1" applyAlignment="1">
      <alignment horizontal="left" vertical="center" indent="1"/>
    </xf>
    <xf numFmtId="177" fontId="3" fillId="3" borderId="0" xfId="1" applyNumberFormat="1" applyFont="1" applyFill="1" applyAlignment="1">
      <alignment horizontal="center"/>
    </xf>
    <xf numFmtId="0" fontId="3" fillId="5" borderId="0" xfId="1" applyFont="1" applyFill="1"/>
    <xf numFmtId="0" fontId="3" fillId="0" borderId="0" xfId="1" applyFont="1" applyAlignment="1">
      <alignment horizontal="center" vertical="center"/>
    </xf>
    <xf numFmtId="177" fontId="3" fillId="5" borderId="0" xfId="1" applyNumberFormat="1" applyFont="1" applyFill="1" applyAlignment="1">
      <alignment horizontal="center"/>
    </xf>
    <xf numFmtId="177" fontId="5" fillId="5" borderId="0" xfId="1" applyNumberFormat="1" applyFont="1" applyFill="1" applyAlignment="1">
      <alignment horizontal="center"/>
    </xf>
    <xf numFmtId="0" fontId="3" fillId="3" borderId="0" xfId="1" applyFont="1" applyFill="1" applyAlignment="1">
      <alignment horizontal="left" vertical="center" indent="1"/>
    </xf>
    <xf numFmtId="0" fontId="3" fillId="3" borderId="0" xfId="1" applyFont="1" applyFill="1"/>
    <xf numFmtId="0" fontId="2" fillId="0" borderId="0" xfId="1"/>
    <xf numFmtId="3" fontId="3" fillId="4" borderId="0" xfId="1" applyNumberFormat="1" applyFont="1" applyFill="1" applyAlignment="1">
      <alignment horizontal="center"/>
    </xf>
    <xf numFmtId="0" fontId="9" fillId="4" borderId="0" xfId="1" applyFont="1" applyFill="1" applyAlignment="1">
      <alignment horizontal="left"/>
    </xf>
    <xf numFmtId="2" fontId="3" fillId="4" borderId="0" xfId="1" applyNumberFormat="1" applyFont="1" applyFill="1" applyAlignment="1">
      <alignment horizontal="center" vertical="center"/>
    </xf>
    <xf numFmtId="2" fontId="3" fillId="0" borderId="0" xfId="1" applyNumberFormat="1" applyFont="1" applyAlignment="1">
      <alignment horizontal="center" vertical="center"/>
    </xf>
    <xf numFmtId="2" fontId="11" fillId="4" borderId="0" xfId="1" applyNumberFormat="1" applyFont="1" applyFill="1" applyAlignment="1">
      <alignment horizontal="center" vertical="center"/>
    </xf>
    <xf numFmtId="178" fontId="3" fillId="3" borderId="0" xfId="1" applyNumberFormat="1" applyFont="1" applyFill="1" applyAlignment="1">
      <alignment horizontal="left" vertical="center" indent="1"/>
    </xf>
    <xf numFmtId="3" fontId="3" fillId="3" borderId="0" xfId="1" applyNumberFormat="1" applyFont="1" applyFill="1" applyAlignment="1">
      <alignment horizontal="center"/>
    </xf>
    <xf numFmtId="0" fontId="9" fillId="3" borderId="0" xfId="1" applyFont="1" applyFill="1" applyAlignment="1">
      <alignment horizontal="left"/>
    </xf>
    <xf numFmtId="3" fontId="3" fillId="3" borderId="0" xfId="1" applyNumberFormat="1" applyFont="1" applyFill="1" applyAlignment="1">
      <alignment horizontal="center" vertical="center"/>
    </xf>
    <xf numFmtId="3" fontId="3" fillId="0" borderId="0" xfId="1" applyNumberFormat="1" applyFont="1" applyAlignment="1">
      <alignment horizontal="center" vertical="center"/>
    </xf>
    <xf numFmtId="2" fontId="11" fillId="3" borderId="0" xfId="1" applyNumberFormat="1" applyFont="1" applyFill="1" applyAlignment="1">
      <alignment horizontal="center" vertical="center"/>
    </xf>
    <xf numFmtId="3" fontId="3" fillId="4" borderId="0" xfId="1" applyNumberFormat="1" applyFont="1" applyFill="1" applyAlignment="1">
      <alignment horizontal="center" vertical="center"/>
    </xf>
    <xf numFmtId="4" fontId="3" fillId="3" borderId="0" xfId="1" applyNumberFormat="1" applyFont="1" applyFill="1" applyAlignment="1">
      <alignment horizontal="center" vertical="center"/>
    </xf>
    <xf numFmtId="4" fontId="3" fillId="0" borderId="0" xfId="1" applyNumberFormat="1" applyFont="1" applyAlignment="1">
      <alignment horizontal="center" vertical="center"/>
    </xf>
    <xf numFmtId="10" fontId="3" fillId="4" borderId="0" xfId="2" applyNumberFormat="1" applyFont="1" applyFill="1" applyBorder="1" applyAlignment="1">
      <alignment horizontal="center" vertical="center"/>
    </xf>
    <xf numFmtId="10" fontId="3" fillId="3" borderId="0" xfId="2" applyNumberFormat="1" applyFont="1" applyFill="1" applyBorder="1" applyAlignment="1">
      <alignment horizontal="center" vertical="center"/>
    </xf>
    <xf numFmtId="0" fontId="2" fillId="4" borderId="0" xfId="1" applyFill="1"/>
    <xf numFmtId="0" fontId="12" fillId="4" borderId="0" xfId="1" applyFont="1" applyFill="1" applyAlignment="1">
      <alignment horizontal="left" vertical="center"/>
    </xf>
    <xf numFmtId="0" fontId="3" fillId="4" borderId="5" xfId="1" applyFont="1" applyFill="1" applyBorder="1"/>
    <xf numFmtId="0" fontId="3" fillId="4" borderId="6" xfId="1" applyFont="1" applyFill="1" applyBorder="1"/>
    <xf numFmtId="0" fontId="5" fillId="4" borderId="7" xfId="1" applyFont="1" applyFill="1" applyBorder="1" applyAlignment="1">
      <alignment horizontal="center"/>
    </xf>
    <xf numFmtId="0" fontId="3" fillId="4" borderId="8" xfId="1" applyFont="1" applyFill="1" applyBorder="1"/>
    <xf numFmtId="0" fontId="5" fillId="3" borderId="1" xfId="1" applyFont="1" applyFill="1" applyBorder="1" applyAlignment="1">
      <alignment horizontal="center"/>
    </xf>
    <xf numFmtId="0" fontId="5" fillId="3" borderId="2" xfId="1" applyFont="1" applyFill="1" applyBorder="1" applyAlignment="1">
      <alignment horizontal="center"/>
    </xf>
    <xf numFmtId="0" fontId="5" fillId="3" borderId="9" xfId="1" applyFont="1" applyFill="1" applyBorder="1" applyAlignment="1">
      <alignment horizontal="center"/>
    </xf>
    <xf numFmtId="0" fontId="5" fillId="0" borderId="1" xfId="1" applyFont="1" applyBorder="1"/>
    <xf numFmtId="3" fontId="3" fillId="0" borderId="1" xfId="1" applyNumberFormat="1" applyFont="1" applyBorder="1" applyAlignment="1">
      <alignment horizontal="center" vertical="center"/>
    </xf>
    <xf numFmtId="2" fontId="3" fillId="0" borderId="1" xfId="1" applyNumberFormat="1" applyFont="1" applyBorder="1" applyAlignment="1">
      <alignment horizontal="center" vertical="center"/>
    </xf>
    <xf numFmtId="0" fontId="14" fillId="0" borderId="0" xfId="1" applyFont="1"/>
    <xf numFmtId="0" fontId="5" fillId="3" borderId="0" xfId="1" applyFont="1" applyFill="1"/>
    <xf numFmtId="0" fontId="7" fillId="0" borderId="0" xfId="0" applyFont="1">
      <alignment vertical="center"/>
    </xf>
    <xf numFmtId="0" fontId="5" fillId="0" borderId="1" xfId="1" applyFont="1" applyBorder="1" applyAlignment="1">
      <alignment wrapText="1"/>
    </xf>
    <xf numFmtId="0" fontId="3" fillId="2" borderId="10" xfId="1" applyFont="1" applyFill="1" applyBorder="1" applyAlignment="1">
      <alignment horizontal="center"/>
    </xf>
    <xf numFmtId="3" fontId="3" fillId="3" borderId="10" xfId="1" applyNumberFormat="1" applyFont="1" applyFill="1" applyBorder="1" applyAlignment="1">
      <alignment horizontal="center"/>
    </xf>
    <xf numFmtId="0" fontId="5" fillId="2" borderId="10" xfId="1" applyFont="1" applyFill="1" applyBorder="1" applyAlignment="1">
      <alignment horizontal="center"/>
    </xf>
    <xf numFmtId="0" fontId="5" fillId="2" borderId="0" xfId="1" applyFont="1" applyFill="1"/>
    <xf numFmtId="0" fontId="0" fillId="8" borderId="12" xfId="0" applyFill="1" applyBorder="1" applyAlignment="1"/>
    <xf numFmtId="179" fontId="0" fillId="0" borderId="11" xfId="0" applyNumberFormat="1" applyBorder="1" applyAlignment="1">
      <alignment horizontal="right"/>
    </xf>
    <xf numFmtId="0" fontId="0" fillId="8" borderId="11" xfId="0" applyFill="1" applyBorder="1" applyAlignment="1"/>
    <xf numFmtId="180" fontId="0" fillId="0" borderId="11" xfId="0" applyNumberFormat="1" applyBorder="1">
      <alignment vertical="center"/>
    </xf>
    <xf numFmtId="0" fontId="3" fillId="0" borderId="11" xfId="1" applyFont="1" applyBorder="1"/>
    <xf numFmtId="0" fontId="7" fillId="0" borderId="11" xfId="1" applyFont="1" applyBorder="1"/>
    <xf numFmtId="0" fontId="0" fillId="7" borderId="11" xfId="0" applyFill="1" applyBorder="1" applyAlignment="1">
      <alignment horizontal="center"/>
    </xf>
    <xf numFmtId="0" fontId="3" fillId="0" borderId="13" xfId="1" applyFont="1" applyBorder="1"/>
    <xf numFmtId="176" fontId="3" fillId="0" borderId="0" xfId="1" applyNumberFormat="1" applyFont="1"/>
    <xf numFmtId="0" fontId="15" fillId="0" borderId="0" xfId="0" applyFont="1">
      <alignment vertical="center"/>
    </xf>
    <xf numFmtId="0" fontId="15" fillId="0" borderId="0" xfId="1" applyFont="1"/>
    <xf numFmtId="0" fontId="16" fillId="0" borderId="0" xfId="0" applyFont="1">
      <alignment vertical="center"/>
    </xf>
    <xf numFmtId="0" fontId="15" fillId="0" borderId="0" xfId="1" applyFont="1" applyAlignment="1">
      <alignment horizontal="right" vertical="center"/>
    </xf>
    <xf numFmtId="0" fontId="0" fillId="3" borderId="0" xfId="0" applyFill="1">
      <alignment vertical="center"/>
    </xf>
    <xf numFmtId="0" fontId="15" fillId="3" borderId="0" xfId="0" applyFont="1" applyFill="1">
      <alignment vertical="center"/>
    </xf>
    <xf numFmtId="0" fontId="16" fillId="3" borderId="0" xfId="0" applyFont="1" applyFill="1">
      <alignment vertical="center"/>
    </xf>
    <xf numFmtId="0" fontId="7" fillId="3" borderId="0" xfId="0" applyFont="1" applyFill="1">
      <alignment vertical="center"/>
    </xf>
    <xf numFmtId="0" fontId="7" fillId="9" borderId="0" xfId="1" applyFont="1" applyFill="1"/>
    <xf numFmtId="0" fontId="7" fillId="9" borderId="0" xfId="0" applyFont="1" applyFill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2" applyNumberFormat="1" applyFont="1" applyAlignment="1">
      <alignment horizontal="center"/>
    </xf>
    <xf numFmtId="176" fontId="3" fillId="0" borderId="0" xfId="3" applyNumberFormat="1" applyFont="1" applyAlignment="1">
      <alignment horizontal="center"/>
    </xf>
    <xf numFmtId="9" fontId="5" fillId="2" borderId="0" xfId="1" applyNumberFormat="1" applyFont="1" applyFill="1" applyAlignment="1">
      <alignment horizontal="center"/>
    </xf>
    <xf numFmtId="9" fontId="4" fillId="2" borderId="0" xfId="1" applyNumberFormat="1" applyFont="1" applyFill="1" applyAlignment="1">
      <alignment horizontal="center"/>
    </xf>
    <xf numFmtId="176" fontId="3" fillId="2" borderId="0" xfId="1" applyNumberFormat="1" applyFont="1" applyFill="1"/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176" fontId="0" fillId="0" borderId="17" xfId="3" applyNumberFormat="1" applyFont="1" applyBorder="1">
      <alignment vertical="center"/>
    </xf>
    <xf numFmtId="176" fontId="0" fillId="0" borderId="0" xfId="3" applyNumberFormat="1" applyFont="1" applyBorder="1">
      <alignment vertical="center"/>
    </xf>
    <xf numFmtId="176" fontId="0" fillId="0" borderId="18" xfId="3" applyNumberFormat="1" applyFont="1" applyBorder="1">
      <alignment vertical="center"/>
    </xf>
    <xf numFmtId="176" fontId="0" fillId="0" borderId="0" xfId="0" applyNumberFormat="1">
      <alignment vertical="center"/>
    </xf>
    <xf numFmtId="176" fontId="0" fillId="9" borderId="17" xfId="3" applyNumberFormat="1" applyFont="1" applyFill="1" applyBorder="1">
      <alignment vertical="center"/>
    </xf>
    <xf numFmtId="176" fontId="0" fillId="9" borderId="0" xfId="3" applyNumberFormat="1" applyFont="1" applyFill="1" applyBorder="1">
      <alignment vertical="center"/>
    </xf>
    <xf numFmtId="0" fontId="16" fillId="0" borderId="20" xfId="0" applyFont="1" applyBorder="1">
      <alignment vertical="center"/>
    </xf>
    <xf numFmtId="0" fontId="0" fillId="0" borderId="20" xfId="0" applyBorder="1">
      <alignment vertical="center"/>
    </xf>
    <xf numFmtId="10" fontId="0" fillId="0" borderId="0" xfId="0" applyNumberFormat="1">
      <alignment vertical="center"/>
    </xf>
    <xf numFmtId="176" fontId="0" fillId="0" borderId="0" xfId="3" applyNumberFormat="1" applyFont="1">
      <alignment vertical="center"/>
    </xf>
    <xf numFmtId="0" fontId="0" fillId="9" borderId="20" xfId="0" applyFill="1" applyBorder="1">
      <alignment vertical="center"/>
    </xf>
    <xf numFmtId="10" fontId="16" fillId="0" borderId="0" xfId="0" applyNumberFormat="1" applyFont="1">
      <alignment vertical="center"/>
    </xf>
    <xf numFmtId="176" fontId="16" fillId="0" borderId="0" xfId="3" applyNumberFormat="1" applyFont="1">
      <alignment vertical="center"/>
    </xf>
    <xf numFmtId="182" fontId="15" fillId="0" borderId="0" xfId="0" applyNumberFormat="1" applyFont="1">
      <alignment vertical="center"/>
    </xf>
    <xf numFmtId="182" fontId="0" fillId="0" borderId="0" xfId="0" applyNumberFormat="1">
      <alignment vertical="center"/>
    </xf>
    <xf numFmtId="182" fontId="7" fillId="0" borderId="0" xfId="0" applyNumberFormat="1" applyFont="1">
      <alignment vertical="center"/>
    </xf>
    <xf numFmtId="182" fontId="15" fillId="3" borderId="0" xfId="0" applyNumberFormat="1" applyFont="1" applyFill="1">
      <alignment vertical="center"/>
    </xf>
    <xf numFmtId="183" fontId="6" fillId="0" borderId="0" xfId="0" applyNumberFormat="1" applyFont="1">
      <alignment vertical="center"/>
    </xf>
    <xf numFmtId="183" fontId="16" fillId="3" borderId="0" xfId="0" applyNumberFormat="1" applyFont="1" applyFill="1">
      <alignment vertical="center"/>
    </xf>
    <xf numFmtId="183" fontId="15" fillId="0" borderId="0" xfId="0" applyNumberFormat="1" applyFont="1">
      <alignment vertical="center"/>
    </xf>
    <xf numFmtId="183" fontId="17" fillId="0" borderId="0" xfId="0" applyNumberFormat="1" applyFont="1">
      <alignment vertical="center"/>
    </xf>
    <xf numFmtId="183" fontId="0" fillId="0" borderId="0" xfId="0" applyNumberFormat="1">
      <alignment vertical="center"/>
    </xf>
    <xf numFmtId="176" fontId="0" fillId="0" borderId="17" xfId="3" applyNumberFormat="1" applyFont="1" applyFill="1" applyBorder="1">
      <alignment vertical="center"/>
    </xf>
    <xf numFmtId="176" fontId="0" fillId="0" borderId="0" xfId="3" applyNumberFormat="1" applyFont="1" applyFill="1" applyBorder="1">
      <alignment vertical="center"/>
    </xf>
    <xf numFmtId="176" fontId="0" fillId="0" borderId="18" xfId="3" applyNumberFormat="1" applyFont="1" applyFill="1" applyBorder="1">
      <alignment vertical="center"/>
    </xf>
    <xf numFmtId="182" fontId="3" fillId="0" borderId="0" xfId="1" applyNumberFormat="1" applyFont="1"/>
    <xf numFmtId="1" fontId="3" fillId="4" borderId="0" xfId="1" applyNumberFormat="1" applyFont="1" applyFill="1" applyAlignment="1">
      <alignment horizontal="center" vertical="center"/>
    </xf>
    <xf numFmtId="1" fontId="3" fillId="3" borderId="0" xfId="1" applyNumberFormat="1" applyFont="1" applyFill="1" applyAlignment="1">
      <alignment horizontal="center" vertical="center"/>
    </xf>
    <xf numFmtId="0" fontId="7" fillId="11" borderId="0" xfId="0" applyFont="1" applyFill="1">
      <alignment vertical="center"/>
    </xf>
    <xf numFmtId="41" fontId="3" fillId="0" borderId="0" xfId="4" applyFont="1" applyAlignment="1"/>
    <xf numFmtId="42" fontId="3" fillId="3" borderId="0" xfId="5" applyFont="1" applyFill="1" applyAlignment="1"/>
    <xf numFmtId="9" fontId="3" fillId="0" borderId="0" xfId="3" applyFont="1" applyAlignment="1">
      <alignment horizontal="center"/>
    </xf>
    <xf numFmtId="0" fontId="5" fillId="2" borderId="10" xfId="1" applyFont="1" applyFill="1" applyBorder="1"/>
    <xf numFmtId="41" fontId="0" fillId="0" borderId="0" xfId="4" applyFont="1">
      <alignment vertical="center"/>
    </xf>
    <xf numFmtId="0" fontId="20" fillId="0" borderId="0" xfId="0" applyFont="1">
      <alignment vertical="center"/>
    </xf>
    <xf numFmtId="24" fontId="2" fillId="0" borderId="0" xfId="1" applyNumberFormat="1"/>
    <xf numFmtId="3" fontId="2" fillId="0" borderId="0" xfId="1" applyNumberFormat="1"/>
    <xf numFmtId="10" fontId="2" fillId="0" borderId="0" xfId="3" applyNumberFormat="1" applyFont="1" applyAlignment="1"/>
    <xf numFmtId="0" fontId="0" fillId="0" borderId="0" xfId="0" applyNumberFormat="1">
      <alignment vertical="center"/>
    </xf>
    <xf numFmtId="181" fontId="0" fillId="0" borderId="0" xfId="0" applyNumberFormat="1">
      <alignment vertical="center"/>
    </xf>
    <xf numFmtId="0" fontId="0" fillId="0" borderId="0" xfId="0">
      <alignment vertical="center"/>
    </xf>
    <xf numFmtId="185" fontId="15" fillId="0" borderId="0" xfId="0" applyNumberFormat="1" applyFont="1">
      <alignment vertical="center"/>
    </xf>
    <xf numFmtId="3" fontId="3" fillId="2" borderId="0" xfId="1" applyNumberFormat="1" applyFont="1" applyFill="1"/>
    <xf numFmtId="184" fontId="3" fillId="4" borderId="0" xfId="2" applyNumberFormat="1" applyFont="1" applyFill="1" applyBorder="1" applyAlignment="1">
      <alignment horizontal="center" vertical="center"/>
    </xf>
    <xf numFmtId="184" fontId="3" fillId="3" borderId="0" xfId="2" applyNumberFormat="1" applyFont="1" applyFill="1" applyBorder="1" applyAlignment="1">
      <alignment horizontal="center" vertical="center"/>
    </xf>
    <xf numFmtId="3" fontId="3" fillId="0" borderId="0" xfId="1" applyNumberFormat="1" applyFont="1"/>
    <xf numFmtId="4" fontId="3" fillId="0" borderId="0" xfId="1" applyNumberFormat="1" applyFont="1"/>
    <xf numFmtId="1" fontId="3" fillId="0" borderId="0" xfId="1" applyNumberFormat="1" applyFont="1"/>
    <xf numFmtId="0" fontId="6" fillId="0" borderId="0" xfId="0" applyFont="1" applyFill="1" applyBorder="1">
      <alignment vertical="center"/>
    </xf>
    <xf numFmtId="3" fontId="3" fillId="10" borderId="0" xfId="1" applyNumberFormat="1" applyFont="1" applyFill="1" applyAlignment="1">
      <alignment horizontal="center"/>
    </xf>
    <xf numFmtId="0" fontId="0" fillId="0" borderId="0" xfId="0">
      <alignment vertical="center"/>
    </xf>
    <xf numFmtId="0" fontId="6" fillId="0" borderId="0" xfId="0" applyFont="1" applyAlignment="1">
      <alignment horizontal="center" vertical="center"/>
    </xf>
    <xf numFmtId="0" fontId="0" fillId="7" borderId="11" xfId="0" applyFill="1" applyBorder="1" applyAlignment="1"/>
    <xf numFmtId="0" fontId="3" fillId="0" borderId="0" xfId="1" applyFont="1" applyBorder="1"/>
    <xf numFmtId="0" fontId="7" fillId="0" borderId="0" xfId="1" applyFont="1" applyBorder="1"/>
    <xf numFmtId="0" fontId="0" fillId="12" borderId="0" xfId="0" applyFill="1">
      <alignment vertical="center"/>
    </xf>
    <xf numFmtId="41" fontId="0" fillId="12" borderId="0" xfId="4" applyFont="1" applyFill="1">
      <alignment vertical="center"/>
    </xf>
    <xf numFmtId="0" fontId="20" fillId="12" borderId="32" xfId="0" applyFont="1" applyFill="1" applyBorder="1">
      <alignment vertical="center"/>
    </xf>
    <xf numFmtId="41" fontId="20" fillId="12" borderId="33" xfId="4" applyFont="1" applyFill="1" applyBorder="1">
      <alignment vertical="center"/>
    </xf>
    <xf numFmtId="41" fontId="20" fillId="12" borderId="34" xfId="4" applyFont="1" applyFill="1" applyBorder="1">
      <alignment vertical="center"/>
    </xf>
    <xf numFmtId="0" fontId="20" fillId="12" borderId="22" xfId="0" applyFont="1" applyFill="1" applyBorder="1">
      <alignment vertical="center"/>
    </xf>
    <xf numFmtId="41" fontId="19" fillId="12" borderId="23" xfId="4" applyFont="1" applyFill="1" applyBorder="1">
      <alignment vertical="center"/>
    </xf>
    <xf numFmtId="0" fontId="20" fillId="12" borderId="23" xfId="0" applyFont="1" applyFill="1" applyBorder="1">
      <alignment vertical="center"/>
    </xf>
    <xf numFmtId="41" fontId="19" fillId="12" borderId="24" xfId="4" applyFont="1" applyFill="1" applyBorder="1">
      <alignment vertical="center"/>
    </xf>
    <xf numFmtId="0" fontId="20" fillId="12" borderId="25" xfId="0" applyFont="1" applyFill="1" applyBorder="1">
      <alignment vertical="center"/>
    </xf>
    <xf numFmtId="41" fontId="19" fillId="12" borderId="0" xfId="4" applyFont="1" applyFill="1" applyBorder="1">
      <alignment vertical="center"/>
    </xf>
    <xf numFmtId="0" fontId="20" fillId="12" borderId="0" xfId="0" applyFont="1" applyFill="1">
      <alignment vertical="center"/>
    </xf>
    <xf numFmtId="41" fontId="19" fillId="12" borderId="26" xfId="4" applyFont="1" applyFill="1" applyBorder="1">
      <alignment vertical="center"/>
    </xf>
    <xf numFmtId="0" fontId="20" fillId="12" borderId="27" xfId="0" applyFont="1" applyFill="1" applyBorder="1">
      <alignment vertical="center"/>
    </xf>
    <xf numFmtId="41" fontId="19" fillId="12" borderId="28" xfId="4" applyFont="1" applyFill="1" applyBorder="1">
      <alignment vertical="center"/>
    </xf>
    <xf numFmtId="0" fontId="20" fillId="12" borderId="28" xfId="0" applyFont="1" applyFill="1" applyBorder="1">
      <alignment vertical="center"/>
    </xf>
    <xf numFmtId="41" fontId="19" fillId="12" borderId="29" xfId="4" applyFont="1" applyFill="1" applyBorder="1">
      <alignment vertical="center"/>
    </xf>
    <xf numFmtId="0" fontId="6" fillId="0" borderId="32" xfId="0" applyFont="1" applyBorder="1">
      <alignment vertical="center"/>
    </xf>
    <xf numFmtId="41" fontId="6" fillId="0" borderId="33" xfId="4" applyFont="1" applyBorder="1">
      <alignment vertical="center"/>
    </xf>
    <xf numFmtId="41" fontId="20" fillId="0" borderId="33" xfId="4" applyFont="1" applyBorder="1">
      <alignment vertical="center"/>
    </xf>
    <xf numFmtId="176" fontId="6" fillId="0" borderId="33" xfId="3" applyNumberFormat="1" applyFont="1" applyBorder="1">
      <alignment vertical="center"/>
    </xf>
    <xf numFmtId="41" fontId="6" fillId="0" borderId="34" xfId="4" applyFont="1" applyBorder="1">
      <alignment vertical="center"/>
    </xf>
    <xf numFmtId="176" fontId="19" fillId="12" borderId="23" xfId="3" applyNumberFormat="1" applyFont="1" applyFill="1" applyBorder="1">
      <alignment vertical="center"/>
    </xf>
    <xf numFmtId="176" fontId="0" fillId="12" borderId="23" xfId="3" applyNumberFormat="1" applyFont="1" applyFill="1" applyBorder="1">
      <alignment vertical="center"/>
    </xf>
    <xf numFmtId="176" fontId="0" fillId="12" borderId="24" xfId="3" applyNumberFormat="1" applyFont="1" applyFill="1" applyBorder="1">
      <alignment vertical="center"/>
    </xf>
    <xf numFmtId="176" fontId="19" fillId="12" borderId="0" xfId="3" applyNumberFormat="1" applyFont="1" applyFill="1" applyBorder="1">
      <alignment vertical="center"/>
    </xf>
    <xf numFmtId="176" fontId="0" fillId="12" borderId="0" xfId="3" applyNumberFormat="1" applyFont="1" applyFill="1" applyBorder="1">
      <alignment vertical="center"/>
    </xf>
    <xf numFmtId="176" fontId="0" fillId="12" borderId="26" xfId="3" applyNumberFormat="1" applyFont="1" applyFill="1" applyBorder="1">
      <alignment vertical="center"/>
    </xf>
    <xf numFmtId="176" fontId="19" fillId="12" borderId="28" xfId="3" applyNumberFormat="1" applyFont="1" applyFill="1" applyBorder="1">
      <alignment vertical="center"/>
    </xf>
    <xf numFmtId="176" fontId="0" fillId="12" borderId="28" xfId="3" applyNumberFormat="1" applyFont="1" applyFill="1" applyBorder="1">
      <alignment vertical="center"/>
    </xf>
    <xf numFmtId="176" fontId="0" fillId="12" borderId="29" xfId="3" applyNumberFormat="1" applyFont="1" applyFill="1" applyBorder="1">
      <alignment vertical="center"/>
    </xf>
    <xf numFmtId="185" fontId="3" fillId="3" borderId="0" xfId="1" applyNumberFormat="1" applyFont="1" applyFill="1"/>
    <xf numFmtId="182" fontId="7" fillId="12" borderId="0" xfId="0" applyNumberFormat="1" applyFont="1" applyFill="1">
      <alignment vertical="center"/>
    </xf>
    <xf numFmtId="0" fontId="15" fillId="12" borderId="0" xfId="0" applyFont="1" applyFill="1">
      <alignment vertical="center"/>
    </xf>
    <xf numFmtId="0" fontId="7" fillId="11" borderId="35" xfId="0" applyFont="1" applyFill="1" applyBorder="1">
      <alignment vertical="center"/>
    </xf>
    <xf numFmtId="0" fontId="7" fillId="11" borderId="36" xfId="0" applyFont="1" applyFill="1" applyBorder="1">
      <alignment vertical="center"/>
    </xf>
    <xf numFmtId="0" fontId="16" fillId="12" borderId="32" xfId="0" applyFont="1" applyFill="1" applyBorder="1">
      <alignment vertical="center"/>
    </xf>
    <xf numFmtId="0" fontId="15" fillId="12" borderId="33" xfId="0" applyFont="1" applyFill="1" applyBorder="1">
      <alignment vertical="center"/>
    </xf>
    <xf numFmtId="0" fontId="7" fillId="0" borderId="37" xfId="0" applyFont="1" applyBorder="1" applyAlignment="1">
      <alignment horizontal="right" vertical="center"/>
    </xf>
    <xf numFmtId="185" fontId="15" fillId="0" borderId="38" xfId="0" applyNumberFormat="1" applyFont="1" applyBorder="1">
      <alignment vertical="center"/>
    </xf>
    <xf numFmtId="0" fontId="6" fillId="12" borderId="25" xfId="0" applyFont="1" applyFill="1" applyBorder="1">
      <alignment vertical="center"/>
    </xf>
    <xf numFmtId="0" fontId="7" fillId="0" borderId="39" xfId="0" applyFont="1" applyBorder="1" applyAlignment="1">
      <alignment horizontal="right" vertical="center"/>
    </xf>
    <xf numFmtId="185" fontId="15" fillId="0" borderId="40" xfId="0" applyNumberFormat="1" applyFont="1" applyBorder="1">
      <alignment vertical="center"/>
    </xf>
    <xf numFmtId="41" fontId="15" fillId="12" borderId="25" xfId="4" applyFont="1" applyFill="1" applyBorder="1">
      <alignment vertical="center"/>
    </xf>
    <xf numFmtId="0" fontId="15" fillId="12" borderId="26" xfId="0" applyFont="1" applyFill="1" applyBorder="1">
      <alignment vertical="center"/>
    </xf>
    <xf numFmtId="0" fontId="0" fillId="12" borderId="41" xfId="0" applyFill="1" applyBorder="1">
      <alignment vertical="center"/>
    </xf>
    <xf numFmtId="0" fontId="15" fillId="12" borderId="42" xfId="0" applyFont="1" applyFill="1" applyBorder="1">
      <alignment vertical="center"/>
    </xf>
    <xf numFmtId="41" fontId="15" fillId="12" borderId="27" xfId="4" applyFont="1" applyFill="1" applyBorder="1">
      <alignment vertical="center"/>
    </xf>
    <xf numFmtId="0" fontId="15" fillId="12" borderId="28" xfId="0" applyFont="1" applyFill="1" applyBorder="1">
      <alignment vertical="center"/>
    </xf>
    <xf numFmtId="0" fontId="15" fillId="12" borderId="29" xfId="0" applyFont="1" applyFill="1" applyBorder="1">
      <alignment vertical="center"/>
    </xf>
    <xf numFmtId="0" fontId="7" fillId="9" borderId="35" xfId="0" applyFont="1" applyFill="1" applyBorder="1">
      <alignment vertical="center"/>
    </xf>
    <xf numFmtId="0" fontId="7" fillId="9" borderId="36" xfId="0" applyFont="1" applyFill="1" applyBorder="1">
      <alignment vertical="center"/>
    </xf>
    <xf numFmtId="0" fontId="15" fillId="12" borderId="32" xfId="0" applyFont="1" applyFill="1" applyBorder="1">
      <alignment vertical="center"/>
    </xf>
    <xf numFmtId="0" fontId="15" fillId="12" borderId="34" xfId="0" applyFont="1" applyFill="1" applyBorder="1">
      <alignment vertical="center"/>
    </xf>
    <xf numFmtId="41" fontId="15" fillId="12" borderId="0" xfId="4" applyFont="1" applyFill="1" applyBorder="1">
      <alignment vertical="center"/>
    </xf>
    <xf numFmtId="41" fontId="15" fillId="12" borderId="26" xfId="4" applyFont="1" applyFill="1" applyBorder="1">
      <alignment vertical="center"/>
    </xf>
    <xf numFmtId="0" fontId="7" fillId="0" borderId="41" xfId="0" applyFont="1" applyBorder="1" applyAlignment="1">
      <alignment horizontal="right" vertical="center"/>
    </xf>
    <xf numFmtId="185" fontId="15" fillId="0" borderId="42" xfId="0" applyNumberFormat="1" applyFont="1" applyBorder="1">
      <alignment vertical="center"/>
    </xf>
    <xf numFmtId="41" fontId="15" fillId="12" borderId="28" xfId="4" applyFont="1" applyFill="1" applyBorder="1">
      <alignment vertical="center"/>
    </xf>
    <xf numFmtId="41" fontId="15" fillId="12" borderId="29" xfId="4" applyFont="1" applyFill="1" applyBorder="1">
      <alignment vertical="center"/>
    </xf>
    <xf numFmtId="0" fontId="7" fillId="12" borderId="0" xfId="0" applyFont="1" applyFill="1" applyAlignment="1">
      <alignment horizontal="right" vertical="center"/>
    </xf>
    <xf numFmtId="0" fontId="6" fillId="12" borderId="0" xfId="0" applyFont="1" applyFill="1">
      <alignment vertical="center"/>
    </xf>
    <xf numFmtId="41" fontId="15" fillId="12" borderId="0" xfId="4" applyFont="1" applyFill="1">
      <alignment vertical="center"/>
    </xf>
    <xf numFmtId="0" fontId="0" fillId="0" borderId="22" xfId="0" applyBorder="1">
      <alignment vertical="center"/>
    </xf>
    <xf numFmtId="0" fontId="6" fillId="0" borderId="23" xfId="0" applyFont="1" applyBorder="1">
      <alignment vertical="center"/>
    </xf>
    <xf numFmtId="0" fontId="6" fillId="0" borderId="24" xfId="0" applyFont="1" applyBorder="1">
      <alignment vertical="center"/>
    </xf>
    <xf numFmtId="0" fontId="6" fillId="0" borderId="27" xfId="0" applyFont="1" applyBorder="1">
      <alignment vertical="center"/>
    </xf>
    <xf numFmtId="0" fontId="0" fillId="0" borderId="28" xfId="0" applyBorder="1">
      <alignment vertical="center"/>
    </xf>
    <xf numFmtId="0" fontId="0" fillId="0" borderId="29" xfId="0" applyBorder="1">
      <alignment vertical="center"/>
    </xf>
    <xf numFmtId="0" fontId="6" fillId="0" borderId="28" xfId="0" applyFont="1" applyBorder="1">
      <alignment vertical="center"/>
    </xf>
    <xf numFmtId="0" fontId="6" fillId="0" borderId="29" xfId="0" applyFont="1" applyBorder="1">
      <alignment vertical="center"/>
    </xf>
    <xf numFmtId="0" fontId="0" fillId="0" borderId="25" xfId="0" applyBorder="1">
      <alignment vertical="center"/>
    </xf>
    <xf numFmtId="0" fontId="0" fillId="0" borderId="26" xfId="0" applyBorder="1">
      <alignment vertical="center"/>
    </xf>
    <xf numFmtId="0" fontId="6" fillId="0" borderId="25" xfId="0" applyFont="1" applyBorder="1" applyAlignment="1">
      <alignment horizontal="left" vertical="center"/>
    </xf>
    <xf numFmtId="0" fontId="6" fillId="0" borderId="26" xfId="0" applyFont="1" applyBorder="1" applyAlignment="1">
      <alignment horizontal="center" vertical="center"/>
    </xf>
    <xf numFmtId="0" fontId="6" fillId="0" borderId="27" xfId="0" applyFont="1" applyBorder="1" applyAlignment="1">
      <alignment horizontal="left" vertical="center"/>
    </xf>
    <xf numFmtId="0" fontId="0" fillId="0" borderId="27" xfId="0" applyBorder="1">
      <alignment vertical="center"/>
    </xf>
    <xf numFmtId="0" fontId="0" fillId="0" borderId="0" xfId="0" applyAlignment="1">
      <alignment vertical="center"/>
    </xf>
    <xf numFmtId="0" fontId="16" fillId="0" borderId="0" xfId="0" applyFont="1" applyBorder="1">
      <alignment vertical="center"/>
    </xf>
    <xf numFmtId="0" fontId="0" fillId="0" borderId="0" xfId="0" applyBorder="1">
      <alignment vertical="center"/>
    </xf>
    <xf numFmtId="0" fontId="6" fillId="0" borderId="0" xfId="0" applyFont="1" applyBorder="1">
      <alignment vertical="center"/>
    </xf>
    <xf numFmtId="0" fontId="16" fillId="9" borderId="0" xfId="0" applyFont="1" applyFill="1" applyBorder="1">
      <alignment vertical="center"/>
    </xf>
    <xf numFmtId="0" fontId="0" fillId="9" borderId="0" xfId="0" applyFill="1" applyBorder="1">
      <alignment vertical="center"/>
    </xf>
    <xf numFmtId="0" fontId="6" fillId="0" borderId="0" xfId="0" applyFont="1" applyBorder="1" applyAlignment="1">
      <alignment horizontal="center" vertical="center"/>
    </xf>
    <xf numFmtId="0" fontId="16" fillId="10" borderId="0" xfId="0" applyFont="1" applyFill="1" applyBorder="1">
      <alignment vertical="center"/>
    </xf>
    <xf numFmtId="0" fontId="0" fillId="10" borderId="0" xfId="0" applyFill="1" applyBorder="1">
      <alignment vertical="center"/>
    </xf>
    <xf numFmtId="0" fontId="0" fillId="0" borderId="0" xfId="0" applyFill="1" applyBorder="1">
      <alignment vertical="center"/>
    </xf>
    <xf numFmtId="0" fontId="16" fillId="0" borderId="0" xfId="0" applyFont="1" applyFill="1" applyBorder="1">
      <alignment vertical="center"/>
    </xf>
    <xf numFmtId="0" fontId="6" fillId="0" borderId="0" xfId="0" applyFont="1" applyFill="1" applyBorder="1" applyAlignment="1">
      <alignment horizontal="center" vertical="center"/>
    </xf>
    <xf numFmtId="10" fontId="0" fillId="0" borderId="0" xfId="0" applyNumberFormat="1" applyFill="1" applyBorder="1">
      <alignment vertical="center"/>
    </xf>
    <xf numFmtId="0" fontId="6" fillId="0" borderId="22" xfId="0" applyFont="1" applyBorder="1">
      <alignment vertical="center"/>
    </xf>
    <xf numFmtId="0" fontId="0" fillId="0" borderId="23" xfId="0" applyBorder="1">
      <alignment vertical="center"/>
    </xf>
    <xf numFmtId="0" fontId="0" fillId="0" borderId="24" xfId="0" applyBorder="1">
      <alignment vertical="center"/>
    </xf>
    <xf numFmtId="0" fontId="6" fillId="0" borderId="25" xfId="0" applyFont="1" applyBorder="1">
      <alignment vertical="center"/>
    </xf>
    <xf numFmtId="0" fontId="6" fillId="0" borderId="26" xfId="0" applyFont="1" applyBorder="1">
      <alignment vertical="center"/>
    </xf>
    <xf numFmtId="0" fontId="16" fillId="0" borderId="26" xfId="0" applyFont="1" applyBorder="1">
      <alignment vertical="center"/>
    </xf>
    <xf numFmtId="0" fontId="0" fillId="10" borderId="26" xfId="0" applyFill="1" applyBorder="1">
      <alignment vertical="center"/>
    </xf>
    <xf numFmtId="0" fontId="16" fillId="0" borderId="28" xfId="0" applyFont="1" applyBorder="1">
      <alignment vertical="center"/>
    </xf>
    <xf numFmtId="0" fontId="6" fillId="0" borderId="25" xfId="0" applyFont="1" applyBorder="1" applyAlignment="1">
      <alignment horizontal="center" vertical="center"/>
    </xf>
    <xf numFmtId="0" fontId="6" fillId="0" borderId="43" xfId="0" applyFont="1" applyBorder="1">
      <alignment vertical="center"/>
    </xf>
    <xf numFmtId="0" fontId="0" fillId="0" borderId="44" xfId="0" applyBorder="1">
      <alignment vertical="center"/>
    </xf>
    <xf numFmtId="0" fontId="6" fillId="0" borderId="12" xfId="0" applyFont="1" applyBorder="1">
      <alignment vertical="center"/>
    </xf>
    <xf numFmtId="0" fontId="0" fillId="0" borderId="47" xfId="0" applyBorder="1">
      <alignment vertical="center"/>
    </xf>
    <xf numFmtId="0" fontId="6" fillId="0" borderId="43" xfId="0" applyFont="1" applyBorder="1" applyAlignment="1">
      <alignment horizontal="center" vertical="center"/>
    </xf>
    <xf numFmtId="0" fontId="6" fillId="0" borderId="40" xfId="0" applyFont="1" applyBorder="1" applyAlignment="1">
      <alignment horizontal="center" vertical="center"/>
    </xf>
    <xf numFmtId="176" fontId="0" fillId="0" borderId="25" xfId="3" applyNumberFormat="1" applyFont="1" applyBorder="1">
      <alignment vertical="center"/>
    </xf>
    <xf numFmtId="176" fontId="0" fillId="0" borderId="48" xfId="0" applyNumberFormat="1" applyBorder="1">
      <alignment vertical="center"/>
    </xf>
    <xf numFmtId="176" fontId="0" fillId="9" borderId="25" xfId="3" applyNumberFormat="1" applyFont="1" applyFill="1" applyBorder="1">
      <alignment vertical="center"/>
    </xf>
    <xf numFmtId="176" fontId="0" fillId="0" borderId="25" xfId="3" applyNumberFormat="1" applyFont="1" applyFill="1" applyBorder="1">
      <alignment vertical="center"/>
    </xf>
    <xf numFmtId="176" fontId="0" fillId="0" borderId="27" xfId="3" applyNumberFormat="1" applyFont="1" applyFill="1" applyBorder="1">
      <alignment vertical="center"/>
    </xf>
    <xf numFmtId="176" fontId="0" fillId="0" borderId="28" xfId="3" applyNumberFormat="1" applyFont="1" applyFill="1" applyBorder="1">
      <alignment vertical="center"/>
    </xf>
    <xf numFmtId="176" fontId="0" fillId="0" borderId="49" xfId="3" applyNumberFormat="1" applyFont="1" applyFill="1" applyBorder="1">
      <alignment vertical="center"/>
    </xf>
    <xf numFmtId="176" fontId="0" fillId="0" borderId="50" xfId="3" applyNumberFormat="1" applyFont="1" applyFill="1" applyBorder="1">
      <alignment vertical="center"/>
    </xf>
    <xf numFmtId="176" fontId="0" fillId="0" borderId="51" xfId="0" applyNumberFormat="1" applyBorder="1">
      <alignment vertical="center"/>
    </xf>
    <xf numFmtId="0" fontId="5" fillId="4" borderId="1" xfId="1" applyFont="1" applyFill="1" applyBorder="1" applyAlignment="1">
      <alignment horizontal="center"/>
    </xf>
    <xf numFmtId="0" fontId="5" fillId="4" borderId="2" xfId="1" applyFont="1" applyFill="1" applyBorder="1" applyAlignment="1">
      <alignment horizontal="center"/>
    </xf>
    <xf numFmtId="3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center" vertical="center"/>
    </xf>
    <xf numFmtId="4" fontId="3" fillId="0" borderId="1" xfId="1" applyNumberFormat="1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>
      <alignment vertical="center"/>
    </xf>
    <xf numFmtId="0" fontId="6" fillId="0" borderId="23" xfId="0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vertical="center"/>
    </xf>
    <xf numFmtId="0" fontId="6" fillId="0" borderId="46" xfId="0" applyFont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5" fillId="2" borderId="3" xfId="1" applyFont="1" applyFill="1" applyBorder="1" applyAlignment="1">
      <alignment horizontal="center"/>
    </xf>
    <xf numFmtId="0" fontId="5" fillId="2" borderId="1" xfId="1" applyFont="1" applyFill="1" applyBorder="1" applyAlignment="1">
      <alignment horizontal="center"/>
    </xf>
    <xf numFmtId="0" fontId="5" fillId="2" borderId="2" xfId="1" applyFont="1" applyFill="1" applyBorder="1" applyAlignment="1">
      <alignment horizontal="center"/>
    </xf>
    <xf numFmtId="0" fontId="5" fillId="2" borderId="4" xfId="1" applyFont="1" applyFill="1" applyBorder="1" applyAlignment="1">
      <alignment horizontal="center"/>
    </xf>
    <xf numFmtId="0" fontId="5" fillId="2" borderId="10" xfId="1" applyFont="1" applyFill="1" applyBorder="1" applyAlignment="1">
      <alignment horizontal="center"/>
    </xf>
    <xf numFmtId="0" fontId="5" fillId="2" borderId="30" xfId="1" applyFont="1" applyFill="1" applyBorder="1" applyAlignment="1">
      <alignment horizontal="center"/>
    </xf>
    <xf numFmtId="0" fontId="5" fillId="2" borderId="31" xfId="1" applyFont="1" applyFill="1" applyBorder="1" applyAlignment="1">
      <alignment horizontal="center"/>
    </xf>
    <xf numFmtId="0" fontId="4" fillId="2" borderId="0" xfId="1" applyFont="1" applyFill="1" applyAlignment="1">
      <alignment horizontal="center"/>
    </xf>
    <xf numFmtId="0" fontId="0" fillId="6" borderId="11" xfId="0" applyFill="1" applyBorder="1">
      <alignment vertical="center"/>
    </xf>
    <xf numFmtId="0" fontId="0" fillId="7" borderId="11" xfId="0" applyFill="1" applyBorder="1" applyAlignment="1"/>
  </cellXfs>
  <cellStyles count="9">
    <cellStyle name="백분율" xfId="3" builtinId="5"/>
    <cellStyle name="백분율 2" xfId="2" xr:uid="{00000000-0005-0000-0000-000001000000}"/>
    <cellStyle name="쉼표 [0]" xfId="4" builtinId="6"/>
    <cellStyle name="쉼표 [0] 2" xfId="7" xr:uid="{00000000-0005-0000-0000-000004000000}"/>
    <cellStyle name="통화 [0]" xfId="5" builtinId="7"/>
    <cellStyle name="통화 [0] 2" xfId="8" xr:uid="{00000000-0005-0000-0000-000006000000}"/>
    <cellStyle name="표준" xfId="0" builtinId="0"/>
    <cellStyle name="표준 2" xfId="1" xr:uid="{00000000-0005-0000-0000-000008000000}"/>
    <cellStyle name="표준 3" xfId="6" xr:uid="{00000000-0005-0000-0000-000009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43814788976807"/>
          <c:y val="0.18077086288631047"/>
          <c:w val="0.7103432157885573"/>
          <c:h val="0.64147930295676991"/>
        </c:manualLayout>
      </c:layout>
      <c:scatterChart>
        <c:scatterStyle val="lineMarker"/>
        <c:varyColors val="0"/>
        <c:ser>
          <c:idx val="1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6350">
                <a:noFill/>
              </a:ln>
              <a:effectLst/>
            </c:spPr>
          </c:marker>
          <c:xVal>
            <c:numRef>
              <c:f>simulation!$H$8:$H$1007</c:f>
              <c:numCache>
                <c:formatCode>0.00</c:formatCode>
                <c:ptCount val="1000"/>
                <c:pt idx="0">
                  <c:v>0.46000031885335302</c:v>
                </c:pt>
                <c:pt idx="1">
                  <c:v>0.47951693337655077</c:v>
                </c:pt>
                <c:pt idx="2">
                  <c:v>0.47523896306280977</c:v>
                </c:pt>
                <c:pt idx="3">
                  <c:v>0.44969169022820554</c:v>
                </c:pt>
                <c:pt idx="4">
                  <c:v>0.44588789973875453</c:v>
                </c:pt>
                <c:pt idx="5">
                  <c:v>0.47906485048398251</c:v>
                </c:pt>
                <c:pt idx="6">
                  <c:v>0.48910573777686661</c:v>
                </c:pt>
                <c:pt idx="7">
                  <c:v>0.4217607735713409</c:v>
                </c:pt>
                <c:pt idx="8">
                  <c:v>0.49431709465862528</c:v>
                </c:pt>
                <c:pt idx="9">
                  <c:v>0.43251490234315737</c:v>
                </c:pt>
                <c:pt idx="10">
                  <c:v>0.42873501725841923</c:v>
                </c:pt>
                <c:pt idx="11">
                  <c:v>0.44582030841343911</c:v>
                </c:pt>
                <c:pt idx="12">
                  <c:v>0.49295066540831711</c:v>
                </c:pt>
                <c:pt idx="13">
                  <c:v>0.41260463160197913</c:v>
                </c:pt>
                <c:pt idx="14">
                  <c:v>0.50820678255819063</c:v>
                </c:pt>
                <c:pt idx="15">
                  <c:v>0.46039581842052169</c:v>
                </c:pt>
                <c:pt idx="16">
                  <c:v>0.47438184403026096</c:v>
                </c:pt>
                <c:pt idx="17">
                  <c:v>0.47766815409914787</c:v>
                </c:pt>
                <c:pt idx="18">
                  <c:v>0.43307779649576128</c:v>
                </c:pt>
                <c:pt idx="19">
                  <c:v>0.5112226569069287</c:v>
                </c:pt>
                <c:pt idx="20">
                  <c:v>0.41200737666166853</c:v>
                </c:pt>
                <c:pt idx="21">
                  <c:v>0.47382640289120292</c:v>
                </c:pt>
                <c:pt idx="22">
                  <c:v>0.48510570762478578</c:v>
                </c:pt>
                <c:pt idx="23">
                  <c:v>0.47775424218494345</c:v>
                </c:pt>
                <c:pt idx="24">
                  <c:v>0.47621546761716815</c:v>
                </c:pt>
                <c:pt idx="25">
                  <c:v>0.4835494990286533</c:v>
                </c:pt>
                <c:pt idx="26">
                  <c:v>0.47843134981669144</c:v>
                </c:pt>
                <c:pt idx="27">
                  <c:v>0.47839843696938855</c:v>
                </c:pt>
                <c:pt idx="28">
                  <c:v>0.48923709448584041</c:v>
                </c:pt>
                <c:pt idx="29">
                  <c:v>0.49187387686432671</c:v>
                </c:pt>
                <c:pt idx="30">
                  <c:v>0.47592976113316721</c:v>
                </c:pt>
                <c:pt idx="31">
                  <c:v>0.47368255338164</c:v>
                </c:pt>
                <c:pt idx="32">
                  <c:v>0.45578194514861048</c:v>
                </c:pt>
                <c:pt idx="33">
                  <c:v>0.45514321249712375</c:v>
                </c:pt>
                <c:pt idx="34">
                  <c:v>0.43951930036028264</c:v>
                </c:pt>
                <c:pt idx="35">
                  <c:v>0.43426558214571731</c:v>
                </c:pt>
                <c:pt idx="36">
                  <c:v>0.43975647510410854</c:v>
                </c:pt>
                <c:pt idx="37">
                  <c:v>0.50149926136884693</c:v>
                </c:pt>
                <c:pt idx="38">
                  <c:v>0.46046985203984869</c:v>
                </c:pt>
                <c:pt idx="39">
                  <c:v>0.47152904068046464</c:v>
                </c:pt>
                <c:pt idx="40">
                  <c:v>0.52184376132075627</c:v>
                </c:pt>
                <c:pt idx="41">
                  <c:v>0.44068690729794535</c:v>
                </c:pt>
                <c:pt idx="42">
                  <c:v>0.50387013928064373</c:v>
                </c:pt>
                <c:pt idx="43">
                  <c:v>0.43732079474602914</c:v>
                </c:pt>
                <c:pt idx="44">
                  <c:v>0.4826723757734368</c:v>
                </c:pt>
                <c:pt idx="45">
                  <c:v>0.47111537198335673</c:v>
                </c:pt>
                <c:pt idx="46">
                  <c:v>0.4351187134663872</c:v>
                </c:pt>
                <c:pt idx="47">
                  <c:v>0.40472286053607776</c:v>
                </c:pt>
                <c:pt idx="48">
                  <c:v>0.43109973856632289</c:v>
                </c:pt>
                <c:pt idx="49">
                  <c:v>0.46063530470929948</c:v>
                </c:pt>
                <c:pt idx="50">
                  <c:v>0.51111255233423525</c:v>
                </c:pt>
                <c:pt idx="51">
                  <c:v>0.41203611301930065</c:v>
                </c:pt>
                <c:pt idx="52">
                  <c:v>0.47277871660802373</c:v>
                </c:pt>
                <c:pt idx="53">
                  <c:v>0.46782878003374706</c:v>
                </c:pt>
                <c:pt idx="54">
                  <c:v>0.47818699843266677</c:v>
                </c:pt>
                <c:pt idx="55">
                  <c:v>0.45502025668965262</c:v>
                </c:pt>
                <c:pt idx="56">
                  <c:v>0.43904985399038687</c:v>
                </c:pt>
                <c:pt idx="57">
                  <c:v>0.42615224142113006</c:v>
                </c:pt>
                <c:pt idx="58">
                  <c:v>0.46399851699675687</c:v>
                </c:pt>
                <c:pt idx="59">
                  <c:v>0.45282555327217833</c:v>
                </c:pt>
                <c:pt idx="60">
                  <c:v>0.44510007450032241</c:v>
                </c:pt>
                <c:pt idx="61">
                  <c:v>0.46013832958945566</c:v>
                </c:pt>
                <c:pt idx="62">
                  <c:v>0.45489441939250441</c:v>
                </c:pt>
                <c:pt idx="63">
                  <c:v>0.45610865206681028</c:v>
                </c:pt>
                <c:pt idx="64">
                  <c:v>0.45012227396717908</c:v>
                </c:pt>
                <c:pt idx="65">
                  <c:v>0.43528528263664046</c:v>
                </c:pt>
                <c:pt idx="66">
                  <c:v>0.45102671627660396</c:v>
                </c:pt>
                <c:pt idx="67">
                  <c:v>0.45005695893885189</c:v>
                </c:pt>
                <c:pt idx="68">
                  <c:v>0.49820271081026113</c:v>
                </c:pt>
                <c:pt idx="69">
                  <c:v>0.45581940052717806</c:v>
                </c:pt>
                <c:pt idx="70">
                  <c:v>0.47421074912070882</c:v>
                </c:pt>
                <c:pt idx="71">
                  <c:v>0.44157927150073517</c:v>
                </c:pt>
                <c:pt idx="72">
                  <c:v>0.42082316218245497</c:v>
                </c:pt>
                <c:pt idx="73">
                  <c:v>0.45709273612878931</c:v>
                </c:pt>
                <c:pt idx="74">
                  <c:v>0.45611466274420209</c:v>
                </c:pt>
                <c:pt idx="75">
                  <c:v>0.47149462088829708</c:v>
                </c:pt>
                <c:pt idx="76">
                  <c:v>0.42655781426526551</c:v>
                </c:pt>
                <c:pt idx="77">
                  <c:v>0.47165038760841504</c:v>
                </c:pt>
                <c:pt idx="78">
                  <c:v>0.50084389015394071</c:v>
                </c:pt>
                <c:pt idx="79">
                  <c:v>0.45123940303060062</c:v>
                </c:pt>
                <c:pt idx="80">
                  <c:v>0.43565001206352494</c:v>
                </c:pt>
                <c:pt idx="81">
                  <c:v>0.4441174802700969</c:v>
                </c:pt>
                <c:pt idx="82">
                  <c:v>0.45470215690595506</c:v>
                </c:pt>
                <c:pt idx="83">
                  <c:v>0.50032294472802619</c:v>
                </c:pt>
                <c:pt idx="84">
                  <c:v>0.47888181150598941</c:v>
                </c:pt>
                <c:pt idx="85">
                  <c:v>0.41499645342206182</c:v>
                </c:pt>
                <c:pt idx="86">
                  <c:v>0.45540174619216911</c:v>
                </c:pt>
                <c:pt idx="87">
                  <c:v>0.46577545228028394</c:v>
                </c:pt>
                <c:pt idx="88">
                  <c:v>0.46140105606556858</c:v>
                </c:pt>
                <c:pt idx="89">
                  <c:v>0.49334576478596981</c:v>
                </c:pt>
                <c:pt idx="90">
                  <c:v>0.46192992090860097</c:v>
                </c:pt>
                <c:pt idx="91">
                  <c:v>0.48194546770488733</c:v>
                </c:pt>
                <c:pt idx="92">
                  <c:v>0.47923923304063609</c:v>
                </c:pt>
                <c:pt idx="93">
                  <c:v>0.41488142818319518</c:v>
                </c:pt>
                <c:pt idx="94">
                  <c:v>0.44739245504415237</c:v>
                </c:pt>
                <c:pt idx="95">
                  <c:v>0.45283212208835999</c:v>
                </c:pt>
                <c:pt idx="96">
                  <c:v>0.41650629741814416</c:v>
                </c:pt>
                <c:pt idx="97">
                  <c:v>0.45468283832942391</c:v>
                </c:pt>
                <c:pt idx="98">
                  <c:v>0.47652747183104349</c:v>
                </c:pt>
                <c:pt idx="99">
                  <c:v>0.47756451082333218</c:v>
                </c:pt>
                <c:pt idx="100">
                  <c:v>0.47703543539401516</c:v>
                </c:pt>
                <c:pt idx="101">
                  <c:v>0.4373339174569173</c:v>
                </c:pt>
                <c:pt idx="102">
                  <c:v>0.49916528317363151</c:v>
                </c:pt>
                <c:pt idx="103">
                  <c:v>0.4506130506879098</c:v>
                </c:pt>
                <c:pt idx="104">
                  <c:v>0.4028384536071854</c:v>
                </c:pt>
                <c:pt idx="105">
                  <c:v>0.43418376125767133</c:v>
                </c:pt>
                <c:pt idx="106">
                  <c:v>0.48269929779767562</c:v>
                </c:pt>
                <c:pt idx="107">
                  <c:v>0.45405655366223607</c:v>
                </c:pt>
                <c:pt idx="108">
                  <c:v>0.46644648113816767</c:v>
                </c:pt>
                <c:pt idx="109">
                  <c:v>0.46144955614809713</c:v>
                </c:pt>
                <c:pt idx="110">
                  <c:v>0.4822499062153256</c:v>
                </c:pt>
                <c:pt idx="111">
                  <c:v>0.48383106171286849</c:v>
                </c:pt>
                <c:pt idx="112">
                  <c:v>0.44762168512947276</c:v>
                </c:pt>
                <c:pt idx="113">
                  <c:v>0.46869551567661527</c:v>
                </c:pt>
                <c:pt idx="114">
                  <c:v>0.47965083538625697</c:v>
                </c:pt>
                <c:pt idx="115">
                  <c:v>0.50273787279750137</c:v>
                </c:pt>
                <c:pt idx="116">
                  <c:v>0.44743249209059632</c:v>
                </c:pt>
                <c:pt idx="117">
                  <c:v>0.48047340582473108</c:v>
                </c:pt>
                <c:pt idx="118">
                  <c:v>0.47363305187985394</c:v>
                </c:pt>
                <c:pt idx="119">
                  <c:v>0.47830562666180043</c:v>
                </c:pt>
                <c:pt idx="120">
                  <c:v>0.4112584066151701</c:v>
                </c:pt>
                <c:pt idx="121">
                  <c:v>0.4360912352684756</c:v>
                </c:pt>
                <c:pt idx="122">
                  <c:v>0.4646917647080353</c:v>
                </c:pt>
                <c:pt idx="123">
                  <c:v>0.45768596729971622</c:v>
                </c:pt>
                <c:pt idx="124">
                  <c:v>0.44708032549847854</c:v>
                </c:pt>
                <c:pt idx="125">
                  <c:v>0.4522808529365927</c:v>
                </c:pt>
                <c:pt idx="126">
                  <c:v>0.43837432466250692</c:v>
                </c:pt>
                <c:pt idx="127">
                  <c:v>0.46540477301642968</c:v>
                </c:pt>
                <c:pt idx="128">
                  <c:v>0.4662998370874416</c:v>
                </c:pt>
                <c:pt idx="129">
                  <c:v>0.47559278563363261</c:v>
                </c:pt>
                <c:pt idx="130">
                  <c:v>0.45373676989903067</c:v>
                </c:pt>
                <c:pt idx="131">
                  <c:v>0.47141711647203532</c:v>
                </c:pt>
                <c:pt idx="132">
                  <c:v>0.44948014141880344</c:v>
                </c:pt>
                <c:pt idx="133">
                  <c:v>0.42089372438827799</c:v>
                </c:pt>
                <c:pt idx="134">
                  <c:v>0.46843236878594841</c:v>
                </c:pt>
                <c:pt idx="135">
                  <c:v>0.45321539896758223</c:v>
                </c:pt>
                <c:pt idx="136">
                  <c:v>0.46603329717983444</c:v>
                </c:pt>
                <c:pt idx="137">
                  <c:v>0.44755020218208408</c:v>
                </c:pt>
                <c:pt idx="138">
                  <c:v>0.46941177397882394</c:v>
                </c:pt>
                <c:pt idx="139">
                  <c:v>0.4571939047053728</c:v>
                </c:pt>
                <c:pt idx="140">
                  <c:v>0.45433614034517866</c:v>
                </c:pt>
                <c:pt idx="141">
                  <c:v>0.48558699530449356</c:v>
                </c:pt>
                <c:pt idx="142">
                  <c:v>0.48469991420927294</c:v>
                </c:pt>
                <c:pt idx="143">
                  <c:v>0.45944669955363815</c:v>
                </c:pt>
                <c:pt idx="144">
                  <c:v>0.43944152153182792</c:v>
                </c:pt>
                <c:pt idx="145">
                  <c:v>0.48814963090113705</c:v>
                </c:pt>
                <c:pt idx="146">
                  <c:v>0.4726367018219868</c:v>
                </c:pt>
                <c:pt idx="147">
                  <c:v>0.47817866938739373</c:v>
                </c:pt>
                <c:pt idx="148">
                  <c:v>0.49680130038095927</c:v>
                </c:pt>
                <c:pt idx="149">
                  <c:v>0.48007732172844708</c:v>
                </c:pt>
                <c:pt idx="150">
                  <c:v>0.48570221794817958</c:v>
                </c:pt>
                <c:pt idx="151">
                  <c:v>0.48013481646768263</c:v>
                </c:pt>
                <c:pt idx="152">
                  <c:v>0.52218106394901365</c:v>
                </c:pt>
                <c:pt idx="153">
                  <c:v>0.51337595236129641</c:v>
                </c:pt>
                <c:pt idx="154">
                  <c:v>0.46093728985880955</c:v>
                </c:pt>
                <c:pt idx="155">
                  <c:v>0.47850809584443366</c:v>
                </c:pt>
                <c:pt idx="156">
                  <c:v>0.49810632016136114</c:v>
                </c:pt>
                <c:pt idx="157">
                  <c:v>0.48789024001338643</c:v>
                </c:pt>
                <c:pt idx="158">
                  <c:v>0.46398876993745874</c:v>
                </c:pt>
                <c:pt idx="159">
                  <c:v>0.46707104752502682</c:v>
                </c:pt>
                <c:pt idx="160">
                  <c:v>0.45192561930263397</c:v>
                </c:pt>
                <c:pt idx="161">
                  <c:v>0.47579022210490263</c:v>
                </c:pt>
                <c:pt idx="162">
                  <c:v>0.46040862245251302</c:v>
                </c:pt>
                <c:pt idx="163">
                  <c:v>0.44954919696047169</c:v>
                </c:pt>
                <c:pt idx="164">
                  <c:v>0.44062260513237628</c:v>
                </c:pt>
                <c:pt idx="165">
                  <c:v>0.46158229896530378</c:v>
                </c:pt>
                <c:pt idx="166">
                  <c:v>0.44047801484207305</c:v>
                </c:pt>
                <c:pt idx="167">
                  <c:v>0.4651180911551609</c:v>
                </c:pt>
                <c:pt idx="168">
                  <c:v>0.48607181861472615</c:v>
                </c:pt>
                <c:pt idx="169">
                  <c:v>0.49339649400614993</c:v>
                </c:pt>
                <c:pt idx="170">
                  <c:v>0.44643840309387772</c:v>
                </c:pt>
                <c:pt idx="171">
                  <c:v>0.47558682057623458</c:v>
                </c:pt>
                <c:pt idx="172">
                  <c:v>0.43719415440458742</c:v>
                </c:pt>
                <c:pt idx="173">
                  <c:v>0.43423268243856072</c:v>
                </c:pt>
                <c:pt idx="174">
                  <c:v>0.41375197724934543</c:v>
                </c:pt>
                <c:pt idx="175">
                  <c:v>0.45732959960436204</c:v>
                </c:pt>
                <c:pt idx="176">
                  <c:v>0.4447813487618979</c:v>
                </c:pt>
                <c:pt idx="177">
                  <c:v>0.44924185005415995</c:v>
                </c:pt>
                <c:pt idx="178">
                  <c:v>0.41172771110200768</c:v>
                </c:pt>
                <c:pt idx="179">
                  <c:v>0.49295654187109483</c:v>
                </c:pt>
                <c:pt idx="180">
                  <c:v>0.46954623591787059</c:v>
                </c:pt>
                <c:pt idx="181">
                  <c:v>0.44635686449691891</c:v>
                </c:pt>
                <c:pt idx="182">
                  <c:v>0.45295119808606787</c:v>
                </c:pt>
                <c:pt idx="183">
                  <c:v>0.48813850772064171</c:v>
                </c:pt>
                <c:pt idx="184">
                  <c:v>0.46947497666256011</c:v>
                </c:pt>
                <c:pt idx="185">
                  <c:v>0.4515705802153076</c:v>
                </c:pt>
                <c:pt idx="186">
                  <c:v>0.45238295529864736</c:v>
                </c:pt>
                <c:pt idx="187">
                  <c:v>0.44177478599588738</c:v>
                </c:pt>
                <c:pt idx="188">
                  <c:v>0.48042881584125907</c:v>
                </c:pt>
                <c:pt idx="189">
                  <c:v>0.4870018228651809</c:v>
                </c:pt>
                <c:pt idx="190">
                  <c:v>0.43154168860817665</c:v>
                </c:pt>
                <c:pt idx="191">
                  <c:v>0.41984951089222156</c:v>
                </c:pt>
                <c:pt idx="192">
                  <c:v>0.44232547946336376</c:v>
                </c:pt>
                <c:pt idx="193">
                  <c:v>0.43389344530081742</c:v>
                </c:pt>
                <c:pt idx="194">
                  <c:v>0.45071273792397459</c:v>
                </c:pt>
                <c:pt idx="195">
                  <c:v>0.39869316473778138</c:v>
                </c:pt>
                <c:pt idx="196">
                  <c:v>0.46776865935562162</c:v>
                </c:pt>
                <c:pt idx="197">
                  <c:v>0.45417206817082989</c:v>
                </c:pt>
                <c:pt idx="198">
                  <c:v>0.43894831042240212</c:v>
                </c:pt>
                <c:pt idx="199">
                  <c:v>0.41200260390428989</c:v>
                </c:pt>
                <c:pt idx="200">
                  <c:v>0.44181489382996464</c:v>
                </c:pt>
                <c:pt idx="201">
                  <c:v>0.43660655136786697</c:v>
                </c:pt>
                <c:pt idx="202">
                  <c:v>0.43433276585380165</c:v>
                </c:pt>
                <c:pt idx="203">
                  <c:v>0.45999225690855861</c:v>
                </c:pt>
                <c:pt idx="204">
                  <c:v>0.48388873364285878</c:v>
                </c:pt>
                <c:pt idx="205">
                  <c:v>0.46277600838697297</c:v>
                </c:pt>
                <c:pt idx="206">
                  <c:v>0.47498767814485765</c:v>
                </c:pt>
                <c:pt idx="207">
                  <c:v>0.4352493516182252</c:v>
                </c:pt>
                <c:pt idx="208">
                  <c:v>0.43994676520398968</c:v>
                </c:pt>
                <c:pt idx="209">
                  <c:v>0.42821886139381737</c:v>
                </c:pt>
                <c:pt idx="210">
                  <c:v>0.4859182011313854</c:v>
                </c:pt>
                <c:pt idx="211">
                  <c:v>0.44575416174793681</c:v>
                </c:pt>
                <c:pt idx="212">
                  <c:v>0.45056546438797929</c:v>
                </c:pt>
                <c:pt idx="213">
                  <c:v>0.47215535558607069</c:v>
                </c:pt>
                <c:pt idx="214">
                  <c:v>0.43190108310723141</c:v>
                </c:pt>
                <c:pt idx="215">
                  <c:v>0.45156070218349331</c:v>
                </c:pt>
                <c:pt idx="216">
                  <c:v>0.46193956649516021</c:v>
                </c:pt>
                <c:pt idx="217">
                  <c:v>0.45355947122714491</c:v>
                </c:pt>
                <c:pt idx="218">
                  <c:v>0.47114597831727667</c:v>
                </c:pt>
                <c:pt idx="219">
                  <c:v>0.40954119025154734</c:v>
                </c:pt>
                <c:pt idx="220">
                  <c:v>0.48250983528389324</c:v>
                </c:pt>
                <c:pt idx="221">
                  <c:v>0.4750390775288218</c:v>
                </c:pt>
                <c:pt idx="222">
                  <c:v>0.43201062209766738</c:v>
                </c:pt>
                <c:pt idx="223">
                  <c:v>0.44471230442200094</c:v>
                </c:pt>
                <c:pt idx="224">
                  <c:v>0.49905716158756519</c:v>
                </c:pt>
                <c:pt idx="225">
                  <c:v>0.46281136508326326</c:v>
                </c:pt>
                <c:pt idx="226">
                  <c:v>0.44546885129883584</c:v>
                </c:pt>
                <c:pt idx="227">
                  <c:v>0.45642375914632405</c:v>
                </c:pt>
                <c:pt idx="228">
                  <c:v>0.44498965151062131</c:v>
                </c:pt>
                <c:pt idx="229">
                  <c:v>0.45259239764044779</c:v>
                </c:pt>
                <c:pt idx="230">
                  <c:v>0.46639991673764203</c:v>
                </c:pt>
                <c:pt idx="231">
                  <c:v>0.45259696380199332</c:v>
                </c:pt>
                <c:pt idx="232">
                  <c:v>0.445882036210417</c:v>
                </c:pt>
                <c:pt idx="233">
                  <c:v>0.48974534015801119</c:v>
                </c:pt>
                <c:pt idx="234">
                  <c:v>0.48543804333485951</c:v>
                </c:pt>
                <c:pt idx="235">
                  <c:v>0.50547433178466017</c:v>
                </c:pt>
                <c:pt idx="236">
                  <c:v>0.48285898700741181</c:v>
                </c:pt>
                <c:pt idx="237">
                  <c:v>0.47047625958711681</c:v>
                </c:pt>
                <c:pt idx="238">
                  <c:v>0.4770995281214041</c:v>
                </c:pt>
                <c:pt idx="239">
                  <c:v>0.48800448246457129</c:v>
                </c:pt>
                <c:pt idx="240">
                  <c:v>0.46500017698138763</c:v>
                </c:pt>
                <c:pt idx="241">
                  <c:v>0.42590124358618886</c:v>
                </c:pt>
                <c:pt idx="242">
                  <c:v>0.46336073256704235</c:v>
                </c:pt>
                <c:pt idx="243">
                  <c:v>0.45107831219651406</c:v>
                </c:pt>
                <c:pt idx="244">
                  <c:v>0.43361164536176511</c:v>
                </c:pt>
                <c:pt idx="245">
                  <c:v>0.45111838927818804</c:v>
                </c:pt>
                <c:pt idx="246">
                  <c:v>0.41456600812480571</c:v>
                </c:pt>
                <c:pt idx="247">
                  <c:v>0.4142178153680991</c:v>
                </c:pt>
                <c:pt idx="248">
                  <c:v>0.48301596120642376</c:v>
                </c:pt>
                <c:pt idx="249">
                  <c:v>0.46349882198817438</c:v>
                </c:pt>
                <c:pt idx="250">
                  <c:v>0.44982407126641499</c:v>
                </c:pt>
                <c:pt idx="251">
                  <c:v>0.45137919648491653</c:v>
                </c:pt>
                <c:pt idx="252">
                  <c:v>0.41918584784396518</c:v>
                </c:pt>
                <c:pt idx="253">
                  <c:v>0.45848470457280777</c:v>
                </c:pt>
                <c:pt idx="254">
                  <c:v>0.46606825508865146</c:v>
                </c:pt>
                <c:pt idx="255">
                  <c:v>0.47896206449677114</c:v>
                </c:pt>
                <c:pt idx="256">
                  <c:v>0.44701036356386603</c:v>
                </c:pt>
                <c:pt idx="257">
                  <c:v>0.45276826328046815</c:v>
                </c:pt>
                <c:pt idx="258">
                  <c:v>0.47209202417732388</c:v>
                </c:pt>
                <c:pt idx="259">
                  <c:v>0.4668106909382892</c:v>
                </c:pt>
                <c:pt idx="260">
                  <c:v>0.45214437096017956</c:v>
                </c:pt>
                <c:pt idx="261">
                  <c:v>0.46922009386503905</c:v>
                </c:pt>
                <c:pt idx="262">
                  <c:v>0.46737912985036334</c:v>
                </c:pt>
                <c:pt idx="263">
                  <c:v>0.43359509554334519</c:v>
                </c:pt>
                <c:pt idx="264">
                  <c:v>0.46213300632123122</c:v>
                </c:pt>
                <c:pt idx="265">
                  <c:v>0.45629256663768047</c:v>
                </c:pt>
                <c:pt idx="266">
                  <c:v>0.4585949645504559</c:v>
                </c:pt>
                <c:pt idx="267">
                  <c:v>0.47170719033643738</c:v>
                </c:pt>
                <c:pt idx="268">
                  <c:v>0.44235839723187698</c:v>
                </c:pt>
                <c:pt idx="269">
                  <c:v>0.50508851089612672</c:v>
                </c:pt>
                <c:pt idx="270">
                  <c:v>0.46668587833120467</c:v>
                </c:pt>
                <c:pt idx="271">
                  <c:v>0.42887943822539332</c:v>
                </c:pt>
                <c:pt idx="272">
                  <c:v>0.50104929375551865</c:v>
                </c:pt>
                <c:pt idx="273">
                  <c:v>0.47602388323093714</c:v>
                </c:pt>
                <c:pt idx="274">
                  <c:v>0.4160449862216038</c:v>
                </c:pt>
                <c:pt idx="275">
                  <c:v>0.42375973535355427</c:v>
                </c:pt>
                <c:pt idx="276">
                  <c:v>0.5381245186931225</c:v>
                </c:pt>
                <c:pt idx="277">
                  <c:v>0.4586936611315986</c:v>
                </c:pt>
                <c:pt idx="278">
                  <c:v>0.45881759296696489</c:v>
                </c:pt>
                <c:pt idx="279">
                  <c:v>0.4512676796844437</c:v>
                </c:pt>
                <c:pt idx="280">
                  <c:v>0.50277558854477467</c:v>
                </c:pt>
                <c:pt idx="281">
                  <c:v>0.45962160720805034</c:v>
                </c:pt>
                <c:pt idx="282">
                  <c:v>0.43483921228168887</c:v>
                </c:pt>
                <c:pt idx="283">
                  <c:v>0.45404940707197072</c:v>
                </c:pt>
                <c:pt idx="284">
                  <c:v>0.46493216006162141</c:v>
                </c:pt>
                <c:pt idx="285">
                  <c:v>0.45628861484215522</c:v>
                </c:pt>
                <c:pt idx="286">
                  <c:v>0.43036776240966401</c:v>
                </c:pt>
                <c:pt idx="287">
                  <c:v>0.46602090823961118</c:v>
                </c:pt>
                <c:pt idx="288">
                  <c:v>0.4253121632074246</c:v>
                </c:pt>
                <c:pt idx="289">
                  <c:v>0.47490167395522453</c:v>
                </c:pt>
                <c:pt idx="290">
                  <c:v>0.47816543685130908</c:v>
                </c:pt>
                <c:pt idx="291">
                  <c:v>0.4580129880566266</c:v>
                </c:pt>
                <c:pt idx="292">
                  <c:v>0.44982686898689517</c:v>
                </c:pt>
                <c:pt idx="293">
                  <c:v>0.44488135493893655</c:v>
                </c:pt>
                <c:pt idx="294">
                  <c:v>0.46326141130647258</c:v>
                </c:pt>
                <c:pt idx="295">
                  <c:v>0.4701603741445235</c:v>
                </c:pt>
                <c:pt idx="296">
                  <c:v>0.44329521779471492</c:v>
                </c:pt>
                <c:pt idx="297">
                  <c:v>0.46228467499084513</c:v>
                </c:pt>
                <c:pt idx="298">
                  <c:v>0.47024743517238732</c:v>
                </c:pt>
                <c:pt idx="299">
                  <c:v>0.44258898637298794</c:v>
                </c:pt>
                <c:pt idx="300">
                  <c:v>0.44892235559120364</c:v>
                </c:pt>
                <c:pt idx="301">
                  <c:v>0.43759985229262299</c:v>
                </c:pt>
                <c:pt idx="302">
                  <c:v>0.48949760256676678</c:v>
                </c:pt>
                <c:pt idx="303">
                  <c:v>0.46115122972541767</c:v>
                </c:pt>
                <c:pt idx="304">
                  <c:v>0.45105492164054306</c:v>
                </c:pt>
                <c:pt idx="305">
                  <c:v>0.48576765331947991</c:v>
                </c:pt>
                <c:pt idx="306">
                  <c:v>0.45932112525273827</c:v>
                </c:pt>
                <c:pt idx="307">
                  <c:v>0.48508217267261911</c:v>
                </c:pt>
                <c:pt idx="308">
                  <c:v>0.43475895532283837</c:v>
                </c:pt>
                <c:pt idx="309">
                  <c:v>0.45723552444178384</c:v>
                </c:pt>
                <c:pt idx="310">
                  <c:v>0.48507944360629884</c:v>
                </c:pt>
                <c:pt idx="311">
                  <c:v>0.4662925385273613</c:v>
                </c:pt>
                <c:pt idx="312">
                  <c:v>0.46821031306493333</c:v>
                </c:pt>
                <c:pt idx="313">
                  <c:v>0.50012355562353883</c:v>
                </c:pt>
                <c:pt idx="314">
                  <c:v>0.47452267357895028</c:v>
                </c:pt>
                <c:pt idx="315">
                  <c:v>0.4452525810590946</c:v>
                </c:pt>
                <c:pt idx="316">
                  <c:v>0.45980052720851528</c:v>
                </c:pt>
                <c:pt idx="317">
                  <c:v>0.47757848005093684</c:v>
                </c:pt>
                <c:pt idx="318">
                  <c:v>0.48089172678367564</c:v>
                </c:pt>
                <c:pt idx="319">
                  <c:v>0.47143834353077518</c:v>
                </c:pt>
                <c:pt idx="320">
                  <c:v>0.43326209291155893</c:v>
                </c:pt>
                <c:pt idx="321">
                  <c:v>0.45388951309502312</c:v>
                </c:pt>
                <c:pt idx="322">
                  <c:v>0.45963237145839742</c:v>
                </c:pt>
                <c:pt idx="323">
                  <c:v>0.39734406787116683</c:v>
                </c:pt>
                <c:pt idx="324">
                  <c:v>0.44972887502144765</c:v>
                </c:pt>
                <c:pt idx="325">
                  <c:v>0.46098461355509657</c:v>
                </c:pt>
                <c:pt idx="326">
                  <c:v>0.4602108459623595</c:v>
                </c:pt>
                <c:pt idx="327">
                  <c:v>0.47200562599168272</c:v>
                </c:pt>
                <c:pt idx="328">
                  <c:v>0.44846118937424295</c:v>
                </c:pt>
                <c:pt idx="329">
                  <c:v>0.43359758717511632</c:v>
                </c:pt>
                <c:pt idx="330">
                  <c:v>0.48829315040153642</c:v>
                </c:pt>
                <c:pt idx="331">
                  <c:v>0.47286613128215493</c:v>
                </c:pt>
                <c:pt idx="332">
                  <c:v>0.44185539880404079</c:v>
                </c:pt>
                <c:pt idx="333">
                  <c:v>0.46153703301583349</c:v>
                </c:pt>
                <c:pt idx="334">
                  <c:v>0.4674636827176033</c:v>
                </c:pt>
                <c:pt idx="335">
                  <c:v>0.45442592763452572</c:v>
                </c:pt>
                <c:pt idx="336">
                  <c:v>0.41884564538580205</c:v>
                </c:pt>
                <c:pt idx="337">
                  <c:v>0.46033195549358874</c:v>
                </c:pt>
                <c:pt idx="338">
                  <c:v>0.46179081315351467</c:v>
                </c:pt>
                <c:pt idx="339">
                  <c:v>0.43431871054213333</c:v>
                </c:pt>
                <c:pt idx="340">
                  <c:v>0.45940464224303978</c:v>
                </c:pt>
                <c:pt idx="341">
                  <c:v>0.45896515769682833</c:v>
                </c:pt>
                <c:pt idx="342">
                  <c:v>0.49805418686887926</c:v>
                </c:pt>
                <c:pt idx="343">
                  <c:v>0.45398012512630959</c:v>
                </c:pt>
                <c:pt idx="344">
                  <c:v>0.43790672695215882</c:v>
                </c:pt>
                <c:pt idx="345">
                  <c:v>0.47222906368420214</c:v>
                </c:pt>
                <c:pt idx="346">
                  <c:v>0.48618061067557394</c:v>
                </c:pt>
                <c:pt idx="347">
                  <c:v>0.4634169999603881</c:v>
                </c:pt>
                <c:pt idx="348">
                  <c:v>0.44645977258854885</c:v>
                </c:pt>
                <c:pt idx="349">
                  <c:v>0.46044458221091311</c:v>
                </c:pt>
                <c:pt idx="350">
                  <c:v>0.48191346700440274</c:v>
                </c:pt>
                <c:pt idx="351">
                  <c:v>0.4415613843175421</c:v>
                </c:pt>
                <c:pt idx="352">
                  <c:v>0.47911941758359977</c:v>
                </c:pt>
                <c:pt idx="353">
                  <c:v>0.44549728057035898</c:v>
                </c:pt>
                <c:pt idx="354">
                  <c:v>0.45041779551474881</c:v>
                </c:pt>
                <c:pt idx="355">
                  <c:v>0.49526926367638868</c:v>
                </c:pt>
                <c:pt idx="356">
                  <c:v>0.48461873354118001</c:v>
                </c:pt>
                <c:pt idx="357">
                  <c:v>0.46312087963033988</c:v>
                </c:pt>
                <c:pt idx="358">
                  <c:v>0.47968636718440516</c:v>
                </c:pt>
                <c:pt idx="359">
                  <c:v>0.42477456450227802</c:v>
                </c:pt>
                <c:pt idx="360">
                  <c:v>0.45218065974092769</c:v>
                </c:pt>
                <c:pt idx="361">
                  <c:v>0.44244223196803079</c:v>
                </c:pt>
                <c:pt idx="362">
                  <c:v>0.45613232219905142</c:v>
                </c:pt>
                <c:pt idx="363">
                  <c:v>0.44957978542676824</c:v>
                </c:pt>
                <c:pt idx="364">
                  <c:v>0.42985457961587503</c:v>
                </c:pt>
                <c:pt idx="365">
                  <c:v>0.45169995834706955</c:v>
                </c:pt>
                <c:pt idx="366">
                  <c:v>0.46847108387927006</c:v>
                </c:pt>
                <c:pt idx="367">
                  <c:v>0.45891864402582816</c:v>
                </c:pt>
                <c:pt idx="368">
                  <c:v>0.45613332439070975</c:v>
                </c:pt>
                <c:pt idx="369">
                  <c:v>0.47877576510859021</c:v>
                </c:pt>
                <c:pt idx="370">
                  <c:v>0.46972786712471692</c:v>
                </c:pt>
                <c:pt idx="371">
                  <c:v>0.48155000955556226</c:v>
                </c:pt>
                <c:pt idx="372">
                  <c:v>0.47226571641301951</c:v>
                </c:pt>
                <c:pt idx="373">
                  <c:v>0.47469739944766864</c:v>
                </c:pt>
                <c:pt idx="374">
                  <c:v>0.47051920502220534</c:v>
                </c:pt>
                <c:pt idx="375">
                  <c:v>0.48223625749161148</c:v>
                </c:pt>
                <c:pt idx="376">
                  <c:v>0.46634755699922303</c:v>
                </c:pt>
                <c:pt idx="377">
                  <c:v>0.47941851728069773</c:v>
                </c:pt>
                <c:pt idx="378">
                  <c:v>0.49521566548654605</c:v>
                </c:pt>
                <c:pt idx="379">
                  <c:v>0.47791875558075181</c:v>
                </c:pt>
                <c:pt idx="380">
                  <c:v>0.445067464667803</c:v>
                </c:pt>
                <c:pt idx="381">
                  <c:v>0.49507238677117948</c:v>
                </c:pt>
                <c:pt idx="382">
                  <c:v>0.48745367558240615</c:v>
                </c:pt>
                <c:pt idx="383">
                  <c:v>0.46306764499866659</c:v>
                </c:pt>
                <c:pt idx="384">
                  <c:v>0.4827361518224409</c:v>
                </c:pt>
                <c:pt idx="385">
                  <c:v>0.45557296549161186</c:v>
                </c:pt>
                <c:pt idx="386">
                  <c:v>0.42378341707098199</c:v>
                </c:pt>
                <c:pt idx="387">
                  <c:v>0.43903139739859287</c:v>
                </c:pt>
                <c:pt idx="388">
                  <c:v>0.48747592859530253</c:v>
                </c:pt>
                <c:pt idx="389">
                  <c:v>0.47030945063702778</c:v>
                </c:pt>
                <c:pt idx="390">
                  <c:v>0.45137771826036222</c:v>
                </c:pt>
                <c:pt idx="391">
                  <c:v>0.46753031022906799</c:v>
                </c:pt>
                <c:pt idx="392">
                  <c:v>0.45534802634004112</c:v>
                </c:pt>
                <c:pt idx="393">
                  <c:v>0.44705310168014645</c:v>
                </c:pt>
                <c:pt idx="394">
                  <c:v>0.51094014062921689</c:v>
                </c:pt>
                <c:pt idx="395">
                  <c:v>0.45990920243848765</c:v>
                </c:pt>
                <c:pt idx="396">
                  <c:v>0.46996675444084057</c:v>
                </c:pt>
                <c:pt idx="397">
                  <c:v>0.41957610335092999</c:v>
                </c:pt>
                <c:pt idx="398">
                  <c:v>0.43664227922441889</c:v>
                </c:pt>
                <c:pt idx="399">
                  <c:v>0.45413515206593869</c:v>
                </c:pt>
                <c:pt idx="400">
                  <c:v>0.4506234044426829</c:v>
                </c:pt>
                <c:pt idx="401">
                  <c:v>0.4629270250872255</c:v>
                </c:pt>
                <c:pt idx="402">
                  <c:v>0.40526979505448035</c:v>
                </c:pt>
                <c:pt idx="403">
                  <c:v>0.45366693621732357</c:v>
                </c:pt>
                <c:pt idx="404">
                  <c:v>0.50124754668683913</c:v>
                </c:pt>
                <c:pt idx="405">
                  <c:v>0.50486874209634403</c:v>
                </c:pt>
                <c:pt idx="406">
                  <c:v>0.47066287125160211</c:v>
                </c:pt>
                <c:pt idx="407">
                  <c:v>0.45473567225803802</c:v>
                </c:pt>
                <c:pt idx="408">
                  <c:v>0.41956827469664848</c:v>
                </c:pt>
                <c:pt idx="409">
                  <c:v>0.46202192414598819</c:v>
                </c:pt>
                <c:pt idx="410">
                  <c:v>0.44093926576892062</c:v>
                </c:pt>
                <c:pt idx="411">
                  <c:v>0.45110055030181107</c:v>
                </c:pt>
                <c:pt idx="412">
                  <c:v>0.49271721945097391</c:v>
                </c:pt>
                <c:pt idx="413">
                  <c:v>0.46487237483401933</c:v>
                </c:pt>
                <c:pt idx="414">
                  <c:v>0.50233427788795471</c:v>
                </c:pt>
                <c:pt idx="415">
                  <c:v>0.46223949715094226</c:v>
                </c:pt>
                <c:pt idx="416">
                  <c:v>0.46612336416651368</c:v>
                </c:pt>
                <c:pt idx="417">
                  <c:v>0.44810560637566343</c:v>
                </c:pt>
                <c:pt idx="418">
                  <c:v>0.43567598327529344</c:v>
                </c:pt>
                <c:pt idx="419">
                  <c:v>0.48724833129189093</c:v>
                </c:pt>
                <c:pt idx="420">
                  <c:v>0.40652342198533797</c:v>
                </c:pt>
                <c:pt idx="421">
                  <c:v>0.47036766028301402</c:v>
                </c:pt>
                <c:pt idx="422">
                  <c:v>0.45375556021891961</c:v>
                </c:pt>
                <c:pt idx="423">
                  <c:v>0.46964220775291832</c:v>
                </c:pt>
                <c:pt idx="424">
                  <c:v>0.46109135649012267</c:v>
                </c:pt>
                <c:pt idx="425">
                  <c:v>0.48069398850126421</c:v>
                </c:pt>
                <c:pt idx="426">
                  <c:v>0.42550296914913743</c:v>
                </c:pt>
                <c:pt idx="427">
                  <c:v>0.39829770460608449</c:v>
                </c:pt>
                <c:pt idx="428">
                  <c:v>0.43194748314979181</c:v>
                </c:pt>
                <c:pt idx="429">
                  <c:v>0.43952550384553657</c:v>
                </c:pt>
                <c:pt idx="430">
                  <c:v>0.49234157493292807</c:v>
                </c:pt>
                <c:pt idx="431">
                  <c:v>0.44300694014265396</c:v>
                </c:pt>
                <c:pt idx="432">
                  <c:v>0.4837614830002166</c:v>
                </c:pt>
                <c:pt idx="433">
                  <c:v>0.44649869422803223</c:v>
                </c:pt>
                <c:pt idx="434">
                  <c:v>0.47291460483922299</c:v>
                </c:pt>
                <c:pt idx="435">
                  <c:v>0.45179546408810967</c:v>
                </c:pt>
                <c:pt idx="436">
                  <c:v>0.46201767435635643</c:v>
                </c:pt>
                <c:pt idx="437">
                  <c:v>0.4320915474364222</c:v>
                </c:pt>
                <c:pt idx="438">
                  <c:v>0.40227493029369077</c:v>
                </c:pt>
                <c:pt idx="439">
                  <c:v>0.45292550165004886</c:v>
                </c:pt>
                <c:pt idx="440">
                  <c:v>0.45440134684704803</c:v>
                </c:pt>
                <c:pt idx="441">
                  <c:v>0.50562563711830855</c:v>
                </c:pt>
                <c:pt idx="442">
                  <c:v>0.51243259702731137</c:v>
                </c:pt>
                <c:pt idx="443">
                  <c:v>0.43110395179119787</c:v>
                </c:pt>
                <c:pt idx="444">
                  <c:v>0.4506169091858383</c:v>
                </c:pt>
                <c:pt idx="445">
                  <c:v>0.48132208486385331</c:v>
                </c:pt>
                <c:pt idx="446">
                  <c:v>0.40046234968809036</c:v>
                </c:pt>
                <c:pt idx="447">
                  <c:v>0.46642079059281971</c:v>
                </c:pt>
                <c:pt idx="448">
                  <c:v>0.50158159728519291</c:v>
                </c:pt>
                <c:pt idx="449">
                  <c:v>0.4818089127942029</c:v>
                </c:pt>
                <c:pt idx="450">
                  <c:v>0.45354606487500781</c:v>
                </c:pt>
                <c:pt idx="451">
                  <c:v>0.46479810084865258</c:v>
                </c:pt>
                <c:pt idx="452">
                  <c:v>0.43937521232084054</c:v>
                </c:pt>
                <c:pt idx="453">
                  <c:v>0.45124958710655538</c:v>
                </c:pt>
                <c:pt idx="454">
                  <c:v>0.47248183016673484</c:v>
                </c:pt>
                <c:pt idx="455">
                  <c:v>0.45132844215901402</c:v>
                </c:pt>
                <c:pt idx="456">
                  <c:v>0.43040198202462565</c:v>
                </c:pt>
                <c:pt idx="457">
                  <c:v>0.46426802399657308</c:v>
                </c:pt>
                <c:pt idx="458">
                  <c:v>0.47837013654602023</c:v>
                </c:pt>
                <c:pt idx="459">
                  <c:v>0.47009939141933765</c:v>
                </c:pt>
                <c:pt idx="460">
                  <c:v>0.42659419950596145</c:v>
                </c:pt>
                <c:pt idx="461">
                  <c:v>0.50183155592661555</c:v>
                </c:pt>
                <c:pt idx="462">
                  <c:v>0.48484371585985242</c:v>
                </c:pt>
                <c:pt idx="463">
                  <c:v>0.44183111546231668</c:v>
                </c:pt>
                <c:pt idx="464">
                  <c:v>0.46868720611435277</c:v>
                </c:pt>
                <c:pt idx="465">
                  <c:v>0.47721823277453423</c:v>
                </c:pt>
                <c:pt idx="466">
                  <c:v>0.43987957364341113</c:v>
                </c:pt>
                <c:pt idx="467">
                  <c:v>0.45373495083958471</c:v>
                </c:pt>
                <c:pt idx="468">
                  <c:v>0.4581538853269207</c:v>
                </c:pt>
                <c:pt idx="469">
                  <c:v>0.48306526147558992</c:v>
                </c:pt>
                <c:pt idx="470">
                  <c:v>0.44427288333569148</c:v>
                </c:pt>
                <c:pt idx="471">
                  <c:v>0.45038134516841</c:v>
                </c:pt>
                <c:pt idx="472">
                  <c:v>0.37980757918345653</c:v>
                </c:pt>
                <c:pt idx="473">
                  <c:v>0.46369163431209204</c:v>
                </c:pt>
                <c:pt idx="474">
                  <c:v>0.46741221045497428</c:v>
                </c:pt>
                <c:pt idx="475">
                  <c:v>0.45779465239401818</c:v>
                </c:pt>
                <c:pt idx="476">
                  <c:v>0.46943288373289471</c:v>
                </c:pt>
                <c:pt idx="477">
                  <c:v>0.45593657808276755</c:v>
                </c:pt>
                <c:pt idx="478">
                  <c:v>0.44361398797330631</c:v>
                </c:pt>
                <c:pt idx="479">
                  <c:v>0.41654537765797817</c:v>
                </c:pt>
                <c:pt idx="480">
                  <c:v>0.46509109113835745</c:v>
                </c:pt>
                <c:pt idx="481">
                  <c:v>0.49534852179724531</c:v>
                </c:pt>
                <c:pt idx="482">
                  <c:v>0.46661711479318435</c:v>
                </c:pt>
                <c:pt idx="483">
                  <c:v>0.50512002839438597</c:v>
                </c:pt>
                <c:pt idx="484">
                  <c:v>0.43119083768175837</c:v>
                </c:pt>
                <c:pt idx="485">
                  <c:v>0.47730302585462447</c:v>
                </c:pt>
                <c:pt idx="486">
                  <c:v>0.49210308368556688</c:v>
                </c:pt>
                <c:pt idx="487">
                  <c:v>0.4493216880059554</c:v>
                </c:pt>
                <c:pt idx="488">
                  <c:v>0.43348001868276786</c:v>
                </c:pt>
                <c:pt idx="489">
                  <c:v>0.43827213508782181</c:v>
                </c:pt>
                <c:pt idx="490">
                  <c:v>0.42516128565741207</c:v>
                </c:pt>
                <c:pt idx="491">
                  <c:v>0.45117202167504855</c:v>
                </c:pt>
                <c:pt idx="492">
                  <c:v>0.46714825672457461</c:v>
                </c:pt>
                <c:pt idx="493">
                  <c:v>0.43956530021447504</c:v>
                </c:pt>
                <c:pt idx="494">
                  <c:v>0.46402343867573448</c:v>
                </c:pt>
                <c:pt idx="495">
                  <c:v>0.46971182829317359</c:v>
                </c:pt>
                <c:pt idx="496">
                  <c:v>0.46785434621686939</c:v>
                </c:pt>
                <c:pt idx="497">
                  <c:v>0.46084451397578108</c:v>
                </c:pt>
                <c:pt idx="498">
                  <c:v>0.47734574915132777</c:v>
                </c:pt>
                <c:pt idx="499">
                  <c:v>0.46287211209233825</c:v>
                </c:pt>
                <c:pt idx="500">
                  <c:v>0.40360190746967728</c:v>
                </c:pt>
                <c:pt idx="501">
                  <c:v>0.44431114910480263</c:v>
                </c:pt>
                <c:pt idx="502">
                  <c:v>0.47203521773123192</c:v>
                </c:pt>
                <c:pt idx="503">
                  <c:v>0.40203839965484733</c:v>
                </c:pt>
                <c:pt idx="504">
                  <c:v>0.42882773375079841</c:v>
                </c:pt>
                <c:pt idx="505">
                  <c:v>0.50281027821065072</c:v>
                </c:pt>
                <c:pt idx="506">
                  <c:v>0.46139698067895751</c:v>
                </c:pt>
                <c:pt idx="507">
                  <c:v>0.50234132004951304</c:v>
                </c:pt>
                <c:pt idx="508">
                  <c:v>0.4769886782822832</c:v>
                </c:pt>
                <c:pt idx="509">
                  <c:v>0.4709580148154906</c:v>
                </c:pt>
                <c:pt idx="510">
                  <c:v>0.49429226973387586</c:v>
                </c:pt>
                <c:pt idx="511">
                  <c:v>0.38535932767002001</c:v>
                </c:pt>
                <c:pt idx="512">
                  <c:v>0.42815586942291461</c:v>
                </c:pt>
                <c:pt idx="513">
                  <c:v>0.46418434096774797</c:v>
                </c:pt>
                <c:pt idx="514">
                  <c:v>0.46847599547049845</c:v>
                </c:pt>
                <c:pt idx="515">
                  <c:v>0.44339724698404703</c:v>
                </c:pt>
                <c:pt idx="516">
                  <c:v>0.4891177576128003</c:v>
                </c:pt>
                <c:pt idx="517">
                  <c:v>0.45586898426014311</c:v>
                </c:pt>
                <c:pt idx="518">
                  <c:v>0.44366018675356744</c:v>
                </c:pt>
                <c:pt idx="519">
                  <c:v>0.4387964592311886</c:v>
                </c:pt>
                <c:pt idx="520">
                  <c:v>0.49179756063549429</c:v>
                </c:pt>
                <c:pt idx="521">
                  <c:v>0.47527671300112639</c:v>
                </c:pt>
                <c:pt idx="522">
                  <c:v>0.49273384705930079</c:v>
                </c:pt>
                <c:pt idx="523">
                  <c:v>0.45738176044020085</c:v>
                </c:pt>
                <c:pt idx="524">
                  <c:v>0.46499212039595927</c:v>
                </c:pt>
                <c:pt idx="525">
                  <c:v>0.43498702984137716</c:v>
                </c:pt>
                <c:pt idx="526">
                  <c:v>0.45129778346330474</c:v>
                </c:pt>
                <c:pt idx="527">
                  <c:v>0.46656259758232532</c:v>
                </c:pt>
                <c:pt idx="528">
                  <c:v>0.42439302742133722</c:v>
                </c:pt>
                <c:pt idx="529">
                  <c:v>0.41060829268316179</c:v>
                </c:pt>
                <c:pt idx="530">
                  <c:v>0.44784158594272627</c:v>
                </c:pt>
                <c:pt idx="531">
                  <c:v>0.48485432263030148</c:v>
                </c:pt>
                <c:pt idx="532">
                  <c:v>0.48257837639599166</c:v>
                </c:pt>
                <c:pt idx="533">
                  <c:v>0.48351659544507575</c:v>
                </c:pt>
                <c:pt idx="534">
                  <c:v>0.42719338845723742</c:v>
                </c:pt>
                <c:pt idx="535">
                  <c:v>0.46231349710322078</c:v>
                </c:pt>
                <c:pt idx="536">
                  <c:v>0.48214245507595543</c:v>
                </c:pt>
                <c:pt idx="537">
                  <c:v>0.4713164671812835</c:v>
                </c:pt>
                <c:pt idx="538">
                  <c:v>0.43766923845294836</c:v>
                </c:pt>
                <c:pt idx="539">
                  <c:v>0.44702189421537297</c:v>
                </c:pt>
                <c:pt idx="540">
                  <c:v>0.43405590873427236</c:v>
                </c:pt>
                <c:pt idx="541">
                  <c:v>0.48940842270246554</c:v>
                </c:pt>
                <c:pt idx="542">
                  <c:v>0.49049078891271813</c:v>
                </c:pt>
                <c:pt idx="543">
                  <c:v>0.46862280717735749</c:v>
                </c:pt>
                <c:pt idx="544">
                  <c:v>0.46512676953548082</c:v>
                </c:pt>
                <c:pt idx="545">
                  <c:v>0.42949139755226562</c:v>
                </c:pt>
                <c:pt idx="546">
                  <c:v>0.47642603284879281</c:v>
                </c:pt>
                <c:pt idx="547">
                  <c:v>0.45297669378574468</c:v>
                </c:pt>
                <c:pt idx="548">
                  <c:v>0.44865919425900613</c:v>
                </c:pt>
                <c:pt idx="549">
                  <c:v>0.46231775440571377</c:v>
                </c:pt>
                <c:pt idx="550">
                  <c:v>0.37429017569595313</c:v>
                </c:pt>
                <c:pt idx="551">
                  <c:v>0.43981112530456201</c:v>
                </c:pt>
                <c:pt idx="552">
                  <c:v>0.48159883578584295</c:v>
                </c:pt>
                <c:pt idx="553">
                  <c:v>0.45530402681327575</c:v>
                </c:pt>
                <c:pt idx="554">
                  <c:v>0.43100171120753261</c:v>
                </c:pt>
                <c:pt idx="555">
                  <c:v>0.44506411966296522</c:v>
                </c:pt>
                <c:pt idx="556">
                  <c:v>0.43408401302281807</c:v>
                </c:pt>
                <c:pt idx="557">
                  <c:v>0.45487360286670486</c:v>
                </c:pt>
                <c:pt idx="558">
                  <c:v>0.45630241437613139</c:v>
                </c:pt>
                <c:pt idx="559">
                  <c:v>0.44749668982690061</c:v>
                </c:pt>
                <c:pt idx="560">
                  <c:v>0.40212588101592828</c:v>
                </c:pt>
                <c:pt idx="561">
                  <c:v>0.48954604929622492</c:v>
                </c:pt>
                <c:pt idx="562">
                  <c:v>0.42499500129495749</c:v>
                </c:pt>
                <c:pt idx="563">
                  <c:v>0.4357343069665045</c:v>
                </c:pt>
                <c:pt idx="564">
                  <c:v>0.45160016570227279</c:v>
                </c:pt>
                <c:pt idx="565">
                  <c:v>0.45203580136436416</c:v>
                </c:pt>
                <c:pt idx="566">
                  <c:v>0.44125918046502188</c:v>
                </c:pt>
                <c:pt idx="567">
                  <c:v>0.46343203704034974</c:v>
                </c:pt>
                <c:pt idx="568">
                  <c:v>0.45533209733001545</c:v>
                </c:pt>
                <c:pt idx="569">
                  <c:v>0.40596192952547572</c:v>
                </c:pt>
                <c:pt idx="570">
                  <c:v>0.46278910761505032</c:v>
                </c:pt>
                <c:pt idx="571">
                  <c:v>0.48853649329876392</c:v>
                </c:pt>
                <c:pt idx="572">
                  <c:v>0.46294030064994951</c:v>
                </c:pt>
                <c:pt idx="573">
                  <c:v>0.46777511889652468</c:v>
                </c:pt>
                <c:pt idx="574">
                  <c:v>0.43681876815310128</c:v>
                </c:pt>
                <c:pt idx="575">
                  <c:v>0.48281485259895085</c:v>
                </c:pt>
                <c:pt idx="576">
                  <c:v>0.45332813497013769</c:v>
                </c:pt>
                <c:pt idx="577">
                  <c:v>0.45917024733019973</c:v>
                </c:pt>
                <c:pt idx="578">
                  <c:v>0.45440542577419318</c:v>
                </c:pt>
                <c:pt idx="579">
                  <c:v>0.45200675858363204</c:v>
                </c:pt>
                <c:pt idx="580">
                  <c:v>0.45157762734783535</c:v>
                </c:pt>
                <c:pt idx="581">
                  <c:v>0.46972958977894108</c:v>
                </c:pt>
                <c:pt idx="582">
                  <c:v>0.51389095296719245</c:v>
                </c:pt>
                <c:pt idx="583">
                  <c:v>0.45722406949795502</c:v>
                </c:pt>
                <c:pt idx="584">
                  <c:v>0.45692516457003651</c:v>
                </c:pt>
                <c:pt idx="585">
                  <c:v>0.45187840141963664</c:v>
                </c:pt>
                <c:pt idx="586">
                  <c:v>0.50406393648217551</c:v>
                </c:pt>
                <c:pt idx="587">
                  <c:v>0.45640419803770538</c:v>
                </c:pt>
                <c:pt idx="588">
                  <c:v>0.45416117126226641</c:v>
                </c:pt>
                <c:pt idx="589">
                  <c:v>0.47026880455864895</c:v>
                </c:pt>
                <c:pt idx="590">
                  <c:v>0.44894439982333534</c:v>
                </c:pt>
                <c:pt idx="591">
                  <c:v>0.4535223086538418</c:v>
                </c:pt>
                <c:pt idx="592">
                  <c:v>0.45443297008244121</c:v>
                </c:pt>
                <c:pt idx="593">
                  <c:v>0.45920346418595726</c:v>
                </c:pt>
                <c:pt idx="594">
                  <c:v>0.46495003106735977</c:v>
                </c:pt>
                <c:pt idx="595">
                  <c:v>0.46699233778421911</c:v>
                </c:pt>
                <c:pt idx="596">
                  <c:v>0.4445774705048926</c:v>
                </c:pt>
                <c:pt idx="597">
                  <c:v>0.45084339643295013</c:v>
                </c:pt>
                <c:pt idx="598">
                  <c:v>0.47090300861263756</c:v>
                </c:pt>
                <c:pt idx="599">
                  <c:v>0.47197240796807383</c:v>
                </c:pt>
                <c:pt idx="600">
                  <c:v>0.45937221007521556</c:v>
                </c:pt>
                <c:pt idx="601">
                  <c:v>0.47156018183581105</c:v>
                </c:pt>
                <c:pt idx="602">
                  <c:v>0.51797166479238044</c:v>
                </c:pt>
                <c:pt idx="603">
                  <c:v>0.45746227219097357</c:v>
                </c:pt>
                <c:pt idx="604">
                  <c:v>0.44921704562980658</c:v>
                </c:pt>
                <c:pt idx="605">
                  <c:v>0.43620763690380815</c:v>
                </c:pt>
                <c:pt idx="606">
                  <c:v>0.42531149040532412</c:v>
                </c:pt>
                <c:pt idx="607">
                  <c:v>0.43413445900104364</c:v>
                </c:pt>
                <c:pt idx="608">
                  <c:v>0.43695459279163296</c:v>
                </c:pt>
                <c:pt idx="609">
                  <c:v>0.49403135202108883</c:v>
                </c:pt>
                <c:pt idx="610">
                  <c:v>0.51122147735557899</c:v>
                </c:pt>
                <c:pt idx="611">
                  <c:v>0.41380578392405942</c:v>
                </c:pt>
                <c:pt idx="612">
                  <c:v>0.49327637196967244</c:v>
                </c:pt>
                <c:pt idx="613">
                  <c:v>0.43923382059956739</c:v>
                </c:pt>
                <c:pt idx="614">
                  <c:v>0.46833281539107263</c:v>
                </c:pt>
                <c:pt idx="615">
                  <c:v>0.49674769842957556</c:v>
                </c:pt>
                <c:pt idx="616">
                  <c:v>0.46150638605489203</c:v>
                </c:pt>
                <c:pt idx="617">
                  <c:v>0.48153682541228404</c:v>
                </c:pt>
                <c:pt idx="618">
                  <c:v>0.42948519524187123</c:v>
                </c:pt>
                <c:pt idx="619">
                  <c:v>0.46412888746976066</c:v>
                </c:pt>
                <c:pt idx="620">
                  <c:v>0.46461283616362437</c:v>
                </c:pt>
                <c:pt idx="621">
                  <c:v>0.41412997328401246</c:v>
                </c:pt>
                <c:pt idx="622">
                  <c:v>0.49078075806794197</c:v>
                </c:pt>
                <c:pt idx="623">
                  <c:v>0.40323010893995637</c:v>
                </c:pt>
                <c:pt idx="624">
                  <c:v>0.46176527447616311</c:v>
                </c:pt>
                <c:pt idx="625">
                  <c:v>0.44670704157154839</c:v>
                </c:pt>
                <c:pt idx="626">
                  <c:v>0.46684224115161244</c:v>
                </c:pt>
                <c:pt idx="627">
                  <c:v>0.45614733505387028</c:v>
                </c:pt>
                <c:pt idx="628">
                  <c:v>0.43974281915710911</c:v>
                </c:pt>
                <c:pt idx="629">
                  <c:v>0.50926424924236602</c:v>
                </c:pt>
                <c:pt idx="630">
                  <c:v>0.47731969650070383</c:v>
                </c:pt>
                <c:pt idx="631">
                  <c:v>0.50579013558889718</c:v>
                </c:pt>
                <c:pt idx="632">
                  <c:v>0.45068373193324418</c:v>
                </c:pt>
                <c:pt idx="633">
                  <c:v>0.4917874109224698</c:v>
                </c:pt>
                <c:pt idx="634">
                  <c:v>0.47747725099259175</c:v>
                </c:pt>
                <c:pt idx="635">
                  <c:v>0.4798634936095767</c:v>
                </c:pt>
                <c:pt idx="636">
                  <c:v>0.45716662873749825</c:v>
                </c:pt>
                <c:pt idx="637">
                  <c:v>0.42703025596756916</c:v>
                </c:pt>
                <c:pt idx="638">
                  <c:v>0.45208305492880618</c:v>
                </c:pt>
                <c:pt idx="639">
                  <c:v>0.46572731882154161</c:v>
                </c:pt>
                <c:pt idx="640">
                  <c:v>0.44214141516434013</c:v>
                </c:pt>
                <c:pt idx="641">
                  <c:v>0.44582957114960986</c:v>
                </c:pt>
                <c:pt idx="642">
                  <c:v>0.46137887482013618</c:v>
                </c:pt>
                <c:pt idx="643">
                  <c:v>0.45911545250520014</c:v>
                </c:pt>
                <c:pt idx="644">
                  <c:v>0.38345591564382175</c:v>
                </c:pt>
                <c:pt idx="645">
                  <c:v>0.46474602936313891</c:v>
                </c:pt>
                <c:pt idx="646">
                  <c:v>0.49045375890892684</c:v>
                </c:pt>
                <c:pt idx="647">
                  <c:v>0.47552429336298596</c:v>
                </c:pt>
                <c:pt idx="648">
                  <c:v>0.48550162069259661</c:v>
                </c:pt>
                <c:pt idx="649">
                  <c:v>0.44937038502495485</c:v>
                </c:pt>
                <c:pt idx="650">
                  <c:v>0.45438988509053679</c:v>
                </c:pt>
                <c:pt idx="651">
                  <c:v>0.4799148513776903</c:v>
                </c:pt>
                <c:pt idx="652">
                  <c:v>0.44175032611563902</c:v>
                </c:pt>
                <c:pt idx="653">
                  <c:v>0.47376743239481844</c:v>
                </c:pt>
                <c:pt idx="654">
                  <c:v>0.44780888384068707</c:v>
                </c:pt>
                <c:pt idx="655">
                  <c:v>0.44539231646827271</c:v>
                </c:pt>
                <c:pt idx="656">
                  <c:v>0.43179245074368522</c:v>
                </c:pt>
                <c:pt idx="657">
                  <c:v>0.43970607987418853</c:v>
                </c:pt>
                <c:pt idx="658">
                  <c:v>0.38957179902123507</c:v>
                </c:pt>
                <c:pt idx="659">
                  <c:v>0.49389074756553919</c:v>
                </c:pt>
                <c:pt idx="660">
                  <c:v>0.47587554245964347</c:v>
                </c:pt>
                <c:pt idx="661">
                  <c:v>0.47393822362511484</c:v>
                </c:pt>
                <c:pt idx="662">
                  <c:v>0.47391204472931769</c:v>
                </c:pt>
                <c:pt idx="663">
                  <c:v>0.43503022105171607</c:v>
                </c:pt>
                <c:pt idx="664">
                  <c:v>0.48382150266199386</c:v>
                </c:pt>
                <c:pt idx="665">
                  <c:v>0.40419922499322825</c:v>
                </c:pt>
                <c:pt idx="666">
                  <c:v>0.43718084153893022</c:v>
                </c:pt>
                <c:pt idx="667">
                  <c:v>0.44298554963291559</c:v>
                </c:pt>
                <c:pt idx="668">
                  <c:v>0.43777607469681579</c:v>
                </c:pt>
                <c:pt idx="669">
                  <c:v>0.49071223684483489</c:v>
                </c:pt>
                <c:pt idx="670">
                  <c:v>0.44344329742382271</c:v>
                </c:pt>
                <c:pt idx="671">
                  <c:v>0.45523371627878206</c:v>
                </c:pt>
                <c:pt idx="672">
                  <c:v>0.46382994957345813</c:v>
                </c:pt>
                <c:pt idx="673">
                  <c:v>0.48033767370125147</c:v>
                </c:pt>
                <c:pt idx="674">
                  <c:v>0.45598512212440112</c:v>
                </c:pt>
                <c:pt idx="675">
                  <c:v>0.46795108458094958</c:v>
                </c:pt>
                <c:pt idx="676">
                  <c:v>0.45281640240806076</c:v>
                </c:pt>
                <c:pt idx="677">
                  <c:v>0.47337110072047373</c:v>
                </c:pt>
                <c:pt idx="678">
                  <c:v>0.47089401962797561</c:v>
                </c:pt>
                <c:pt idx="679">
                  <c:v>0.46074679438177379</c:v>
                </c:pt>
                <c:pt idx="680">
                  <c:v>0.44511453407062529</c:v>
                </c:pt>
                <c:pt idx="681">
                  <c:v>0.4046147381745091</c:v>
                </c:pt>
                <c:pt idx="682">
                  <c:v>0.45133406020937539</c:v>
                </c:pt>
                <c:pt idx="683">
                  <c:v>0.47978644381024482</c:v>
                </c:pt>
                <c:pt idx="684">
                  <c:v>0.47790457390606411</c:v>
                </c:pt>
                <c:pt idx="685">
                  <c:v>0.44203294833523121</c:v>
                </c:pt>
                <c:pt idx="686">
                  <c:v>0.49556662050591171</c:v>
                </c:pt>
                <c:pt idx="687">
                  <c:v>0.42316136257943771</c:v>
                </c:pt>
                <c:pt idx="688">
                  <c:v>0.47238995306205434</c:v>
                </c:pt>
                <c:pt idx="689">
                  <c:v>0.48117803366197975</c:v>
                </c:pt>
                <c:pt idx="690">
                  <c:v>0.47027855699616672</c:v>
                </c:pt>
                <c:pt idx="691">
                  <c:v>0.43627580767251617</c:v>
                </c:pt>
                <c:pt idx="692">
                  <c:v>0.45965312957731652</c:v>
                </c:pt>
                <c:pt idx="693">
                  <c:v>0.44385093960916544</c:v>
                </c:pt>
                <c:pt idx="694">
                  <c:v>0.42370813984790701</c:v>
                </c:pt>
                <c:pt idx="695">
                  <c:v>0.47767965817319569</c:v>
                </c:pt>
                <c:pt idx="696">
                  <c:v>0.49866014428016459</c:v>
                </c:pt>
                <c:pt idx="697">
                  <c:v>0.46573102044795167</c:v>
                </c:pt>
                <c:pt idx="698">
                  <c:v>0.4347140645683516</c:v>
                </c:pt>
                <c:pt idx="699">
                  <c:v>0.46836233270052219</c:v>
                </c:pt>
                <c:pt idx="700">
                  <c:v>0.47684466330626663</c:v>
                </c:pt>
                <c:pt idx="701">
                  <c:v>0.46815995942415678</c:v>
                </c:pt>
                <c:pt idx="702">
                  <c:v>0.44626954879531322</c:v>
                </c:pt>
                <c:pt idx="703">
                  <c:v>0.46462968905114432</c:v>
                </c:pt>
                <c:pt idx="704">
                  <c:v>0.47032674643984751</c:v>
                </c:pt>
                <c:pt idx="705">
                  <c:v>0.5096481171739724</c:v>
                </c:pt>
                <c:pt idx="706">
                  <c:v>0.47272679646570959</c:v>
                </c:pt>
                <c:pt idx="707">
                  <c:v>0.46356905592234865</c:v>
                </c:pt>
                <c:pt idx="708">
                  <c:v>0.46551532836129916</c:v>
                </c:pt>
                <c:pt idx="709">
                  <c:v>0.43663096828384296</c:v>
                </c:pt>
                <c:pt idx="710">
                  <c:v>0.46623937282931416</c:v>
                </c:pt>
                <c:pt idx="711">
                  <c:v>0.42735592444966963</c:v>
                </c:pt>
                <c:pt idx="712">
                  <c:v>0.47181931312180314</c:v>
                </c:pt>
                <c:pt idx="713">
                  <c:v>0.46951019270541616</c:v>
                </c:pt>
                <c:pt idx="714">
                  <c:v>0.47905814082956999</c:v>
                </c:pt>
                <c:pt idx="715">
                  <c:v>0.48976937120611908</c:v>
                </c:pt>
                <c:pt idx="716">
                  <c:v>0.4554276745337229</c:v>
                </c:pt>
                <c:pt idx="717">
                  <c:v>0.47526625940595868</c:v>
                </c:pt>
                <c:pt idx="718">
                  <c:v>0.47652382634040014</c:v>
                </c:pt>
                <c:pt idx="719">
                  <c:v>0.47222163799658001</c:v>
                </c:pt>
                <c:pt idx="720">
                  <c:v>0.48993954149631902</c:v>
                </c:pt>
                <c:pt idx="721">
                  <c:v>0.46780585155370691</c:v>
                </c:pt>
                <c:pt idx="722">
                  <c:v>0.47763853958976377</c:v>
                </c:pt>
                <c:pt idx="723">
                  <c:v>0.45227029044973355</c:v>
                </c:pt>
                <c:pt idx="724">
                  <c:v>0.49034096020203433</c:v>
                </c:pt>
                <c:pt idx="725">
                  <c:v>0.46458617092607946</c:v>
                </c:pt>
                <c:pt idx="726">
                  <c:v>0.45899549617098989</c:v>
                </c:pt>
                <c:pt idx="727">
                  <c:v>0.46580740758362094</c:v>
                </c:pt>
                <c:pt idx="728">
                  <c:v>0.49038853477767197</c:v>
                </c:pt>
                <c:pt idx="729">
                  <c:v>0.46885671112888572</c:v>
                </c:pt>
                <c:pt idx="730">
                  <c:v>0.45029880624971708</c:v>
                </c:pt>
                <c:pt idx="731">
                  <c:v>0.47388435826092601</c:v>
                </c:pt>
                <c:pt idx="732">
                  <c:v>0.45477319329370558</c:v>
                </c:pt>
                <c:pt idx="733">
                  <c:v>0.43707490777710789</c:v>
                </c:pt>
                <c:pt idx="734">
                  <c:v>0.44797469652528332</c:v>
                </c:pt>
                <c:pt idx="735">
                  <c:v>0.495449274651103</c:v>
                </c:pt>
                <c:pt idx="736">
                  <c:v>0.49393399821978679</c:v>
                </c:pt>
                <c:pt idx="737">
                  <c:v>0.40592153180216317</c:v>
                </c:pt>
                <c:pt idx="738">
                  <c:v>0.47376113314944202</c:v>
                </c:pt>
                <c:pt idx="739">
                  <c:v>0.46683499410883145</c:v>
                </c:pt>
                <c:pt idx="740">
                  <c:v>0.44317307191799671</c:v>
                </c:pt>
                <c:pt idx="741">
                  <c:v>0.48772366454231086</c:v>
                </c:pt>
                <c:pt idx="742">
                  <c:v>0.47993436866153139</c:v>
                </c:pt>
                <c:pt idx="743">
                  <c:v>0.46083871706992863</c:v>
                </c:pt>
                <c:pt idx="744">
                  <c:v>0.48006129551626042</c:v>
                </c:pt>
                <c:pt idx="745">
                  <c:v>0.45356075573357701</c:v>
                </c:pt>
                <c:pt idx="746">
                  <c:v>0.47995918557232442</c:v>
                </c:pt>
                <c:pt idx="747">
                  <c:v>0.49985543402297061</c:v>
                </c:pt>
                <c:pt idx="748">
                  <c:v>0.48269489421066991</c:v>
                </c:pt>
                <c:pt idx="749">
                  <c:v>0.42738708815526749</c:v>
                </c:pt>
                <c:pt idx="750">
                  <c:v>0.46385962424489735</c:v>
                </c:pt>
                <c:pt idx="751">
                  <c:v>0.48651527567046116</c:v>
                </c:pt>
                <c:pt idx="752">
                  <c:v>0.44250271526398643</c:v>
                </c:pt>
                <c:pt idx="753">
                  <c:v>0.44666761285877099</c:v>
                </c:pt>
                <c:pt idx="754">
                  <c:v>0.48988491801662093</c:v>
                </c:pt>
                <c:pt idx="755">
                  <c:v>0.44631854712929164</c:v>
                </c:pt>
                <c:pt idx="756">
                  <c:v>0.50228876183785842</c:v>
                </c:pt>
                <c:pt idx="757">
                  <c:v>0.44903071957213059</c:v>
                </c:pt>
                <c:pt idx="758">
                  <c:v>0.43961183349162125</c:v>
                </c:pt>
                <c:pt idx="759">
                  <c:v>0.37195005039602624</c:v>
                </c:pt>
                <c:pt idx="760">
                  <c:v>0.44544990439897281</c:v>
                </c:pt>
                <c:pt idx="761">
                  <c:v>0.40070064167701003</c:v>
                </c:pt>
                <c:pt idx="762">
                  <c:v>0.47840245493236333</c:v>
                </c:pt>
                <c:pt idx="763">
                  <c:v>0.44613674170271378</c:v>
                </c:pt>
                <c:pt idx="764">
                  <c:v>0.43763396208154548</c:v>
                </c:pt>
                <c:pt idx="765">
                  <c:v>0.43374784303461134</c:v>
                </c:pt>
                <c:pt idx="766">
                  <c:v>0.45256652042304357</c:v>
                </c:pt>
                <c:pt idx="767">
                  <c:v>0.46466289472684053</c:v>
                </c:pt>
                <c:pt idx="768">
                  <c:v>0.45422568072069458</c:v>
                </c:pt>
                <c:pt idx="769">
                  <c:v>0.46004825281905903</c:v>
                </c:pt>
                <c:pt idx="770">
                  <c:v>0.44331949258801195</c:v>
                </c:pt>
                <c:pt idx="771">
                  <c:v>0.48067114895038277</c:v>
                </c:pt>
                <c:pt idx="772">
                  <c:v>0.38467436660140653</c:v>
                </c:pt>
                <c:pt idx="773">
                  <c:v>0.4540428231243927</c:v>
                </c:pt>
                <c:pt idx="774">
                  <c:v>0.44849932376615453</c:v>
                </c:pt>
                <c:pt idx="775">
                  <c:v>0.40342229412090891</c:v>
                </c:pt>
                <c:pt idx="776">
                  <c:v>0.47517324875365019</c:v>
                </c:pt>
                <c:pt idx="777">
                  <c:v>0.46170892433600175</c:v>
                </c:pt>
                <c:pt idx="778">
                  <c:v>0.470251366227592</c:v>
                </c:pt>
                <c:pt idx="779">
                  <c:v>0.43773854573889426</c:v>
                </c:pt>
                <c:pt idx="780">
                  <c:v>0.46115979533352669</c:v>
                </c:pt>
                <c:pt idx="781">
                  <c:v>0.49401718386985594</c:v>
                </c:pt>
                <c:pt idx="782">
                  <c:v>0.47293749956904052</c:v>
                </c:pt>
                <c:pt idx="783">
                  <c:v>0.44627667324635145</c:v>
                </c:pt>
                <c:pt idx="784">
                  <c:v>0.48733918376056429</c:v>
                </c:pt>
                <c:pt idx="785">
                  <c:v>0.46718242400327492</c:v>
                </c:pt>
                <c:pt idx="786">
                  <c:v>0.44285247749216516</c:v>
                </c:pt>
                <c:pt idx="787">
                  <c:v>0.45524588898498108</c:v>
                </c:pt>
                <c:pt idx="788">
                  <c:v>0.4126781739210319</c:v>
                </c:pt>
                <c:pt idx="789">
                  <c:v>0.4303550016552673</c:v>
                </c:pt>
                <c:pt idx="790">
                  <c:v>0.45506616458805316</c:v>
                </c:pt>
                <c:pt idx="791">
                  <c:v>0.43429042962599906</c:v>
                </c:pt>
                <c:pt idx="792">
                  <c:v>0.43793367045067422</c:v>
                </c:pt>
                <c:pt idx="793">
                  <c:v>0.45937726715992078</c:v>
                </c:pt>
                <c:pt idx="794">
                  <c:v>0.45058049123999289</c:v>
                </c:pt>
                <c:pt idx="795">
                  <c:v>0.44661260677362202</c:v>
                </c:pt>
                <c:pt idx="796">
                  <c:v>0.45947848401248148</c:v>
                </c:pt>
                <c:pt idx="797">
                  <c:v>0.38994176906164402</c:v>
                </c:pt>
                <c:pt idx="798">
                  <c:v>0.43711982577682429</c:v>
                </c:pt>
                <c:pt idx="799">
                  <c:v>0.42712190714815401</c:v>
                </c:pt>
                <c:pt idx="800">
                  <c:v>0.45313843833339695</c:v>
                </c:pt>
                <c:pt idx="801">
                  <c:v>0.4598799833641809</c:v>
                </c:pt>
                <c:pt idx="802">
                  <c:v>0.45434304554346694</c:v>
                </c:pt>
                <c:pt idx="803">
                  <c:v>0.43189553859862162</c:v>
                </c:pt>
                <c:pt idx="804">
                  <c:v>0.46953116311741283</c:v>
                </c:pt>
                <c:pt idx="805">
                  <c:v>0.46490449261841249</c:v>
                </c:pt>
                <c:pt idx="806">
                  <c:v>0.4939555721583837</c:v>
                </c:pt>
                <c:pt idx="807">
                  <c:v>0.49007324853163459</c:v>
                </c:pt>
                <c:pt idx="808">
                  <c:v>0.4450752055586138</c:v>
                </c:pt>
                <c:pt idx="809">
                  <c:v>0.44924288062111217</c:v>
                </c:pt>
                <c:pt idx="810">
                  <c:v>0.42503030408734466</c:v>
                </c:pt>
                <c:pt idx="811">
                  <c:v>0.45558118639168654</c:v>
                </c:pt>
                <c:pt idx="812">
                  <c:v>0.48028849795409156</c:v>
                </c:pt>
                <c:pt idx="813">
                  <c:v>0.45585478256048284</c:v>
                </c:pt>
                <c:pt idx="814">
                  <c:v>0.48676995035921711</c:v>
                </c:pt>
                <c:pt idx="815">
                  <c:v>0.43142314655932745</c:v>
                </c:pt>
                <c:pt idx="816">
                  <c:v>0.47208633445590986</c:v>
                </c:pt>
                <c:pt idx="817">
                  <c:v>0.47792135581587858</c:v>
                </c:pt>
                <c:pt idx="818">
                  <c:v>0.49024435213748485</c:v>
                </c:pt>
                <c:pt idx="819">
                  <c:v>0.47456879711150246</c:v>
                </c:pt>
                <c:pt idx="820">
                  <c:v>0.49590937984350814</c:v>
                </c:pt>
                <c:pt idx="821">
                  <c:v>0.4546269383300181</c:v>
                </c:pt>
                <c:pt idx="822">
                  <c:v>0.46471411561509401</c:v>
                </c:pt>
                <c:pt idx="823">
                  <c:v>0.41242016805402537</c:v>
                </c:pt>
                <c:pt idx="824">
                  <c:v>0.42693121013916513</c:v>
                </c:pt>
                <c:pt idx="825">
                  <c:v>0.48027457848024113</c:v>
                </c:pt>
                <c:pt idx="826">
                  <c:v>0.44879830119356501</c:v>
                </c:pt>
                <c:pt idx="827">
                  <c:v>0.43631244360836696</c:v>
                </c:pt>
                <c:pt idx="828">
                  <c:v>0.45614761903354806</c:v>
                </c:pt>
                <c:pt idx="829">
                  <c:v>0.44166180421786416</c:v>
                </c:pt>
                <c:pt idx="830">
                  <c:v>0.44766461006561031</c:v>
                </c:pt>
                <c:pt idx="831">
                  <c:v>0.466986499278643</c:v>
                </c:pt>
                <c:pt idx="832">
                  <c:v>0.4678921351367229</c:v>
                </c:pt>
                <c:pt idx="833">
                  <c:v>0.47029728938218263</c:v>
                </c:pt>
                <c:pt idx="834">
                  <c:v>0.42897203762911151</c:v>
                </c:pt>
                <c:pt idx="835">
                  <c:v>0.42889141578779566</c:v>
                </c:pt>
                <c:pt idx="836">
                  <c:v>0.46842828947427151</c:v>
                </c:pt>
                <c:pt idx="837">
                  <c:v>0.4607450826744508</c:v>
                </c:pt>
                <c:pt idx="838">
                  <c:v>0.48035906869434863</c:v>
                </c:pt>
                <c:pt idx="839">
                  <c:v>0.46787756226962762</c:v>
                </c:pt>
                <c:pt idx="840">
                  <c:v>0.48079229034977189</c:v>
                </c:pt>
                <c:pt idx="841">
                  <c:v>0.41233849617058893</c:v>
                </c:pt>
                <c:pt idx="842">
                  <c:v>0.47173025354827103</c:v>
                </c:pt>
                <c:pt idx="843">
                  <c:v>0.47931668354405654</c:v>
                </c:pt>
                <c:pt idx="844">
                  <c:v>0.45984063535799713</c:v>
                </c:pt>
                <c:pt idx="845">
                  <c:v>0.44076002727497232</c:v>
                </c:pt>
                <c:pt idx="846">
                  <c:v>0.41287232098899573</c:v>
                </c:pt>
                <c:pt idx="847">
                  <c:v>0.46843050663142183</c:v>
                </c:pt>
                <c:pt idx="848">
                  <c:v>0.40782944444504854</c:v>
                </c:pt>
                <c:pt idx="849">
                  <c:v>0.4782333012560398</c:v>
                </c:pt>
                <c:pt idx="850">
                  <c:v>0.48259977210791649</c:v>
                </c:pt>
                <c:pt idx="851">
                  <c:v>0.43202032207085383</c:v>
                </c:pt>
                <c:pt idx="852">
                  <c:v>0.47441888182490466</c:v>
                </c:pt>
                <c:pt idx="853">
                  <c:v>0.50382898623473427</c:v>
                </c:pt>
                <c:pt idx="854">
                  <c:v>0.49615577389035015</c:v>
                </c:pt>
                <c:pt idx="855">
                  <c:v>0.41640580814693728</c:v>
                </c:pt>
                <c:pt idx="856">
                  <c:v>0.46260269011056221</c:v>
                </c:pt>
                <c:pt idx="857">
                  <c:v>0.40131844956351825</c:v>
                </c:pt>
                <c:pt idx="858">
                  <c:v>0.46241344610032931</c:v>
                </c:pt>
                <c:pt idx="859">
                  <c:v>0.5053278141453732</c:v>
                </c:pt>
                <c:pt idx="860">
                  <c:v>0.47427475574811062</c:v>
                </c:pt>
                <c:pt idx="861">
                  <c:v>0.40672545459955756</c:v>
                </c:pt>
                <c:pt idx="862">
                  <c:v>0.47321004365410979</c:v>
                </c:pt>
                <c:pt idx="863">
                  <c:v>0.43689754662871372</c:v>
                </c:pt>
                <c:pt idx="864">
                  <c:v>0.42592984503020381</c:v>
                </c:pt>
                <c:pt idx="865">
                  <c:v>0.47865942226960612</c:v>
                </c:pt>
                <c:pt idx="866">
                  <c:v>0.46019101843283394</c:v>
                </c:pt>
                <c:pt idx="867">
                  <c:v>0.4827194899699796</c:v>
                </c:pt>
                <c:pt idx="868">
                  <c:v>0.47224553175019235</c:v>
                </c:pt>
                <c:pt idx="869">
                  <c:v>0.46083111013527023</c:v>
                </c:pt>
                <c:pt idx="870">
                  <c:v>0.46907553222031795</c:v>
                </c:pt>
                <c:pt idx="871">
                  <c:v>0.43780180003245439</c:v>
                </c:pt>
                <c:pt idx="872">
                  <c:v>0.45943597441973338</c:v>
                </c:pt>
                <c:pt idx="873">
                  <c:v>0.46093129956174406</c:v>
                </c:pt>
                <c:pt idx="874">
                  <c:v>0.49299803688788701</c:v>
                </c:pt>
                <c:pt idx="875">
                  <c:v>0.45817994446302168</c:v>
                </c:pt>
                <c:pt idx="876">
                  <c:v>0.43534997687405208</c:v>
                </c:pt>
                <c:pt idx="877">
                  <c:v>0.52929548223090506</c:v>
                </c:pt>
                <c:pt idx="878">
                  <c:v>0.45082476588248777</c:v>
                </c:pt>
                <c:pt idx="879">
                  <c:v>0.44994209429681753</c:v>
                </c:pt>
                <c:pt idx="880">
                  <c:v>0.45393910656515413</c:v>
                </c:pt>
                <c:pt idx="881">
                  <c:v>0.49223207393769219</c:v>
                </c:pt>
                <c:pt idx="882">
                  <c:v>0.46619029983272231</c:v>
                </c:pt>
                <c:pt idx="883">
                  <c:v>0.44813321021610064</c:v>
                </c:pt>
                <c:pt idx="884">
                  <c:v>0.46918772595402713</c:v>
                </c:pt>
                <c:pt idx="885">
                  <c:v>0.46238409555727844</c:v>
                </c:pt>
                <c:pt idx="886">
                  <c:v>0.49004796348541957</c:v>
                </c:pt>
                <c:pt idx="887">
                  <c:v>0.46901784822741055</c:v>
                </c:pt>
                <c:pt idx="888">
                  <c:v>0.46439955560258994</c:v>
                </c:pt>
                <c:pt idx="889">
                  <c:v>0.49407173393899417</c:v>
                </c:pt>
                <c:pt idx="890">
                  <c:v>0.44637708848310154</c:v>
                </c:pt>
                <c:pt idx="891">
                  <c:v>0.42762306491189395</c:v>
                </c:pt>
                <c:pt idx="892">
                  <c:v>0.42085659777828677</c:v>
                </c:pt>
                <c:pt idx="893">
                  <c:v>0.49471907543120097</c:v>
                </c:pt>
                <c:pt idx="894">
                  <c:v>0.47272472618386874</c:v>
                </c:pt>
                <c:pt idx="895">
                  <c:v>0.45857943722572214</c:v>
                </c:pt>
                <c:pt idx="896">
                  <c:v>0.47155796166074637</c:v>
                </c:pt>
                <c:pt idx="897">
                  <c:v>0.44218353710734415</c:v>
                </c:pt>
                <c:pt idx="898">
                  <c:v>0.42925344540600374</c:v>
                </c:pt>
                <c:pt idx="899">
                  <c:v>0.47203095763991398</c:v>
                </c:pt>
                <c:pt idx="900">
                  <c:v>0.47700005832845505</c:v>
                </c:pt>
                <c:pt idx="901">
                  <c:v>0.46243581491760311</c:v>
                </c:pt>
                <c:pt idx="902">
                  <c:v>0.46286107677996768</c:v>
                </c:pt>
                <c:pt idx="903">
                  <c:v>0.44456925273189163</c:v>
                </c:pt>
                <c:pt idx="904">
                  <c:v>0.48057654939027272</c:v>
                </c:pt>
                <c:pt idx="905">
                  <c:v>0.43336928113019302</c:v>
                </c:pt>
                <c:pt idx="906">
                  <c:v>0.46049060991096624</c:v>
                </c:pt>
                <c:pt idx="907">
                  <c:v>0.47598890058699417</c:v>
                </c:pt>
                <c:pt idx="908">
                  <c:v>0.45390094171278528</c:v>
                </c:pt>
                <c:pt idx="909">
                  <c:v>0.46077522258822601</c:v>
                </c:pt>
                <c:pt idx="910">
                  <c:v>0.40421026847572739</c:v>
                </c:pt>
                <c:pt idx="911">
                  <c:v>0.45350576079354377</c:v>
                </c:pt>
                <c:pt idx="912">
                  <c:v>0.47827626451126681</c:v>
                </c:pt>
                <c:pt idx="913">
                  <c:v>0.47518489918750495</c:v>
                </c:pt>
                <c:pt idx="914">
                  <c:v>0.43588830981829019</c:v>
                </c:pt>
                <c:pt idx="915">
                  <c:v>0.42073437027980853</c:v>
                </c:pt>
                <c:pt idx="916">
                  <c:v>0.43176171509856864</c:v>
                </c:pt>
                <c:pt idx="917">
                  <c:v>0.42392032390801471</c:v>
                </c:pt>
                <c:pt idx="918">
                  <c:v>0.44075466409531572</c:v>
                </c:pt>
                <c:pt idx="919">
                  <c:v>0.46467237699965303</c:v>
                </c:pt>
                <c:pt idx="920">
                  <c:v>0.43245911185972008</c:v>
                </c:pt>
                <c:pt idx="921">
                  <c:v>0.46937704175387673</c:v>
                </c:pt>
                <c:pt idx="922">
                  <c:v>0.47982494315834456</c:v>
                </c:pt>
                <c:pt idx="923">
                  <c:v>0.47884811180409015</c:v>
                </c:pt>
                <c:pt idx="924">
                  <c:v>0.48144744597696909</c:v>
                </c:pt>
                <c:pt idx="925">
                  <c:v>0.43875751942013186</c:v>
                </c:pt>
                <c:pt idx="926">
                  <c:v>0.45578317941139801</c:v>
                </c:pt>
                <c:pt idx="927">
                  <c:v>0.42466201484707788</c:v>
                </c:pt>
                <c:pt idx="928">
                  <c:v>0.40881625109240383</c:v>
                </c:pt>
                <c:pt idx="929">
                  <c:v>0.41560297994112139</c:v>
                </c:pt>
                <c:pt idx="930">
                  <c:v>0.45269787396635297</c:v>
                </c:pt>
                <c:pt idx="931">
                  <c:v>0.46596497529853265</c:v>
                </c:pt>
                <c:pt idx="932">
                  <c:v>0.4700221631708128</c:v>
                </c:pt>
                <c:pt idx="933">
                  <c:v>0.45490245978721378</c:v>
                </c:pt>
                <c:pt idx="934">
                  <c:v>0.4357903438046502</c:v>
                </c:pt>
                <c:pt idx="935">
                  <c:v>0.48211022676645077</c:v>
                </c:pt>
                <c:pt idx="936">
                  <c:v>0.46082592817276269</c:v>
                </c:pt>
                <c:pt idx="937">
                  <c:v>0.46573385133560508</c:v>
                </c:pt>
                <c:pt idx="938">
                  <c:v>0.44103449096026814</c:v>
                </c:pt>
                <c:pt idx="939">
                  <c:v>0.48549691537488582</c:v>
                </c:pt>
                <c:pt idx="940">
                  <c:v>0.43171013998711461</c:v>
                </c:pt>
                <c:pt idx="941">
                  <c:v>0.43872293078080826</c:v>
                </c:pt>
                <c:pt idx="942">
                  <c:v>0.474303155718939</c:v>
                </c:pt>
                <c:pt idx="943">
                  <c:v>0.4622566381958082</c:v>
                </c:pt>
                <c:pt idx="944">
                  <c:v>0.45349018638278493</c:v>
                </c:pt>
                <c:pt idx="945">
                  <c:v>0.43240592167817016</c:v>
                </c:pt>
                <c:pt idx="946">
                  <c:v>0.43283914250699751</c:v>
                </c:pt>
                <c:pt idx="947">
                  <c:v>0.42342670571454888</c:v>
                </c:pt>
                <c:pt idx="948">
                  <c:v>0.45564728006906652</c:v>
                </c:pt>
                <c:pt idx="949">
                  <c:v>0.4668404170090068</c:v>
                </c:pt>
                <c:pt idx="950">
                  <c:v>0.42796273380295125</c:v>
                </c:pt>
                <c:pt idx="951">
                  <c:v>0.43581591398648567</c:v>
                </c:pt>
                <c:pt idx="952">
                  <c:v>0.44073009131809049</c:v>
                </c:pt>
                <c:pt idx="953">
                  <c:v>0.42501404046924085</c:v>
                </c:pt>
                <c:pt idx="954">
                  <c:v>0.50043881564211423</c:v>
                </c:pt>
                <c:pt idx="955">
                  <c:v>0.43822932120711933</c:v>
                </c:pt>
                <c:pt idx="956">
                  <c:v>0.48624157140737778</c:v>
                </c:pt>
                <c:pt idx="957">
                  <c:v>0.4579391255652554</c:v>
                </c:pt>
                <c:pt idx="958">
                  <c:v>0.48183437943852336</c:v>
                </c:pt>
                <c:pt idx="959">
                  <c:v>0.45012156406927439</c:v>
                </c:pt>
                <c:pt idx="960">
                  <c:v>0.48213396147156651</c:v>
                </c:pt>
                <c:pt idx="961">
                  <c:v>0.46777697812839714</c:v>
                </c:pt>
                <c:pt idx="962">
                  <c:v>0.45370318638759199</c:v>
                </c:pt>
                <c:pt idx="963">
                  <c:v>0.44524830842416963</c:v>
                </c:pt>
                <c:pt idx="964">
                  <c:v>0.47435388929683153</c:v>
                </c:pt>
                <c:pt idx="965">
                  <c:v>0.47436208577944416</c:v>
                </c:pt>
                <c:pt idx="966">
                  <c:v>0.46956759832191941</c:v>
                </c:pt>
                <c:pt idx="967">
                  <c:v>0.46417154901882407</c:v>
                </c:pt>
                <c:pt idx="968">
                  <c:v>0.41329123393347045</c:v>
                </c:pt>
                <c:pt idx="969">
                  <c:v>0.40550403207299457</c:v>
                </c:pt>
                <c:pt idx="970">
                  <c:v>0.47503557253711781</c:v>
                </c:pt>
                <c:pt idx="971">
                  <c:v>0.48451716758599273</c:v>
                </c:pt>
                <c:pt idx="972">
                  <c:v>0.50308501765036384</c:v>
                </c:pt>
                <c:pt idx="973">
                  <c:v>0.44532540626273209</c:v>
                </c:pt>
                <c:pt idx="974">
                  <c:v>0.50573088090956309</c:v>
                </c:pt>
                <c:pt idx="975">
                  <c:v>0.46196314526341276</c:v>
                </c:pt>
                <c:pt idx="976">
                  <c:v>0.46618229137674172</c:v>
                </c:pt>
                <c:pt idx="977">
                  <c:v>0.44672703941208347</c:v>
                </c:pt>
                <c:pt idx="978">
                  <c:v>0.48420356814902665</c:v>
                </c:pt>
                <c:pt idx="979">
                  <c:v>0.46175129754454236</c:v>
                </c:pt>
                <c:pt idx="980">
                  <c:v>0.46443158260339579</c:v>
                </c:pt>
                <c:pt idx="981">
                  <c:v>0.46177870746076088</c:v>
                </c:pt>
                <c:pt idx="982">
                  <c:v>0.49840739751384189</c:v>
                </c:pt>
                <c:pt idx="983">
                  <c:v>0.45529965139602568</c:v>
                </c:pt>
                <c:pt idx="984">
                  <c:v>0.46554158371042287</c:v>
                </c:pt>
                <c:pt idx="985">
                  <c:v>0.44351785149220824</c:v>
                </c:pt>
                <c:pt idx="986">
                  <c:v>0.46547373916369073</c:v>
                </c:pt>
                <c:pt idx="987">
                  <c:v>0.47688056502358522</c:v>
                </c:pt>
                <c:pt idx="988">
                  <c:v>0.44865995924587798</c:v>
                </c:pt>
                <c:pt idx="989">
                  <c:v>0.40545609995305765</c:v>
                </c:pt>
                <c:pt idx="990">
                  <c:v>0.4941267829157121</c:v>
                </c:pt>
                <c:pt idx="991">
                  <c:v>0.46740808665165012</c:v>
                </c:pt>
                <c:pt idx="992">
                  <c:v>0.46850615786370864</c:v>
                </c:pt>
                <c:pt idx="993">
                  <c:v>0.4922196202766369</c:v>
                </c:pt>
                <c:pt idx="994">
                  <c:v>0.42082821560338202</c:v>
                </c:pt>
                <c:pt idx="995">
                  <c:v>0.43129119921622538</c:v>
                </c:pt>
                <c:pt idx="996">
                  <c:v>0.4675668547417855</c:v>
                </c:pt>
                <c:pt idx="997">
                  <c:v>0.44868536976044338</c:v>
                </c:pt>
                <c:pt idx="998">
                  <c:v>0.4758316230307158</c:v>
                </c:pt>
                <c:pt idx="999">
                  <c:v>0.45233585401113996</c:v>
                </c:pt>
              </c:numCache>
            </c:numRef>
          </c:xVal>
          <c:yVal>
            <c:numRef>
              <c:f>simulation!$G$8:$G$1007</c:f>
              <c:numCache>
                <c:formatCode>#,##0</c:formatCode>
                <c:ptCount val="1000"/>
                <c:pt idx="0">
                  <c:v>82937039.630133957</c:v>
                </c:pt>
                <c:pt idx="1">
                  <c:v>82900192.633042976</c:v>
                </c:pt>
                <c:pt idx="2">
                  <c:v>82914481.87013346</c:v>
                </c:pt>
                <c:pt idx="3">
                  <c:v>83943478.425896555</c:v>
                </c:pt>
                <c:pt idx="4">
                  <c:v>83031225.435193613</c:v>
                </c:pt>
                <c:pt idx="5">
                  <c:v>83225482.043913499</c:v>
                </c:pt>
                <c:pt idx="6">
                  <c:v>83196088.176478997</c:v>
                </c:pt>
                <c:pt idx="7">
                  <c:v>82739602.732032776</c:v>
                </c:pt>
                <c:pt idx="8">
                  <c:v>83171061.257616401</c:v>
                </c:pt>
                <c:pt idx="9">
                  <c:v>82698450.315419525</c:v>
                </c:pt>
                <c:pt idx="10">
                  <c:v>82803766.225233704</c:v>
                </c:pt>
                <c:pt idx="11">
                  <c:v>83292615.039425954</c:v>
                </c:pt>
                <c:pt idx="12">
                  <c:v>83052137.771228656</c:v>
                </c:pt>
                <c:pt idx="13">
                  <c:v>83100576.971620396</c:v>
                </c:pt>
                <c:pt idx="14">
                  <c:v>82733710.56541115</c:v>
                </c:pt>
                <c:pt idx="15">
                  <c:v>82465700.722559765</c:v>
                </c:pt>
                <c:pt idx="16">
                  <c:v>83073574.117315516</c:v>
                </c:pt>
                <c:pt idx="17">
                  <c:v>83221737.168913424</c:v>
                </c:pt>
                <c:pt idx="18">
                  <c:v>82958864.898666784</c:v>
                </c:pt>
                <c:pt idx="19">
                  <c:v>83212378.232529432</c:v>
                </c:pt>
                <c:pt idx="20">
                  <c:v>82780215.375366583</c:v>
                </c:pt>
                <c:pt idx="21">
                  <c:v>83192141.062830389</c:v>
                </c:pt>
                <c:pt idx="22">
                  <c:v>82931391.068041325</c:v>
                </c:pt>
                <c:pt idx="23">
                  <c:v>82958815.220739067</c:v>
                </c:pt>
                <c:pt idx="24">
                  <c:v>83107896.558445558</c:v>
                </c:pt>
                <c:pt idx="25">
                  <c:v>82952525.184638456</c:v>
                </c:pt>
                <c:pt idx="26">
                  <c:v>82855808.030276701</c:v>
                </c:pt>
                <c:pt idx="27">
                  <c:v>83325713.86127992</c:v>
                </c:pt>
                <c:pt idx="28">
                  <c:v>83260614.962435097</c:v>
                </c:pt>
                <c:pt idx="29">
                  <c:v>82719665.317624524</c:v>
                </c:pt>
                <c:pt idx="30">
                  <c:v>83398787.551833346</c:v>
                </c:pt>
                <c:pt idx="31">
                  <c:v>83047583.743045583</c:v>
                </c:pt>
                <c:pt idx="32">
                  <c:v>83219903.665444165</c:v>
                </c:pt>
                <c:pt idx="33">
                  <c:v>83245538.669769987</c:v>
                </c:pt>
                <c:pt idx="34">
                  <c:v>83553188.379103333</c:v>
                </c:pt>
                <c:pt idx="35">
                  <c:v>83378800.789072111</c:v>
                </c:pt>
                <c:pt idx="36">
                  <c:v>83372096.045246422</c:v>
                </c:pt>
                <c:pt idx="37">
                  <c:v>83434536.675309822</c:v>
                </c:pt>
                <c:pt idx="38">
                  <c:v>82940035.612305135</c:v>
                </c:pt>
                <c:pt idx="39">
                  <c:v>82954401.89362815</c:v>
                </c:pt>
                <c:pt idx="40">
                  <c:v>83068933.085594192</c:v>
                </c:pt>
                <c:pt idx="41">
                  <c:v>82688365.548867628</c:v>
                </c:pt>
                <c:pt idx="42">
                  <c:v>82860663.676596895</c:v>
                </c:pt>
                <c:pt idx="43">
                  <c:v>83047577.038914785</c:v>
                </c:pt>
                <c:pt idx="44">
                  <c:v>83560801.587606981</c:v>
                </c:pt>
                <c:pt idx="45">
                  <c:v>82853686.698699012</c:v>
                </c:pt>
                <c:pt idx="46">
                  <c:v>82972509.796523139</c:v>
                </c:pt>
                <c:pt idx="47">
                  <c:v>83060878.055403665</c:v>
                </c:pt>
                <c:pt idx="48">
                  <c:v>83001475.547686413</c:v>
                </c:pt>
                <c:pt idx="49">
                  <c:v>83281680.834513754</c:v>
                </c:pt>
                <c:pt idx="50">
                  <c:v>83478932.754919812</c:v>
                </c:pt>
                <c:pt idx="51">
                  <c:v>82826127.667024031</c:v>
                </c:pt>
                <c:pt idx="52">
                  <c:v>83199002.49057743</c:v>
                </c:pt>
                <c:pt idx="53">
                  <c:v>82400476.373556226</c:v>
                </c:pt>
                <c:pt idx="54">
                  <c:v>83064581.793656856</c:v>
                </c:pt>
                <c:pt idx="55">
                  <c:v>82901539.441416726</c:v>
                </c:pt>
                <c:pt idx="56">
                  <c:v>83617385.614502788</c:v>
                </c:pt>
                <c:pt idx="57">
                  <c:v>82984883.069226667</c:v>
                </c:pt>
                <c:pt idx="58">
                  <c:v>83352358.438066676</c:v>
                </c:pt>
                <c:pt idx="59">
                  <c:v>83069659.141767949</c:v>
                </c:pt>
                <c:pt idx="60">
                  <c:v>82874931.197146609</c:v>
                </c:pt>
                <c:pt idx="61">
                  <c:v>82677165.955151245</c:v>
                </c:pt>
                <c:pt idx="62">
                  <c:v>82945789.30801405</c:v>
                </c:pt>
                <c:pt idx="63">
                  <c:v>82889598.601447493</c:v>
                </c:pt>
                <c:pt idx="64">
                  <c:v>82692340.368777484</c:v>
                </c:pt>
                <c:pt idx="65">
                  <c:v>82834691.35993591</c:v>
                </c:pt>
                <c:pt idx="66">
                  <c:v>82966227.216386452</c:v>
                </c:pt>
                <c:pt idx="67">
                  <c:v>82775333.701170549</c:v>
                </c:pt>
                <c:pt idx="68">
                  <c:v>83051337.656774223</c:v>
                </c:pt>
                <c:pt idx="69">
                  <c:v>82875388.807185844</c:v>
                </c:pt>
                <c:pt idx="70">
                  <c:v>83416655.618053168</c:v>
                </c:pt>
                <c:pt idx="71">
                  <c:v>83043513.02431947</c:v>
                </c:pt>
                <c:pt idx="72">
                  <c:v>83282566.477823034</c:v>
                </c:pt>
                <c:pt idx="73">
                  <c:v>83047239.354302049</c:v>
                </c:pt>
                <c:pt idx="74">
                  <c:v>83238909.995260984</c:v>
                </c:pt>
                <c:pt idx="75">
                  <c:v>83061242.462427974</c:v>
                </c:pt>
                <c:pt idx="76">
                  <c:v>83088970.628621981</c:v>
                </c:pt>
                <c:pt idx="77">
                  <c:v>82908207.649488002</c:v>
                </c:pt>
                <c:pt idx="78">
                  <c:v>82610045.817139074</c:v>
                </c:pt>
                <c:pt idx="79">
                  <c:v>82681411.896711141</c:v>
                </c:pt>
                <c:pt idx="80">
                  <c:v>83431802.195467353</c:v>
                </c:pt>
                <c:pt idx="81">
                  <c:v>83164552.734321207</c:v>
                </c:pt>
                <c:pt idx="82">
                  <c:v>83204848.095043167</c:v>
                </c:pt>
                <c:pt idx="83">
                  <c:v>82891093.629130155</c:v>
                </c:pt>
                <c:pt idx="84">
                  <c:v>82842181.424677059</c:v>
                </c:pt>
                <c:pt idx="85">
                  <c:v>83033084.183518931</c:v>
                </c:pt>
                <c:pt idx="86">
                  <c:v>82848380.800744414</c:v>
                </c:pt>
                <c:pt idx="87">
                  <c:v>82951995.9209674</c:v>
                </c:pt>
                <c:pt idx="88">
                  <c:v>83261869.988638192</c:v>
                </c:pt>
                <c:pt idx="89">
                  <c:v>83011697.005577162</c:v>
                </c:pt>
                <c:pt idx="90">
                  <c:v>83080114.284982011</c:v>
                </c:pt>
                <c:pt idx="91">
                  <c:v>83159709.201835066</c:v>
                </c:pt>
                <c:pt idx="92">
                  <c:v>83203403.027140349</c:v>
                </c:pt>
                <c:pt idx="93">
                  <c:v>83051419.47655049</c:v>
                </c:pt>
                <c:pt idx="94">
                  <c:v>82733855.296858937</c:v>
                </c:pt>
                <c:pt idx="95">
                  <c:v>83384905.888912812</c:v>
                </c:pt>
                <c:pt idx="96">
                  <c:v>83032338.86080797</c:v>
                </c:pt>
                <c:pt idx="97">
                  <c:v>82974736.952781633</c:v>
                </c:pt>
                <c:pt idx="98">
                  <c:v>83416965.95255208</c:v>
                </c:pt>
                <c:pt idx="99">
                  <c:v>82544348.893038437</c:v>
                </c:pt>
                <c:pt idx="100">
                  <c:v>82708113.390995428</c:v>
                </c:pt>
                <c:pt idx="101">
                  <c:v>82839976.69242689</c:v>
                </c:pt>
                <c:pt idx="102">
                  <c:v>83452268.655208796</c:v>
                </c:pt>
                <c:pt idx="103">
                  <c:v>83510236.972308874</c:v>
                </c:pt>
                <c:pt idx="104">
                  <c:v>83079480.725408718</c:v>
                </c:pt>
                <c:pt idx="105">
                  <c:v>82986768.354332492</c:v>
                </c:pt>
                <c:pt idx="106">
                  <c:v>83061625.639970154</c:v>
                </c:pt>
                <c:pt idx="107">
                  <c:v>82884374.997206345</c:v>
                </c:pt>
                <c:pt idx="108">
                  <c:v>82854012.573030204</c:v>
                </c:pt>
                <c:pt idx="109">
                  <c:v>82964063.086716428</c:v>
                </c:pt>
                <c:pt idx="110">
                  <c:v>82752183.932916626</c:v>
                </c:pt>
                <c:pt idx="111">
                  <c:v>82999232.442159668</c:v>
                </c:pt>
                <c:pt idx="112">
                  <c:v>83076563.257203743</c:v>
                </c:pt>
                <c:pt idx="113">
                  <c:v>82931141.62348491</c:v>
                </c:pt>
                <c:pt idx="114">
                  <c:v>82997294.744652033</c:v>
                </c:pt>
                <c:pt idx="115">
                  <c:v>83032856.642638981</c:v>
                </c:pt>
                <c:pt idx="116">
                  <c:v>82940343.885981977</c:v>
                </c:pt>
                <c:pt idx="117">
                  <c:v>83633813.509115085</c:v>
                </c:pt>
                <c:pt idx="118">
                  <c:v>82946790.982752621</c:v>
                </c:pt>
                <c:pt idx="119">
                  <c:v>83114807.793100789</c:v>
                </c:pt>
                <c:pt idx="120">
                  <c:v>83072859.715409562</c:v>
                </c:pt>
                <c:pt idx="121">
                  <c:v>83052264.410787776</c:v>
                </c:pt>
                <c:pt idx="122">
                  <c:v>82751794.282267496</c:v>
                </c:pt>
                <c:pt idx="123">
                  <c:v>82915447.295020819</c:v>
                </c:pt>
                <c:pt idx="124">
                  <c:v>82702025.013305351</c:v>
                </c:pt>
                <c:pt idx="125">
                  <c:v>83411388.368309185</c:v>
                </c:pt>
                <c:pt idx="126">
                  <c:v>83037635.470289171</c:v>
                </c:pt>
                <c:pt idx="127">
                  <c:v>83064085.412399083</c:v>
                </c:pt>
                <c:pt idx="128">
                  <c:v>83208946.522767857</c:v>
                </c:pt>
                <c:pt idx="129">
                  <c:v>83099872.583373189</c:v>
                </c:pt>
                <c:pt idx="130">
                  <c:v>83079111.376711577</c:v>
                </c:pt>
                <c:pt idx="131">
                  <c:v>83009658.366185516</c:v>
                </c:pt>
                <c:pt idx="132">
                  <c:v>82880279.425150409</c:v>
                </c:pt>
                <c:pt idx="133">
                  <c:v>82478735.372200206</c:v>
                </c:pt>
                <c:pt idx="134">
                  <c:v>83102273.120546326</c:v>
                </c:pt>
                <c:pt idx="135">
                  <c:v>82743408.085896775</c:v>
                </c:pt>
                <c:pt idx="136">
                  <c:v>83032199.950256288</c:v>
                </c:pt>
                <c:pt idx="137">
                  <c:v>83284547.189612761</c:v>
                </c:pt>
                <c:pt idx="138">
                  <c:v>83027972.292411432</c:v>
                </c:pt>
                <c:pt idx="139">
                  <c:v>82826224.598664805</c:v>
                </c:pt>
                <c:pt idx="140">
                  <c:v>83052589.526413664</c:v>
                </c:pt>
                <c:pt idx="141">
                  <c:v>82655149.074436784</c:v>
                </c:pt>
                <c:pt idx="142">
                  <c:v>83230575.42721872</c:v>
                </c:pt>
                <c:pt idx="143">
                  <c:v>83253501.968623176</c:v>
                </c:pt>
                <c:pt idx="144">
                  <c:v>83113725.798362583</c:v>
                </c:pt>
                <c:pt idx="145">
                  <c:v>83065683.53359431</c:v>
                </c:pt>
                <c:pt idx="146">
                  <c:v>82917119.122908339</c:v>
                </c:pt>
                <c:pt idx="147">
                  <c:v>82792981.670874834</c:v>
                </c:pt>
                <c:pt idx="148">
                  <c:v>83021804.246766806</c:v>
                </c:pt>
                <c:pt idx="149">
                  <c:v>82877477.370721743</c:v>
                </c:pt>
                <c:pt idx="150">
                  <c:v>83158521.540363595</c:v>
                </c:pt>
                <c:pt idx="151">
                  <c:v>82886441.077968881</c:v>
                </c:pt>
                <c:pt idx="152">
                  <c:v>83327700.713246658</c:v>
                </c:pt>
                <c:pt idx="153">
                  <c:v>83131123.253548533</c:v>
                </c:pt>
                <c:pt idx="154">
                  <c:v>82933267.800058916</c:v>
                </c:pt>
                <c:pt idx="155">
                  <c:v>82775666.724220991</c:v>
                </c:pt>
                <c:pt idx="156">
                  <c:v>82922286.593912184</c:v>
                </c:pt>
                <c:pt idx="157">
                  <c:v>82758916.951735288</c:v>
                </c:pt>
                <c:pt idx="158">
                  <c:v>82964069.05463554</c:v>
                </c:pt>
                <c:pt idx="159">
                  <c:v>83285332.098771736</c:v>
                </c:pt>
                <c:pt idx="160">
                  <c:v>83218889.558811381</c:v>
                </c:pt>
                <c:pt idx="161">
                  <c:v>83049686.989030957</c:v>
                </c:pt>
                <c:pt idx="162">
                  <c:v>82876641.965598643</c:v>
                </c:pt>
                <c:pt idx="163">
                  <c:v>82756405.18473728</c:v>
                </c:pt>
                <c:pt idx="164">
                  <c:v>82946438.613077477</c:v>
                </c:pt>
                <c:pt idx="165">
                  <c:v>82799458.897546336</c:v>
                </c:pt>
                <c:pt idx="166">
                  <c:v>82756955.731213942</c:v>
                </c:pt>
                <c:pt idx="167">
                  <c:v>83313988.538595513</c:v>
                </c:pt>
                <c:pt idx="168">
                  <c:v>82783085.88012886</c:v>
                </c:pt>
                <c:pt idx="169">
                  <c:v>82694167.670560747</c:v>
                </c:pt>
                <c:pt idx="170">
                  <c:v>83066420.870866001</c:v>
                </c:pt>
                <c:pt idx="171">
                  <c:v>83166525.555729464</c:v>
                </c:pt>
                <c:pt idx="172">
                  <c:v>83525417.691637218</c:v>
                </c:pt>
                <c:pt idx="173">
                  <c:v>82666542.939351797</c:v>
                </c:pt>
                <c:pt idx="174">
                  <c:v>82841610.505383268</c:v>
                </c:pt>
                <c:pt idx="175">
                  <c:v>83058928.865036473</c:v>
                </c:pt>
                <c:pt idx="176">
                  <c:v>83394611.694353402</c:v>
                </c:pt>
                <c:pt idx="177">
                  <c:v>83049398.072903395</c:v>
                </c:pt>
                <c:pt idx="178">
                  <c:v>83397732.660847887</c:v>
                </c:pt>
                <c:pt idx="179">
                  <c:v>82737597.63780722</c:v>
                </c:pt>
                <c:pt idx="180">
                  <c:v>83259321.342785358</c:v>
                </c:pt>
                <c:pt idx="181">
                  <c:v>83106134.715920091</c:v>
                </c:pt>
                <c:pt idx="182">
                  <c:v>82792826.09923172</c:v>
                </c:pt>
                <c:pt idx="183">
                  <c:v>83117397.8598167</c:v>
                </c:pt>
                <c:pt idx="184">
                  <c:v>83106822.914838925</c:v>
                </c:pt>
                <c:pt idx="185">
                  <c:v>82770162.545873478</c:v>
                </c:pt>
                <c:pt idx="186">
                  <c:v>82773939.299664617</c:v>
                </c:pt>
                <c:pt idx="187">
                  <c:v>82555886.569052562</c:v>
                </c:pt>
                <c:pt idx="188">
                  <c:v>83106581.09483996</c:v>
                </c:pt>
                <c:pt idx="189">
                  <c:v>82870384.914204612</c:v>
                </c:pt>
                <c:pt idx="190">
                  <c:v>82777454.455654576</c:v>
                </c:pt>
                <c:pt idx="191">
                  <c:v>83171936.607564211</c:v>
                </c:pt>
                <c:pt idx="192">
                  <c:v>83304592.61468567</c:v>
                </c:pt>
                <c:pt idx="193">
                  <c:v>82685611.317928687</c:v>
                </c:pt>
                <c:pt idx="194">
                  <c:v>83044049.467019171</c:v>
                </c:pt>
                <c:pt idx="195">
                  <c:v>82907639.088864103</c:v>
                </c:pt>
                <c:pt idx="196">
                  <c:v>83004781.344050825</c:v>
                </c:pt>
                <c:pt idx="197">
                  <c:v>83440623.269154117</c:v>
                </c:pt>
                <c:pt idx="198">
                  <c:v>83062729.893198028</c:v>
                </c:pt>
                <c:pt idx="199">
                  <c:v>83049808.709892303</c:v>
                </c:pt>
                <c:pt idx="200">
                  <c:v>83032448.547295123</c:v>
                </c:pt>
                <c:pt idx="201">
                  <c:v>83053445.960532591</c:v>
                </c:pt>
                <c:pt idx="202">
                  <c:v>82959035.673884377</c:v>
                </c:pt>
                <c:pt idx="203">
                  <c:v>82932091.875767395</c:v>
                </c:pt>
                <c:pt idx="204">
                  <c:v>82684688.651785061</c:v>
                </c:pt>
                <c:pt idx="205">
                  <c:v>82840780.397175491</c:v>
                </c:pt>
                <c:pt idx="206">
                  <c:v>82796321.004276171</c:v>
                </c:pt>
                <c:pt idx="207">
                  <c:v>82831258.205957651</c:v>
                </c:pt>
                <c:pt idx="208">
                  <c:v>83146980.869746521</c:v>
                </c:pt>
                <c:pt idx="209">
                  <c:v>82964395.978917435</c:v>
                </c:pt>
                <c:pt idx="210">
                  <c:v>82913617.433663666</c:v>
                </c:pt>
                <c:pt idx="211">
                  <c:v>83036447.927540883</c:v>
                </c:pt>
                <c:pt idx="212">
                  <c:v>83038335.55914025</c:v>
                </c:pt>
                <c:pt idx="213">
                  <c:v>82742545.134004593</c:v>
                </c:pt>
                <c:pt idx="214">
                  <c:v>82972511.999688819</c:v>
                </c:pt>
                <c:pt idx="215">
                  <c:v>82667989.8158153</c:v>
                </c:pt>
                <c:pt idx="216">
                  <c:v>83067365.16064252</c:v>
                </c:pt>
                <c:pt idx="217">
                  <c:v>82772555.26453872</c:v>
                </c:pt>
                <c:pt idx="218">
                  <c:v>83186625.968106583</c:v>
                </c:pt>
                <c:pt idx="219">
                  <c:v>82603128.745854363</c:v>
                </c:pt>
                <c:pt idx="220">
                  <c:v>83557279.401228786</c:v>
                </c:pt>
                <c:pt idx="221">
                  <c:v>82986775.91406031</c:v>
                </c:pt>
                <c:pt idx="222">
                  <c:v>83113395.387660384</c:v>
                </c:pt>
                <c:pt idx="223">
                  <c:v>83141445.430551454</c:v>
                </c:pt>
                <c:pt idx="224">
                  <c:v>83155153.259329543</c:v>
                </c:pt>
                <c:pt idx="225">
                  <c:v>83100620.642076194</c:v>
                </c:pt>
                <c:pt idx="226">
                  <c:v>82808683.672557548</c:v>
                </c:pt>
                <c:pt idx="227">
                  <c:v>82960666.758855984</c:v>
                </c:pt>
                <c:pt idx="228">
                  <c:v>82888269.425836205</c:v>
                </c:pt>
                <c:pt idx="229">
                  <c:v>83420484.155223578</c:v>
                </c:pt>
                <c:pt idx="230">
                  <c:v>83116205.985785887</c:v>
                </c:pt>
                <c:pt idx="231">
                  <c:v>83326139.364675775</c:v>
                </c:pt>
                <c:pt idx="232">
                  <c:v>82913994.654825702</c:v>
                </c:pt>
                <c:pt idx="233">
                  <c:v>83556809.862421513</c:v>
                </c:pt>
                <c:pt idx="234">
                  <c:v>82867165.730389968</c:v>
                </c:pt>
                <c:pt idx="235">
                  <c:v>83100572.326987907</c:v>
                </c:pt>
                <c:pt idx="236">
                  <c:v>83079139.667524651</c:v>
                </c:pt>
                <c:pt idx="237">
                  <c:v>82492255.182327762</c:v>
                </c:pt>
                <c:pt idx="238">
                  <c:v>83001606.097906172</c:v>
                </c:pt>
                <c:pt idx="239">
                  <c:v>82736243.403534621</c:v>
                </c:pt>
                <c:pt idx="240">
                  <c:v>82743622.801375538</c:v>
                </c:pt>
                <c:pt idx="241">
                  <c:v>82942166.467051536</c:v>
                </c:pt>
                <c:pt idx="242">
                  <c:v>82828607.257938042</c:v>
                </c:pt>
                <c:pt idx="243">
                  <c:v>83081420.050747618</c:v>
                </c:pt>
                <c:pt idx="244">
                  <c:v>82888084.421511561</c:v>
                </c:pt>
                <c:pt idx="245">
                  <c:v>82939507.560009643</c:v>
                </c:pt>
                <c:pt idx="246">
                  <c:v>82901455.818801895</c:v>
                </c:pt>
                <c:pt idx="247">
                  <c:v>83013268.35628742</c:v>
                </c:pt>
                <c:pt idx="248">
                  <c:v>82979968.312255502</c:v>
                </c:pt>
                <c:pt idx="249">
                  <c:v>83185185.950506613</c:v>
                </c:pt>
                <c:pt idx="250">
                  <c:v>83010335.769728035</c:v>
                </c:pt>
                <c:pt idx="251">
                  <c:v>82796967.403728336</c:v>
                </c:pt>
                <c:pt idx="252">
                  <c:v>83304461.906290218</c:v>
                </c:pt>
                <c:pt idx="253">
                  <c:v>83215767.142435879</c:v>
                </c:pt>
                <c:pt idx="254">
                  <c:v>83203264.193617985</c:v>
                </c:pt>
                <c:pt idx="255">
                  <c:v>83345964.166794822</c:v>
                </c:pt>
                <c:pt idx="256">
                  <c:v>82491757.20492284</c:v>
                </c:pt>
                <c:pt idx="257">
                  <c:v>82647416.269986242</c:v>
                </c:pt>
                <c:pt idx="258">
                  <c:v>82898608.538788155</c:v>
                </c:pt>
                <c:pt idx="259">
                  <c:v>83187548.188740239</c:v>
                </c:pt>
                <c:pt idx="260">
                  <c:v>82992624.814222649</c:v>
                </c:pt>
                <c:pt idx="261">
                  <c:v>83027391.6141413</c:v>
                </c:pt>
                <c:pt idx="262">
                  <c:v>83107972.003201425</c:v>
                </c:pt>
                <c:pt idx="263">
                  <c:v>83268181.298741043</c:v>
                </c:pt>
                <c:pt idx="264">
                  <c:v>83207059.338918835</c:v>
                </c:pt>
                <c:pt idx="265">
                  <c:v>83031821.472890168</c:v>
                </c:pt>
                <c:pt idx="266">
                  <c:v>82934630.064305842</c:v>
                </c:pt>
                <c:pt idx="267">
                  <c:v>82991854.200805113</c:v>
                </c:pt>
                <c:pt idx="268">
                  <c:v>83269283.150503695</c:v>
                </c:pt>
                <c:pt idx="269">
                  <c:v>83181998.959966436</c:v>
                </c:pt>
                <c:pt idx="270">
                  <c:v>82887900.117465675</c:v>
                </c:pt>
                <c:pt idx="271">
                  <c:v>83224621.743949875</c:v>
                </c:pt>
                <c:pt idx="272">
                  <c:v>83212518.509403303</c:v>
                </c:pt>
                <c:pt idx="273">
                  <c:v>83016133.430596828</c:v>
                </c:pt>
                <c:pt idx="274">
                  <c:v>83221232.408681586</c:v>
                </c:pt>
                <c:pt idx="275">
                  <c:v>82811452.510515213</c:v>
                </c:pt>
                <c:pt idx="276">
                  <c:v>83231854.637815267</c:v>
                </c:pt>
                <c:pt idx="277">
                  <c:v>83245158.178422987</c:v>
                </c:pt>
                <c:pt idx="278">
                  <c:v>82687813.924141631</c:v>
                </c:pt>
                <c:pt idx="279">
                  <c:v>83022653.924018487</c:v>
                </c:pt>
                <c:pt idx="280">
                  <c:v>82919757.034956723</c:v>
                </c:pt>
                <c:pt idx="281">
                  <c:v>82999506.06682983</c:v>
                </c:pt>
                <c:pt idx="282">
                  <c:v>83023453.475200027</c:v>
                </c:pt>
                <c:pt idx="283">
                  <c:v>82719784.657106116</c:v>
                </c:pt>
                <c:pt idx="284">
                  <c:v>82933347.864655912</c:v>
                </c:pt>
                <c:pt idx="285">
                  <c:v>82864505.005763084</c:v>
                </c:pt>
                <c:pt idx="286">
                  <c:v>82808028.53991954</c:v>
                </c:pt>
                <c:pt idx="287">
                  <c:v>83248832.283679262</c:v>
                </c:pt>
                <c:pt idx="288">
                  <c:v>83096477.08653307</c:v>
                </c:pt>
                <c:pt idx="289">
                  <c:v>82904456.950354874</c:v>
                </c:pt>
                <c:pt idx="290">
                  <c:v>83007561.158487827</c:v>
                </c:pt>
                <c:pt idx="291">
                  <c:v>83236143.815085217</c:v>
                </c:pt>
                <c:pt idx="292">
                  <c:v>83063665.074003801</c:v>
                </c:pt>
                <c:pt idx="293">
                  <c:v>83035646.883892074</c:v>
                </c:pt>
                <c:pt idx="294">
                  <c:v>82943195.366006643</c:v>
                </c:pt>
                <c:pt idx="295">
                  <c:v>82897931.255703837</c:v>
                </c:pt>
                <c:pt idx="296">
                  <c:v>82581497.446095556</c:v>
                </c:pt>
                <c:pt idx="297">
                  <c:v>83128256.108790994</c:v>
                </c:pt>
                <c:pt idx="298">
                  <c:v>83089570.528608456</c:v>
                </c:pt>
                <c:pt idx="299">
                  <c:v>83052783.782533973</c:v>
                </c:pt>
                <c:pt idx="300">
                  <c:v>83113046.449747294</c:v>
                </c:pt>
                <c:pt idx="301">
                  <c:v>82839912.457618773</c:v>
                </c:pt>
                <c:pt idx="302">
                  <c:v>83003042.245346293</c:v>
                </c:pt>
                <c:pt idx="303">
                  <c:v>82944276.245643571</c:v>
                </c:pt>
                <c:pt idx="304">
                  <c:v>82783843.242564157</c:v>
                </c:pt>
                <c:pt idx="305">
                  <c:v>82990139.058357686</c:v>
                </c:pt>
                <c:pt idx="306">
                  <c:v>83622606.256388947</c:v>
                </c:pt>
                <c:pt idx="307">
                  <c:v>83462899.83603242</c:v>
                </c:pt>
                <c:pt idx="308">
                  <c:v>82828778.362515047</c:v>
                </c:pt>
                <c:pt idx="309">
                  <c:v>83129204.467617229</c:v>
                </c:pt>
                <c:pt idx="310">
                  <c:v>83108271.121442735</c:v>
                </c:pt>
                <c:pt idx="311">
                  <c:v>82859622.606819794</c:v>
                </c:pt>
                <c:pt idx="312">
                  <c:v>83009144.446384162</c:v>
                </c:pt>
                <c:pt idx="313">
                  <c:v>83355416.977042124</c:v>
                </c:pt>
                <c:pt idx="314">
                  <c:v>83108449.709350482</c:v>
                </c:pt>
                <c:pt idx="315">
                  <c:v>82576244.632600814</c:v>
                </c:pt>
                <c:pt idx="316">
                  <c:v>83201118.571341485</c:v>
                </c:pt>
                <c:pt idx="317">
                  <c:v>82853401.161095187</c:v>
                </c:pt>
                <c:pt idx="318">
                  <c:v>83423999.686156645</c:v>
                </c:pt>
                <c:pt idx="319">
                  <c:v>83281305.548367009</c:v>
                </c:pt>
                <c:pt idx="320">
                  <c:v>83118294.501207873</c:v>
                </c:pt>
                <c:pt idx="321">
                  <c:v>83160374.030361652</c:v>
                </c:pt>
                <c:pt idx="322">
                  <c:v>82823434.179306552</c:v>
                </c:pt>
                <c:pt idx="323">
                  <c:v>83093987.71828787</c:v>
                </c:pt>
                <c:pt idx="324">
                  <c:v>82937851.96882464</c:v>
                </c:pt>
                <c:pt idx="325">
                  <c:v>83123133.004360929</c:v>
                </c:pt>
                <c:pt idx="326">
                  <c:v>83312006.794373095</c:v>
                </c:pt>
                <c:pt idx="327">
                  <c:v>82868469.574986473</c:v>
                </c:pt>
                <c:pt idx="328">
                  <c:v>83576665.581198961</c:v>
                </c:pt>
                <c:pt idx="329">
                  <c:v>82944590.188241348</c:v>
                </c:pt>
                <c:pt idx="330">
                  <c:v>83119339.118884057</c:v>
                </c:pt>
                <c:pt idx="331">
                  <c:v>83027656.959800795</c:v>
                </c:pt>
                <c:pt idx="332">
                  <c:v>82890344.599608004</c:v>
                </c:pt>
                <c:pt idx="333">
                  <c:v>82737082.999720722</c:v>
                </c:pt>
                <c:pt idx="334">
                  <c:v>82938825.231154561</c:v>
                </c:pt>
                <c:pt idx="335">
                  <c:v>82906642.862474963</c:v>
                </c:pt>
                <c:pt idx="336">
                  <c:v>82839301.157645628</c:v>
                </c:pt>
                <c:pt idx="337">
                  <c:v>83248021.914305434</c:v>
                </c:pt>
                <c:pt idx="338">
                  <c:v>82750864.715001389</c:v>
                </c:pt>
                <c:pt idx="339">
                  <c:v>82825572.67574884</c:v>
                </c:pt>
                <c:pt idx="340">
                  <c:v>82873543.905690163</c:v>
                </c:pt>
                <c:pt idx="341">
                  <c:v>82529253.352418333</c:v>
                </c:pt>
                <c:pt idx="342">
                  <c:v>82895099.882643104</c:v>
                </c:pt>
                <c:pt idx="343">
                  <c:v>83096827.0246142</c:v>
                </c:pt>
                <c:pt idx="344">
                  <c:v>82940216.961972818</c:v>
                </c:pt>
                <c:pt idx="345">
                  <c:v>82843035.729689881</c:v>
                </c:pt>
                <c:pt idx="346">
                  <c:v>82856326.713453114</c:v>
                </c:pt>
                <c:pt idx="347">
                  <c:v>83272478.205723152</c:v>
                </c:pt>
                <c:pt idx="348">
                  <c:v>83340408.563327253</c:v>
                </c:pt>
                <c:pt idx="349">
                  <c:v>82980576.523966625</c:v>
                </c:pt>
                <c:pt idx="350">
                  <c:v>82944816.137824073</c:v>
                </c:pt>
                <c:pt idx="351">
                  <c:v>82809637.430361986</c:v>
                </c:pt>
                <c:pt idx="352">
                  <c:v>83029973.86416091</c:v>
                </c:pt>
                <c:pt idx="353">
                  <c:v>83000211.82130076</c:v>
                </c:pt>
                <c:pt idx="354">
                  <c:v>83362711.560051814</c:v>
                </c:pt>
                <c:pt idx="355">
                  <c:v>83258029.078079686</c:v>
                </c:pt>
                <c:pt idx="356">
                  <c:v>82639676.410136551</c:v>
                </c:pt>
                <c:pt idx="357">
                  <c:v>82916762.149929151</c:v>
                </c:pt>
                <c:pt idx="358">
                  <c:v>82726219.952898711</c:v>
                </c:pt>
                <c:pt idx="359">
                  <c:v>83170649.764026895</c:v>
                </c:pt>
                <c:pt idx="360">
                  <c:v>83139920.281698823</c:v>
                </c:pt>
                <c:pt idx="361">
                  <c:v>82938852.036634192</c:v>
                </c:pt>
                <c:pt idx="362">
                  <c:v>82835049.033466563</c:v>
                </c:pt>
                <c:pt idx="363">
                  <c:v>83097619.31893909</c:v>
                </c:pt>
                <c:pt idx="364">
                  <c:v>82641939.103534669</c:v>
                </c:pt>
                <c:pt idx="365">
                  <c:v>82955336.649784669</c:v>
                </c:pt>
                <c:pt idx="366">
                  <c:v>82830495.123404831</c:v>
                </c:pt>
                <c:pt idx="367">
                  <c:v>83255185.367940471</c:v>
                </c:pt>
                <c:pt idx="368">
                  <c:v>83031779.464523017</c:v>
                </c:pt>
                <c:pt idx="369">
                  <c:v>82892687.198673099</c:v>
                </c:pt>
                <c:pt idx="370">
                  <c:v>82346121.015949041</c:v>
                </c:pt>
                <c:pt idx="371">
                  <c:v>83331319.981201187</c:v>
                </c:pt>
                <c:pt idx="372">
                  <c:v>82596530.950147018</c:v>
                </c:pt>
                <c:pt idx="373">
                  <c:v>82896773.895362541</c:v>
                </c:pt>
                <c:pt idx="374">
                  <c:v>83111005.257487819</c:v>
                </c:pt>
                <c:pt idx="375">
                  <c:v>83386474.606714323</c:v>
                </c:pt>
                <c:pt idx="376">
                  <c:v>83186704.424011081</c:v>
                </c:pt>
                <c:pt idx="377">
                  <c:v>83032701.952834502</c:v>
                </c:pt>
                <c:pt idx="378">
                  <c:v>83187329.249862611</c:v>
                </c:pt>
                <c:pt idx="379">
                  <c:v>82862434.863679409</c:v>
                </c:pt>
                <c:pt idx="380">
                  <c:v>83033186.265903696</c:v>
                </c:pt>
                <c:pt idx="381">
                  <c:v>83296636.673102006</c:v>
                </c:pt>
                <c:pt idx="382">
                  <c:v>82927251.710229546</c:v>
                </c:pt>
                <c:pt idx="383">
                  <c:v>82822499.459392726</c:v>
                </c:pt>
                <c:pt idx="384">
                  <c:v>83050649.924235463</c:v>
                </c:pt>
                <c:pt idx="385">
                  <c:v>82716135.539238796</c:v>
                </c:pt>
                <c:pt idx="386">
                  <c:v>83029967.166621462</c:v>
                </c:pt>
                <c:pt idx="387">
                  <c:v>82705311.343596309</c:v>
                </c:pt>
                <c:pt idx="388">
                  <c:v>83173363.227370963</c:v>
                </c:pt>
                <c:pt idx="389">
                  <c:v>83181931.93652302</c:v>
                </c:pt>
                <c:pt idx="390">
                  <c:v>83246203.298917592</c:v>
                </c:pt>
                <c:pt idx="391">
                  <c:v>82674603.336369574</c:v>
                </c:pt>
                <c:pt idx="392">
                  <c:v>82970992.723797038</c:v>
                </c:pt>
                <c:pt idx="393">
                  <c:v>83204560.176217467</c:v>
                </c:pt>
                <c:pt idx="394">
                  <c:v>82848992.110639364</c:v>
                </c:pt>
                <c:pt idx="395">
                  <c:v>83049070.19371222</c:v>
                </c:pt>
                <c:pt idx="396">
                  <c:v>83162994.165696219</c:v>
                </c:pt>
                <c:pt idx="397">
                  <c:v>82976265.771451935</c:v>
                </c:pt>
                <c:pt idx="398">
                  <c:v>83326935.528251052</c:v>
                </c:pt>
                <c:pt idx="399">
                  <c:v>82924709.921737909</c:v>
                </c:pt>
                <c:pt idx="400">
                  <c:v>82522748.515939027</c:v>
                </c:pt>
                <c:pt idx="401">
                  <c:v>82788264.889803067</c:v>
                </c:pt>
                <c:pt idx="402">
                  <c:v>82793663.831261858</c:v>
                </c:pt>
                <c:pt idx="403">
                  <c:v>83124435.80458039</c:v>
                </c:pt>
                <c:pt idx="404">
                  <c:v>82851188.168737844</c:v>
                </c:pt>
                <c:pt idx="405">
                  <c:v>82541082.090628922</c:v>
                </c:pt>
                <c:pt idx="406">
                  <c:v>83093556.757876351</c:v>
                </c:pt>
                <c:pt idx="407">
                  <c:v>82927456.110770866</c:v>
                </c:pt>
                <c:pt idx="408">
                  <c:v>83207225.805469573</c:v>
                </c:pt>
                <c:pt idx="409">
                  <c:v>82314796.886916161</c:v>
                </c:pt>
                <c:pt idx="410">
                  <c:v>82573661.258854508</c:v>
                </c:pt>
                <c:pt idx="411">
                  <c:v>82907386.631180704</c:v>
                </c:pt>
                <c:pt idx="412">
                  <c:v>83061858.255727097</c:v>
                </c:pt>
                <c:pt idx="413">
                  <c:v>83187760.224226445</c:v>
                </c:pt>
                <c:pt idx="414">
                  <c:v>82868508.468207762</c:v>
                </c:pt>
                <c:pt idx="415">
                  <c:v>82871065.489534631</c:v>
                </c:pt>
                <c:pt idx="416">
                  <c:v>83041160.21894227</c:v>
                </c:pt>
                <c:pt idx="417">
                  <c:v>82708728.313656196</c:v>
                </c:pt>
                <c:pt idx="418">
                  <c:v>83088976.8151104</c:v>
                </c:pt>
                <c:pt idx="419">
                  <c:v>82641099.90124552</c:v>
                </c:pt>
                <c:pt idx="420">
                  <c:v>83115714.674848795</c:v>
                </c:pt>
                <c:pt idx="421">
                  <c:v>82961874.173869535</c:v>
                </c:pt>
                <c:pt idx="422">
                  <c:v>83343622.52335462</c:v>
                </c:pt>
                <c:pt idx="423">
                  <c:v>82731421.570153698</c:v>
                </c:pt>
                <c:pt idx="424">
                  <c:v>83142636.654754698</c:v>
                </c:pt>
                <c:pt idx="425">
                  <c:v>83405844.3668589</c:v>
                </c:pt>
                <c:pt idx="426">
                  <c:v>83302890.630394921</c:v>
                </c:pt>
                <c:pt idx="427">
                  <c:v>82483933.161679775</c:v>
                </c:pt>
                <c:pt idx="428">
                  <c:v>82987372.913972095</c:v>
                </c:pt>
                <c:pt idx="429">
                  <c:v>82634201.295655817</c:v>
                </c:pt>
                <c:pt idx="430">
                  <c:v>83380531.277802438</c:v>
                </c:pt>
                <c:pt idx="431">
                  <c:v>82793516.028276831</c:v>
                </c:pt>
                <c:pt idx="432">
                  <c:v>83166931.445308775</c:v>
                </c:pt>
                <c:pt idx="433">
                  <c:v>83053517.040958717</c:v>
                </c:pt>
                <c:pt idx="434">
                  <c:v>83030817.62266092</c:v>
                </c:pt>
                <c:pt idx="435">
                  <c:v>82869380.954973772</c:v>
                </c:pt>
                <c:pt idx="436">
                  <c:v>83382333.694726035</c:v>
                </c:pt>
                <c:pt idx="437">
                  <c:v>83089045.86652112</c:v>
                </c:pt>
                <c:pt idx="438">
                  <c:v>83045590.035685346</c:v>
                </c:pt>
                <c:pt idx="439">
                  <c:v>83365558.465328753</c:v>
                </c:pt>
                <c:pt idx="440">
                  <c:v>83418865.884825513</c:v>
                </c:pt>
                <c:pt idx="441">
                  <c:v>82916046.595422804</c:v>
                </c:pt>
                <c:pt idx="442">
                  <c:v>82575906.865127191</c:v>
                </c:pt>
                <c:pt idx="443">
                  <c:v>82804009.567721471</c:v>
                </c:pt>
                <c:pt idx="444">
                  <c:v>83006779.39900884</c:v>
                </c:pt>
                <c:pt idx="445">
                  <c:v>82297691.009040222</c:v>
                </c:pt>
                <c:pt idx="446">
                  <c:v>82749257.800535515</c:v>
                </c:pt>
                <c:pt idx="447">
                  <c:v>82591154.794824809</c:v>
                </c:pt>
                <c:pt idx="448">
                  <c:v>83035089.236449584</c:v>
                </c:pt>
                <c:pt idx="449">
                  <c:v>83164049.594249576</c:v>
                </c:pt>
                <c:pt idx="450">
                  <c:v>82676070.960333094</c:v>
                </c:pt>
                <c:pt idx="451">
                  <c:v>82677932.0278043</c:v>
                </c:pt>
                <c:pt idx="452">
                  <c:v>82928901.014735639</c:v>
                </c:pt>
                <c:pt idx="453">
                  <c:v>83088549.155735686</c:v>
                </c:pt>
                <c:pt idx="454">
                  <c:v>83199156.962310031</c:v>
                </c:pt>
                <c:pt idx="455">
                  <c:v>82863483.20834443</c:v>
                </c:pt>
                <c:pt idx="456">
                  <c:v>83036610.316772386</c:v>
                </c:pt>
                <c:pt idx="457">
                  <c:v>83466676.82461594</c:v>
                </c:pt>
                <c:pt idx="458">
                  <c:v>83214451.093065098</c:v>
                </c:pt>
                <c:pt idx="459">
                  <c:v>83617630.979817882</c:v>
                </c:pt>
                <c:pt idx="460">
                  <c:v>82536715.854260966</c:v>
                </c:pt>
                <c:pt idx="461">
                  <c:v>83159649.385252818</c:v>
                </c:pt>
                <c:pt idx="462">
                  <c:v>83021834.12727949</c:v>
                </c:pt>
                <c:pt idx="463">
                  <c:v>83430813.308433086</c:v>
                </c:pt>
                <c:pt idx="464">
                  <c:v>83680415.961260274</c:v>
                </c:pt>
                <c:pt idx="465">
                  <c:v>83104034.375296548</c:v>
                </c:pt>
                <c:pt idx="466">
                  <c:v>82631817.404401734</c:v>
                </c:pt>
                <c:pt idx="467">
                  <c:v>83350493.800343826</c:v>
                </c:pt>
                <c:pt idx="468">
                  <c:v>82889462.972305208</c:v>
                </c:pt>
                <c:pt idx="469">
                  <c:v>82443009.679371297</c:v>
                </c:pt>
                <c:pt idx="470">
                  <c:v>83134601.807120875</c:v>
                </c:pt>
                <c:pt idx="471">
                  <c:v>83740697.57140784</c:v>
                </c:pt>
                <c:pt idx="472">
                  <c:v>83018766.154735938</c:v>
                </c:pt>
                <c:pt idx="473">
                  <c:v>82523074.637552425</c:v>
                </c:pt>
                <c:pt idx="474">
                  <c:v>83259385.6933828</c:v>
                </c:pt>
                <c:pt idx="475">
                  <c:v>82615275.643950894</c:v>
                </c:pt>
                <c:pt idx="476">
                  <c:v>82326442.447546363</c:v>
                </c:pt>
                <c:pt idx="477">
                  <c:v>83118175.868807033</c:v>
                </c:pt>
                <c:pt idx="478">
                  <c:v>82861318.760340407</c:v>
                </c:pt>
                <c:pt idx="479">
                  <c:v>83221931.296244562</c:v>
                </c:pt>
                <c:pt idx="480">
                  <c:v>82905983.312349603</c:v>
                </c:pt>
                <c:pt idx="481">
                  <c:v>83503188.725592628</c:v>
                </c:pt>
                <c:pt idx="482">
                  <c:v>83206176.131080031</c:v>
                </c:pt>
                <c:pt idx="483">
                  <c:v>82495003.19363077</c:v>
                </c:pt>
                <c:pt idx="484">
                  <c:v>83207261.183548242</c:v>
                </c:pt>
                <c:pt idx="485">
                  <c:v>83414413.553656891</c:v>
                </c:pt>
                <c:pt idx="486">
                  <c:v>83043992.823317647</c:v>
                </c:pt>
                <c:pt idx="487">
                  <c:v>82591704.464118436</c:v>
                </c:pt>
                <c:pt idx="488">
                  <c:v>82718142.044407114</c:v>
                </c:pt>
                <c:pt idx="489">
                  <c:v>83118476.556050479</c:v>
                </c:pt>
                <c:pt idx="490">
                  <c:v>83367082.263694063</c:v>
                </c:pt>
                <c:pt idx="491">
                  <c:v>82919151.457765222</c:v>
                </c:pt>
                <c:pt idx="492">
                  <c:v>83012137.079963028</c:v>
                </c:pt>
                <c:pt idx="493">
                  <c:v>83756737.257421285</c:v>
                </c:pt>
                <c:pt idx="494">
                  <c:v>83100080.380045071</c:v>
                </c:pt>
                <c:pt idx="495">
                  <c:v>82745700.755901977</c:v>
                </c:pt>
                <c:pt idx="496">
                  <c:v>82570524.711610779</c:v>
                </c:pt>
                <c:pt idx="497">
                  <c:v>82983425.444292307</c:v>
                </c:pt>
                <c:pt idx="498">
                  <c:v>82739202.461411402</c:v>
                </c:pt>
                <c:pt idx="499">
                  <c:v>82962917.588191658</c:v>
                </c:pt>
                <c:pt idx="500">
                  <c:v>82681222.745898545</c:v>
                </c:pt>
                <c:pt idx="501">
                  <c:v>82452570.986701608</c:v>
                </c:pt>
                <c:pt idx="502">
                  <c:v>82887262.660897404</c:v>
                </c:pt>
                <c:pt idx="503">
                  <c:v>82532200.744606137</c:v>
                </c:pt>
                <c:pt idx="504">
                  <c:v>83171657.238139883</c:v>
                </c:pt>
                <c:pt idx="505">
                  <c:v>82754661.942151472</c:v>
                </c:pt>
                <c:pt idx="506">
                  <c:v>83130398.448109165</c:v>
                </c:pt>
                <c:pt idx="507">
                  <c:v>82801460.437729374</c:v>
                </c:pt>
                <c:pt idx="508">
                  <c:v>83025472.046704873</c:v>
                </c:pt>
                <c:pt idx="509">
                  <c:v>82571875.668639064</c:v>
                </c:pt>
                <c:pt idx="510">
                  <c:v>82898688.271220908</c:v>
                </c:pt>
                <c:pt idx="511">
                  <c:v>82769920.607369468</c:v>
                </c:pt>
                <c:pt idx="512">
                  <c:v>82483086.656883165</c:v>
                </c:pt>
                <c:pt idx="513">
                  <c:v>82784544.525788426</c:v>
                </c:pt>
                <c:pt idx="514">
                  <c:v>83449637.614885211</c:v>
                </c:pt>
                <c:pt idx="515">
                  <c:v>83305214.357407585</c:v>
                </c:pt>
                <c:pt idx="516">
                  <c:v>83191299.33519879</c:v>
                </c:pt>
                <c:pt idx="517">
                  <c:v>83286997.815616518</c:v>
                </c:pt>
                <c:pt idx="518">
                  <c:v>82942755.664071634</c:v>
                </c:pt>
                <c:pt idx="519">
                  <c:v>83347474.159645259</c:v>
                </c:pt>
                <c:pt idx="520">
                  <c:v>83220262.342043161</c:v>
                </c:pt>
                <c:pt idx="521">
                  <c:v>83211043.86313352</c:v>
                </c:pt>
                <c:pt idx="522">
                  <c:v>83151927.139861047</c:v>
                </c:pt>
                <c:pt idx="523">
                  <c:v>82766032.139477432</c:v>
                </c:pt>
                <c:pt idx="524">
                  <c:v>83070387.073223725</c:v>
                </c:pt>
                <c:pt idx="525">
                  <c:v>83290583.836907521</c:v>
                </c:pt>
                <c:pt idx="526">
                  <c:v>82862524.925013557</c:v>
                </c:pt>
                <c:pt idx="527">
                  <c:v>82949885.161209866</c:v>
                </c:pt>
                <c:pt idx="528">
                  <c:v>83358573.150967419</c:v>
                </c:pt>
                <c:pt idx="529">
                  <c:v>82829106.472631067</c:v>
                </c:pt>
                <c:pt idx="530">
                  <c:v>83226567.840244427</c:v>
                </c:pt>
                <c:pt idx="531">
                  <c:v>82850824.444206834</c:v>
                </c:pt>
                <c:pt idx="532">
                  <c:v>83095497.854469359</c:v>
                </c:pt>
                <c:pt idx="533">
                  <c:v>83446188.24943164</c:v>
                </c:pt>
                <c:pt idx="534">
                  <c:v>82511482.533472881</c:v>
                </c:pt>
                <c:pt idx="535">
                  <c:v>82906205.096791402</c:v>
                </c:pt>
                <c:pt idx="536">
                  <c:v>83053175.502523795</c:v>
                </c:pt>
                <c:pt idx="537">
                  <c:v>83311464.35406521</c:v>
                </c:pt>
                <c:pt idx="538">
                  <c:v>83161015.08633025</c:v>
                </c:pt>
                <c:pt idx="539">
                  <c:v>83026052.768518716</c:v>
                </c:pt>
                <c:pt idx="540">
                  <c:v>83205732.817459106</c:v>
                </c:pt>
                <c:pt idx="541">
                  <c:v>83457002.562572986</c:v>
                </c:pt>
                <c:pt idx="542">
                  <c:v>83185117.774173975</c:v>
                </c:pt>
                <c:pt idx="543">
                  <c:v>83209281.983840242</c:v>
                </c:pt>
                <c:pt idx="544">
                  <c:v>83064381.916137338</c:v>
                </c:pt>
                <c:pt idx="545">
                  <c:v>82865571.607547417</c:v>
                </c:pt>
                <c:pt idx="546">
                  <c:v>82745999.875902936</c:v>
                </c:pt>
                <c:pt idx="547">
                  <c:v>82935373.230746001</c:v>
                </c:pt>
                <c:pt idx="548">
                  <c:v>83380610.38035439</c:v>
                </c:pt>
                <c:pt idx="549">
                  <c:v>82791456.707151115</c:v>
                </c:pt>
                <c:pt idx="550">
                  <c:v>83275100.938243583</c:v>
                </c:pt>
                <c:pt idx="551">
                  <c:v>83121786.92303735</c:v>
                </c:pt>
                <c:pt idx="552">
                  <c:v>82735928.256288171</c:v>
                </c:pt>
                <c:pt idx="553">
                  <c:v>83153942.45210351</c:v>
                </c:pt>
                <c:pt idx="554">
                  <c:v>82900481.375965074</c:v>
                </c:pt>
                <c:pt idx="555">
                  <c:v>83463427.218749359</c:v>
                </c:pt>
                <c:pt idx="556">
                  <c:v>83309396.679844067</c:v>
                </c:pt>
                <c:pt idx="557">
                  <c:v>83246596.632317886</c:v>
                </c:pt>
                <c:pt idx="558">
                  <c:v>82888709.719248593</c:v>
                </c:pt>
                <c:pt idx="559">
                  <c:v>83388637.375091225</c:v>
                </c:pt>
                <c:pt idx="560">
                  <c:v>83169922.695865586</c:v>
                </c:pt>
                <c:pt idx="561">
                  <c:v>83053978.756728709</c:v>
                </c:pt>
                <c:pt idx="562">
                  <c:v>83117498.196064353</c:v>
                </c:pt>
                <c:pt idx="563">
                  <c:v>83025515.952063426</c:v>
                </c:pt>
                <c:pt idx="564">
                  <c:v>83282351.013083369</c:v>
                </c:pt>
                <c:pt idx="565">
                  <c:v>82770759.072849274</c:v>
                </c:pt>
                <c:pt idx="566">
                  <c:v>82881351.83995612</c:v>
                </c:pt>
                <c:pt idx="567">
                  <c:v>83205883.236109391</c:v>
                </c:pt>
                <c:pt idx="568">
                  <c:v>83057296.232558578</c:v>
                </c:pt>
                <c:pt idx="569">
                  <c:v>82892672.571477711</c:v>
                </c:pt>
                <c:pt idx="570">
                  <c:v>82949194.063812315</c:v>
                </c:pt>
                <c:pt idx="571">
                  <c:v>82882623.949905127</c:v>
                </c:pt>
                <c:pt idx="572">
                  <c:v>83471955.144129455</c:v>
                </c:pt>
                <c:pt idx="573">
                  <c:v>82932883.396094412</c:v>
                </c:pt>
                <c:pt idx="574">
                  <c:v>83192689.483937904</c:v>
                </c:pt>
                <c:pt idx="575">
                  <c:v>83104183.644114733</c:v>
                </c:pt>
                <c:pt idx="576">
                  <c:v>83125379.559452564</c:v>
                </c:pt>
                <c:pt idx="577">
                  <c:v>82833953.610013753</c:v>
                </c:pt>
                <c:pt idx="578">
                  <c:v>83376631.244350374</c:v>
                </c:pt>
                <c:pt idx="579">
                  <c:v>82698050.712716863</c:v>
                </c:pt>
                <c:pt idx="580">
                  <c:v>82666602.119951159</c:v>
                </c:pt>
                <c:pt idx="581">
                  <c:v>82561377.114880666</c:v>
                </c:pt>
                <c:pt idx="582">
                  <c:v>82869567.712118715</c:v>
                </c:pt>
                <c:pt idx="583">
                  <c:v>83295820.967953831</c:v>
                </c:pt>
                <c:pt idx="584">
                  <c:v>83327519.497467577</c:v>
                </c:pt>
                <c:pt idx="585">
                  <c:v>82676843.348156169</c:v>
                </c:pt>
                <c:pt idx="586">
                  <c:v>82879701.202422872</c:v>
                </c:pt>
                <c:pt idx="587">
                  <c:v>83157145.528704837</c:v>
                </c:pt>
                <c:pt idx="588">
                  <c:v>83329415.583213568</c:v>
                </c:pt>
                <c:pt idx="589">
                  <c:v>83155420.973583594</c:v>
                </c:pt>
                <c:pt idx="590">
                  <c:v>82837055.258695528</c:v>
                </c:pt>
                <c:pt idx="591">
                  <c:v>82954342.141429171</c:v>
                </c:pt>
                <c:pt idx="592">
                  <c:v>83163694.547026277</c:v>
                </c:pt>
                <c:pt idx="593">
                  <c:v>83189808.425152227</c:v>
                </c:pt>
                <c:pt idx="594">
                  <c:v>82876641.971998096</c:v>
                </c:pt>
                <c:pt idx="595">
                  <c:v>83156279.353627414</c:v>
                </c:pt>
                <c:pt idx="596">
                  <c:v>83239806.382342428</c:v>
                </c:pt>
                <c:pt idx="597">
                  <c:v>83146868.795704097</c:v>
                </c:pt>
                <c:pt idx="598">
                  <c:v>83177608.790242717</c:v>
                </c:pt>
                <c:pt idx="599">
                  <c:v>82493451.373645514</c:v>
                </c:pt>
                <c:pt idx="600">
                  <c:v>83310940.843935058</c:v>
                </c:pt>
                <c:pt idx="601">
                  <c:v>82625624.091893524</c:v>
                </c:pt>
                <c:pt idx="602">
                  <c:v>83003011.804623708</c:v>
                </c:pt>
                <c:pt idx="603">
                  <c:v>83132413.406600475</c:v>
                </c:pt>
                <c:pt idx="604">
                  <c:v>83395247.575366363</c:v>
                </c:pt>
                <c:pt idx="605">
                  <c:v>82610263.761533231</c:v>
                </c:pt>
                <c:pt idx="606">
                  <c:v>82975079.576187834</c:v>
                </c:pt>
                <c:pt idx="607">
                  <c:v>82675535.498408273</c:v>
                </c:pt>
                <c:pt idx="608">
                  <c:v>82818828.998318821</c:v>
                </c:pt>
                <c:pt idx="609">
                  <c:v>82889859.364655346</c:v>
                </c:pt>
                <c:pt idx="610">
                  <c:v>83322615.526663423</c:v>
                </c:pt>
                <c:pt idx="611">
                  <c:v>82855310.349556789</c:v>
                </c:pt>
                <c:pt idx="612">
                  <c:v>83005084.581822202</c:v>
                </c:pt>
                <c:pt idx="613">
                  <c:v>82588617.584375799</c:v>
                </c:pt>
                <c:pt idx="614">
                  <c:v>83195121.426768333</c:v>
                </c:pt>
                <c:pt idx="615">
                  <c:v>82702194.81754002</c:v>
                </c:pt>
                <c:pt idx="616">
                  <c:v>82608766.261649594</c:v>
                </c:pt>
                <c:pt idx="617">
                  <c:v>83038887.770513386</c:v>
                </c:pt>
                <c:pt idx="618">
                  <c:v>83034216.319577962</c:v>
                </c:pt>
                <c:pt idx="619">
                  <c:v>83151907.533999488</c:v>
                </c:pt>
                <c:pt idx="620">
                  <c:v>83168885.493620127</c:v>
                </c:pt>
                <c:pt idx="621">
                  <c:v>82809011.689916581</c:v>
                </c:pt>
                <c:pt idx="622">
                  <c:v>82539961.913543776</c:v>
                </c:pt>
                <c:pt idx="623">
                  <c:v>83008711.506684363</c:v>
                </c:pt>
                <c:pt idx="624">
                  <c:v>82844243.237696916</c:v>
                </c:pt>
                <c:pt idx="625">
                  <c:v>82806737.393878818</c:v>
                </c:pt>
                <c:pt idx="626">
                  <c:v>83226746.253704667</c:v>
                </c:pt>
                <c:pt idx="627">
                  <c:v>82858717.844846711</c:v>
                </c:pt>
                <c:pt idx="628">
                  <c:v>83532088.583623171</c:v>
                </c:pt>
                <c:pt idx="629">
                  <c:v>82886393.156312242</c:v>
                </c:pt>
                <c:pt idx="630">
                  <c:v>82865514.773008242</c:v>
                </c:pt>
                <c:pt idx="631">
                  <c:v>82494177.514782175</c:v>
                </c:pt>
                <c:pt idx="632">
                  <c:v>82875309.792090237</c:v>
                </c:pt>
                <c:pt idx="633">
                  <c:v>82834304.461309835</c:v>
                </c:pt>
                <c:pt idx="634">
                  <c:v>82967633.51479803</c:v>
                </c:pt>
                <c:pt idx="635">
                  <c:v>82954827.321775377</c:v>
                </c:pt>
                <c:pt idx="636">
                  <c:v>83340154.432727203</c:v>
                </c:pt>
                <c:pt idx="637">
                  <c:v>83143934.590681076</c:v>
                </c:pt>
                <c:pt idx="638">
                  <c:v>83107549.77526328</c:v>
                </c:pt>
                <c:pt idx="639">
                  <c:v>83378211.474686578</c:v>
                </c:pt>
                <c:pt idx="640">
                  <c:v>83161402.399167493</c:v>
                </c:pt>
                <c:pt idx="641">
                  <c:v>83359176.309845284</c:v>
                </c:pt>
                <c:pt idx="642">
                  <c:v>83411027.642860308</c:v>
                </c:pt>
                <c:pt idx="643">
                  <c:v>83412394.488768712</c:v>
                </c:pt>
                <c:pt idx="644">
                  <c:v>83302540.229922995</c:v>
                </c:pt>
                <c:pt idx="645">
                  <c:v>83286331.126696005</c:v>
                </c:pt>
                <c:pt idx="646">
                  <c:v>82941147.110746518</c:v>
                </c:pt>
                <c:pt idx="647">
                  <c:v>82801557.292873159</c:v>
                </c:pt>
                <c:pt idx="648">
                  <c:v>82906424.820662037</c:v>
                </c:pt>
                <c:pt idx="649">
                  <c:v>83051902.910451755</c:v>
                </c:pt>
                <c:pt idx="650">
                  <c:v>82981812.458005354</c:v>
                </c:pt>
                <c:pt idx="651">
                  <c:v>83151660.920007706</c:v>
                </c:pt>
                <c:pt idx="652">
                  <c:v>83139933.44789359</c:v>
                </c:pt>
                <c:pt idx="653">
                  <c:v>83404677.933610529</c:v>
                </c:pt>
                <c:pt idx="654">
                  <c:v>83244843.923706442</c:v>
                </c:pt>
                <c:pt idx="655">
                  <c:v>83108071.873516798</c:v>
                </c:pt>
                <c:pt idx="656">
                  <c:v>83710584.32383965</c:v>
                </c:pt>
                <c:pt idx="657">
                  <c:v>82991799.908539921</c:v>
                </c:pt>
                <c:pt idx="658">
                  <c:v>83110429.67488943</c:v>
                </c:pt>
                <c:pt idx="659">
                  <c:v>82924939.332484812</c:v>
                </c:pt>
                <c:pt idx="660">
                  <c:v>83135771.423373893</c:v>
                </c:pt>
                <c:pt idx="661">
                  <c:v>82627429.360143885</c:v>
                </c:pt>
                <c:pt idx="662">
                  <c:v>82811854.943708822</c:v>
                </c:pt>
                <c:pt idx="663">
                  <c:v>83302545.00149785</c:v>
                </c:pt>
                <c:pt idx="664">
                  <c:v>83297658.739902526</c:v>
                </c:pt>
                <c:pt idx="665">
                  <c:v>82964548.588142157</c:v>
                </c:pt>
                <c:pt idx="666">
                  <c:v>83030520.065349847</c:v>
                </c:pt>
                <c:pt idx="667">
                  <c:v>82361618.110673532</c:v>
                </c:pt>
                <c:pt idx="668">
                  <c:v>82912159.067404106</c:v>
                </c:pt>
                <c:pt idx="669">
                  <c:v>83058917.852955207</c:v>
                </c:pt>
                <c:pt idx="670">
                  <c:v>83250712.067817152</c:v>
                </c:pt>
                <c:pt idx="671">
                  <c:v>82399017.271408528</c:v>
                </c:pt>
                <c:pt idx="672">
                  <c:v>82808653.105712697</c:v>
                </c:pt>
                <c:pt idx="673">
                  <c:v>82530853.914127007</c:v>
                </c:pt>
                <c:pt idx="674">
                  <c:v>82991448.366969779</c:v>
                </c:pt>
                <c:pt idx="675">
                  <c:v>83130735.384313047</c:v>
                </c:pt>
                <c:pt idx="676">
                  <c:v>83067600.255092755</c:v>
                </c:pt>
                <c:pt idx="677">
                  <c:v>83082431.868554369</c:v>
                </c:pt>
                <c:pt idx="678">
                  <c:v>82961840.98607783</c:v>
                </c:pt>
                <c:pt idx="679">
                  <c:v>83161015.229210481</c:v>
                </c:pt>
                <c:pt idx="680">
                  <c:v>83800257.414951652</c:v>
                </c:pt>
                <c:pt idx="681">
                  <c:v>82903792.121793702</c:v>
                </c:pt>
                <c:pt idx="682">
                  <c:v>82578369.285197675</c:v>
                </c:pt>
                <c:pt idx="683">
                  <c:v>83131459.059023768</c:v>
                </c:pt>
                <c:pt idx="684">
                  <c:v>82959610.436211854</c:v>
                </c:pt>
                <c:pt idx="685">
                  <c:v>82953010.078934103</c:v>
                </c:pt>
                <c:pt idx="686">
                  <c:v>82840291.930119276</c:v>
                </c:pt>
                <c:pt idx="687">
                  <c:v>83021260.508603036</c:v>
                </c:pt>
                <c:pt idx="688">
                  <c:v>82506139.350971803</c:v>
                </c:pt>
                <c:pt idx="689">
                  <c:v>82975418.418935046</c:v>
                </c:pt>
                <c:pt idx="690">
                  <c:v>83014000.669421554</c:v>
                </c:pt>
                <c:pt idx="691">
                  <c:v>82918867.107904911</c:v>
                </c:pt>
                <c:pt idx="692">
                  <c:v>82692369.097914934</c:v>
                </c:pt>
                <c:pt idx="693">
                  <c:v>82912872.918336228</c:v>
                </c:pt>
                <c:pt idx="694">
                  <c:v>82879845.991365552</c:v>
                </c:pt>
                <c:pt idx="695">
                  <c:v>83085301.057046339</c:v>
                </c:pt>
                <c:pt idx="696">
                  <c:v>83292092.360243782</c:v>
                </c:pt>
                <c:pt idx="697">
                  <c:v>82500837.639784187</c:v>
                </c:pt>
                <c:pt idx="698">
                  <c:v>82730690.626144171</c:v>
                </c:pt>
                <c:pt idx="699">
                  <c:v>82977122.766357169</c:v>
                </c:pt>
                <c:pt idx="700">
                  <c:v>82704640.16251494</c:v>
                </c:pt>
                <c:pt idx="701">
                  <c:v>83020955.767490685</c:v>
                </c:pt>
                <c:pt idx="702">
                  <c:v>82907561.454650432</c:v>
                </c:pt>
                <c:pt idx="703">
                  <c:v>82851479.943165123</c:v>
                </c:pt>
                <c:pt idx="704">
                  <c:v>82870754.600487113</c:v>
                </c:pt>
                <c:pt idx="705">
                  <c:v>83217211.296175405</c:v>
                </c:pt>
                <c:pt idx="706">
                  <c:v>83284769.563456938</c:v>
                </c:pt>
                <c:pt idx="707">
                  <c:v>82420166.159947529</c:v>
                </c:pt>
                <c:pt idx="708">
                  <c:v>83029302.268177256</c:v>
                </c:pt>
                <c:pt idx="709">
                  <c:v>83073567.232126296</c:v>
                </c:pt>
                <c:pt idx="710">
                  <c:v>82686251.295779973</c:v>
                </c:pt>
                <c:pt idx="711">
                  <c:v>82601386.150076017</c:v>
                </c:pt>
                <c:pt idx="712">
                  <c:v>83233235.694883481</c:v>
                </c:pt>
                <c:pt idx="713">
                  <c:v>82981305.176572651</c:v>
                </c:pt>
                <c:pt idx="714">
                  <c:v>83047437.032672554</c:v>
                </c:pt>
                <c:pt idx="715">
                  <c:v>83680176.507343203</c:v>
                </c:pt>
                <c:pt idx="716">
                  <c:v>83125529.096273392</c:v>
                </c:pt>
                <c:pt idx="717">
                  <c:v>83217731.568054706</c:v>
                </c:pt>
                <c:pt idx="718">
                  <c:v>83228424.304440662</c:v>
                </c:pt>
                <c:pt idx="719">
                  <c:v>83262073.458739668</c:v>
                </c:pt>
                <c:pt idx="720">
                  <c:v>82913227.160357445</c:v>
                </c:pt>
                <c:pt idx="721">
                  <c:v>83180249.467699662</c:v>
                </c:pt>
                <c:pt idx="722">
                  <c:v>82580562.826841637</c:v>
                </c:pt>
                <c:pt idx="723">
                  <c:v>82979487.085501879</c:v>
                </c:pt>
                <c:pt idx="724">
                  <c:v>82896126.120635837</c:v>
                </c:pt>
                <c:pt idx="725">
                  <c:v>82878125.794877827</c:v>
                </c:pt>
                <c:pt idx="726">
                  <c:v>83484082.633873314</c:v>
                </c:pt>
                <c:pt idx="727">
                  <c:v>83194197.391275436</c:v>
                </c:pt>
                <c:pt idx="728">
                  <c:v>82604959.124297723</c:v>
                </c:pt>
                <c:pt idx="729">
                  <c:v>82596237.809598148</c:v>
                </c:pt>
                <c:pt idx="730">
                  <c:v>83180629.206628352</c:v>
                </c:pt>
                <c:pt idx="731">
                  <c:v>83124896.38835752</c:v>
                </c:pt>
                <c:pt idx="732">
                  <c:v>83276083.222087264</c:v>
                </c:pt>
                <c:pt idx="733">
                  <c:v>83616350.05678308</c:v>
                </c:pt>
                <c:pt idx="734">
                  <c:v>83135190.376633301</c:v>
                </c:pt>
                <c:pt idx="735">
                  <c:v>83138610.177140668</c:v>
                </c:pt>
                <c:pt idx="736">
                  <c:v>83076975.594179869</c:v>
                </c:pt>
                <c:pt idx="737">
                  <c:v>83033522.710358649</c:v>
                </c:pt>
                <c:pt idx="738">
                  <c:v>83595701.608680308</c:v>
                </c:pt>
                <c:pt idx="739">
                  <c:v>82955499.696623772</c:v>
                </c:pt>
                <c:pt idx="740">
                  <c:v>82970094.891593978</c:v>
                </c:pt>
                <c:pt idx="741">
                  <c:v>83248811.729808897</c:v>
                </c:pt>
                <c:pt idx="742">
                  <c:v>83050320.109632209</c:v>
                </c:pt>
                <c:pt idx="743">
                  <c:v>82830218.630572468</c:v>
                </c:pt>
                <c:pt idx="744">
                  <c:v>82636889.208849117</c:v>
                </c:pt>
                <c:pt idx="745">
                  <c:v>82729156.606706589</c:v>
                </c:pt>
                <c:pt idx="746">
                  <c:v>83025769.273392424</c:v>
                </c:pt>
                <c:pt idx="747">
                  <c:v>82891697.617743373</c:v>
                </c:pt>
                <c:pt idx="748">
                  <c:v>83227284.721708909</c:v>
                </c:pt>
                <c:pt idx="749">
                  <c:v>83038390.547308043</c:v>
                </c:pt>
                <c:pt idx="750">
                  <c:v>83174991.366039932</c:v>
                </c:pt>
                <c:pt idx="751">
                  <c:v>83307054.896160975</c:v>
                </c:pt>
                <c:pt idx="752">
                  <c:v>82956346.221240878</c:v>
                </c:pt>
                <c:pt idx="753">
                  <c:v>82952730.562120736</c:v>
                </c:pt>
                <c:pt idx="754">
                  <c:v>83284025.826387078</c:v>
                </c:pt>
                <c:pt idx="755">
                  <c:v>83211055.191202387</c:v>
                </c:pt>
                <c:pt idx="756">
                  <c:v>82884522.278960317</c:v>
                </c:pt>
                <c:pt idx="757">
                  <c:v>83193469.507867187</c:v>
                </c:pt>
                <c:pt idx="758">
                  <c:v>82893437.589951083</c:v>
                </c:pt>
                <c:pt idx="759">
                  <c:v>83361368.138090715</c:v>
                </c:pt>
                <c:pt idx="760">
                  <c:v>82976709.905854657</c:v>
                </c:pt>
                <c:pt idx="761">
                  <c:v>82845427.181622013</c:v>
                </c:pt>
                <c:pt idx="762">
                  <c:v>82816196.908435538</c:v>
                </c:pt>
                <c:pt idx="763">
                  <c:v>83086849.820873201</c:v>
                </c:pt>
                <c:pt idx="764">
                  <c:v>83171188.548435658</c:v>
                </c:pt>
                <c:pt idx="765">
                  <c:v>82743936.259184331</c:v>
                </c:pt>
                <c:pt idx="766">
                  <c:v>82728900.828444943</c:v>
                </c:pt>
                <c:pt idx="767">
                  <c:v>82973818.369969219</c:v>
                </c:pt>
                <c:pt idx="768">
                  <c:v>83077422.043284535</c:v>
                </c:pt>
                <c:pt idx="769">
                  <c:v>82939789.158424884</c:v>
                </c:pt>
                <c:pt idx="770">
                  <c:v>83068077.418226734</c:v>
                </c:pt>
                <c:pt idx="771">
                  <c:v>83130870.012196645</c:v>
                </c:pt>
                <c:pt idx="772">
                  <c:v>83056342.808896855</c:v>
                </c:pt>
                <c:pt idx="773">
                  <c:v>82904034.853179768</c:v>
                </c:pt>
                <c:pt idx="774">
                  <c:v>83040240.675707743</c:v>
                </c:pt>
                <c:pt idx="775">
                  <c:v>83523702.567650527</c:v>
                </c:pt>
                <c:pt idx="776">
                  <c:v>83077035.518039659</c:v>
                </c:pt>
                <c:pt idx="777">
                  <c:v>83274052.855770439</c:v>
                </c:pt>
                <c:pt idx="778">
                  <c:v>82615740.002324492</c:v>
                </c:pt>
                <c:pt idx="779">
                  <c:v>82939428.899013624</c:v>
                </c:pt>
                <c:pt idx="780">
                  <c:v>82969895.476123348</c:v>
                </c:pt>
                <c:pt idx="781">
                  <c:v>82822121.190451175</c:v>
                </c:pt>
                <c:pt idx="782">
                  <c:v>83024134.299568027</c:v>
                </c:pt>
                <c:pt idx="783">
                  <c:v>82735937.441736177</c:v>
                </c:pt>
                <c:pt idx="784">
                  <c:v>82885394.927867934</c:v>
                </c:pt>
                <c:pt idx="785">
                  <c:v>83382306.117508411</c:v>
                </c:pt>
                <c:pt idx="786">
                  <c:v>83206579.740693718</c:v>
                </c:pt>
                <c:pt idx="787">
                  <c:v>83356909.620022103</c:v>
                </c:pt>
                <c:pt idx="788">
                  <c:v>83211418.242860377</c:v>
                </c:pt>
                <c:pt idx="789">
                  <c:v>83233162.603138387</c:v>
                </c:pt>
                <c:pt idx="790">
                  <c:v>83219846.38158907</c:v>
                </c:pt>
                <c:pt idx="791">
                  <c:v>83377903.511240616</c:v>
                </c:pt>
                <c:pt idx="792">
                  <c:v>83361267.899402976</c:v>
                </c:pt>
                <c:pt idx="793">
                  <c:v>83423242.909852296</c:v>
                </c:pt>
                <c:pt idx="794">
                  <c:v>83172160.385085315</c:v>
                </c:pt>
                <c:pt idx="795">
                  <c:v>83137027.249646083</c:v>
                </c:pt>
                <c:pt idx="796">
                  <c:v>83238297.475233257</c:v>
                </c:pt>
                <c:pt idx="797">
                  <c:v>83224844.330038786</c:v>
                </c:pt>
                <c:pt idx="798">
                  <c:v>83029013.876949117</c:v>
                </c:pt>
                <c:pt idx="799">
                  <c:v>82903073.86947462</c:v>
                </c:pt>
                <c:pt idx="800">
                  <c:v>82785731.61423561</c:v>
                </c:pt>
                <c:pt idx="801">
                  <c:v>83235973.120044991</c:v>
                </c:pt>
                <c:pt idx="802">
                  <c:v>82849523.106163844</c:v>
                </c:pt>
                <c:pt idx="803">
                  <c:v>83119240.722902805</c:v>
                </c:pt>
                <c:pt idx="804">
                  <c:v>82779062.844937578</c:v>
                </c:pt>
                <c:pt idx="805">
                  <c:v>82845648.626084596</c:v>
                </c:pt>
                <c:pt idx="806">
                  <c:v>82907845.845158726</c:v>
                </c:pt>
                <c:pt idx="807">
                  <c:v>83378559.322139472</c:v>
                </c:pt>
                <c:pt idx="808">
                  <c:v>82791111.390425503</c:v>
                </c:pt>
                <c:pt idx="809">
                  <c:v>83417535.872534841</c:v>
                </c:pt>
                <c:pt idx="810">
                  <c:v>83053295.663186967</c:v>
                </c:pt>
                <c:pt idx="811">
                  <c:v>83440150.166454762</c:v>
                </c:pt>
                <c:pt idx="812">
                  <c:v>82624890.53411831</c:v>
                </c:pt>
                <c:pt idx="813">
                  <c:v>82915594.182855278</c:v>
                </c:pt>
                <c:pt idx="814">
                  <c:v>82915826.495841518</c:v>
                </c:pt>
                <c:pt idx="815">
                  <c:v>82976825.770677254</c:v>
                </c:pt>
                <c:pt idx="816">
                  <c:v>83331168.782631785</c:v>
                </c:pt>
                <c:pt idx="817">
                  <c:v>83023144.483058244</c:v>
                </c:pt>
                <c:pt idx="818">
                  <c:v>82804052.391141489</c:v>
                </c:pt>
                <c:pt idx="819">
                  <c:v>83402955.595772132</c:v>
                </c:pt>
                <c:pt idx="820">
                  <c:v>82768676.939835668</c:v>
                </c:pt>
                <c:pt idx="821">
                  <c:v>82875114.680141389</c:v>
                </c:pt>
                <c:pt idx="822">
                  <c:v>83456253.545291662</c:v>
                </c:pt>
                <c:pt idx="823">
                  <c:v>82702478.904677704</c:v>
                </c:pt>
                <c:pt idx="824">
                  <c:v>82678035.679752827</c:v>
                </c:pt>
                <c:pt idx="825">
                  <c:v>83295050.483112395</c:v>
                </c:pt>
                <c:pt idx="826">
                  <c:v>82802135.512045726</c:v>
                </c:pt>
                <c:pt idx="827">
                  <c:v>82566063.269182146</c:v>
                </c:pt>
                <c:pt idx="828">
                  <c:v>83314847.20192942</c:v>
                </c:pt>
                <c:pt idx="829">
                  <c:v>82800810.324768335</c:v>
                </c:pt>
                <c:pt idx="830">
                  <c:v>83311005.097737759</c:v>
                </c:pt>
                <c:pt idx="831">
                  <c:v>82854086.201675117</c:v>
                </c:pt>
                <c:pt idx="832">
                  <c:v>83118872.194194585</c:v>
                </c:pt>
                <c:pt idx="833">
                  <c:v>83194741.020958498</c:v>
                </c:pt>
                <c:pt idx="834">
                  <c:v>82995450.188605934</c:v>
                </c:pt>
                <c:pt idx="835">
                  <c:v>83527403.440244719</c:v>
                </c:pt>
                <c:pt idx="836">
                  <c:v>82969902.842806935</c:v>
                </c:pt>
                <c:pt idx="837">
                  <c:v>82746341.383120924</c:v>
                </c:pt>
                <c:pt idx="838">
                  <c:v>83152204.324649751</c:v>
                </c:pt>
                <c:pt idx="839">
                  <c:v>82676265.487695679</c:v>
                </c:pt>
                <c:pt idx="840">
                  <c:v>82731106.022229388</c:v>
                </c:pt>
                <c:pt idx="841">
                  <c:v>83240669.929841831</c:v>
                </c:pt>
                <c:pt idx="842">
                  <c:v>83120597.239003584</c:v>
                </c:pt>
                <c:pt idx="843">
                  <c:v>82960978.887443841</c:v>
                </c:pt>
                <c:pt idx="844">
                  <c:v>82703375.776448205</c:v>
                </c:pt>
                <c:pt idx="845">
                  <c:v>83053217.610962793</c:v>
                </c:pt>
                <c:pt idx="846">
                  <c:v>82873953.750431627</c:v>
                </c:pt>
                <c:pt idx="847">
                  <c:v>83169926.934202507</c:v>
                </c:pt>
                <c:pt idx="848">
                  <c:v>83106760.564611033</c:v>
                </c:pt>
                <c:pt idx="849">
                  <c:v>83100538.553332001</c:v>
                </c:pt>
                <c:pt idx="850">
                  <c:v>82919802.355427578</c:v>
                </c:pt>
                <c:pt idx="851">
                  <c:v>83197367.099631697</c:v>
                </c:pt>
                <c:pt idx="852">
                  <c:v>83373503.969560549</c:v>
                </c:pt>
                <c:pt idx="853">
                  <c:v>83182317.252245754</c:v>
                </c:pt>
                <c:pt idx="854">
                  <c:v>82455529.60829553</c:v>
                </c:pt>
                <c:pt idx="855">
                  <c:v>82910098.126732782</c:v>
                </c:pt>
                <c:pt idx="856">
                  <c:v>82910605.287584767</c:v>
                </c:pt>
                <c:pt idx="857">
                  <c:v>83127446.014572471</c:v>
                </c:pt>
                <c:pt idx="858">
                  <c:v>83068293.373636216</c:v>
                </c:pt>
                <c:pt idx="859">
                  <c:v>83116793.898900196</c:v>
                </c:pt>
                <c:pt idx="860">
                  <c:v>82884443.010712981</c:v>
                </c:pt>
                <c:pt idx="861">
                  <c:v>83193369.30986926</c:v>
                </c:pt>
                <c:pt idx="862">
                  <c:v>83071776.143973783</c:v>
                </c:pt>
                <c:pt idx="863">
                  <c:v>82892825.298699424</c:v>
                </c:pt>
                <c:pt idx="864">
                  <c:v>82918115.132762551</c:v>
                </c:pt>
                <c:pt idx="865">
                  <c:v>83234150.316069931</c:v>
                </c:pt>
                <c:pt idx="866">
                  <c:v>82761964.818283349</c:v>
                </c:pt>
                <c:pt idx="867">
                  <c:v>82753644.76049909</c:v>
                </c:pt>
                <c:pt idx="868">
                  <c:v>83211663.885424197</c:v>
                </c:pt>
                <c:pt idx="869">
                  <c:v>82697940.989064947</c:v>
                </c:pt>
                <c:pt idx="870">
                  <c:v>82695353.063531891</c:v>
                </c:pt>
                <c:pt idx="871">
                  <c:v>83087135.222776189</c:v>
                </c:pt>
                <c:pt idx="872">
                  <c:v>83155813.617507726</c:v>
                </c:pt>
                <c:pt idx="873">
                  <c:v>82498185.327894613</c:v>
                </c:pt>
                <c:pt idx="874">
                  <c:v>82642813.917360574</c:v>
                </c:pt>
                <c:pt idx="875">
                  <c:v>83087291.628649458</c:v>
                </c:pt>
                <c:pt idx="876">
                  <c:v>83055607.828912452</c:v>
                </c:pt>
                <c:pt idx="877">
                  <c:v>83015996.187110707</c:v>
                </c:pt>
                <c:pt idx="878">
                  <c:v>83525106.143136144</c:v>
                </c:pt>
                <c:pt idx="879">
                  <c:v>83434285.679345936</c:v>
                </c:pt>
                <c:pt idx="880">
                  <c:v>82948430.60811232</c:v>
                </c:pt>
                <c:pt idx="881">
                  <c:v>83319779.202554554</c:v>
                </c:pt>
                <c:pt idx="882">
                  <c:v>83268764.184956461</c:v>
                </c:pt>
                <c:pt idx="883">
                  <c:v>83196906.327268288</c:v>
                </c:pt>
                <c:pt idx="884">
                  <c:v>83127245.802297547</c:v>
                </c:pt>
                <c:pt idx="885">
                  <c:v>82795503.544299603</c:v>
                </c:pt>
                <c:pt idx="886">
                  <c:v>82895098.965824261</c:v>
                </c:pt>
                <c:pt idx="887">
                  <c:v>83162774.193116486</c:v>
                </c:pt>
                <c:pt idx="888">
                  <c:v>82869783.440952897</c:v>
                </c:pt>
                <c:pt idx="889">
                  <c:v>83256655.57483913</c:v>
                </c:pt>
                <c:pt idx="890">
                  <c:v>83059272.848268703</c:v>
                </c:pt>
                <c:pt idx="891">
                  <c:v>82730304.753323466</c:v>
                </c:pt>
                <c:pt idx="892">
                  <c:v>82394879.643143147</c:v>
                </c:pt>
                <c:pt idx="893">
                  <c:v>82835800.77761741</c:v>
                </c:pt>
                <c:pt idx="894">
                  <c:v>83217948.163707405</c:v>
                </c:pt>
                <c:pt idx="895">
                  <c:v>82590399.261237353</c:v>
                </c:pt>
                <c:pt idx="896">
                  <c:v>83056009.444341898</c:v>
                </c:pt>
                <c:pt idx="897">
                  <c:v>83099735.51453124</c:v>
                </c:pt>
                <c:pt idx="898">
                  <c:v>82785419.714625046</c:v>
                </c:pt>
                <c:pt idx="899">
                  <c:v>82641594.338715151</c:v>
                </c:pt>
                <c:pt idx="900">
                  <c:v>82988092.755958781</c:v>
                </c:pt>
                <c:pt idx="901">
                  <c:v>82925127.80556114</c:v>
                </c:pt>
                <c:pt idx="902">
                  <c:v>83119260.290578306</c:v>
                </c:pt>
                <c:pt idx="903">
                  <c:v>82873532.084529489</c:v>
                </c:pt>
                <c:pt idx="904">
                  <c:v>82881190.318055958</c:v>
                </c:pt>
                <c:pt idx="905">
                  <c:v>83019604.833993375</c:v>
                </c:pt>
                <c:pt idx="906">
                  <c:v>83548357.476852313</c:v>
                </c:pt>
                <c:pt idx="907">
                  <c:v>83223052.907905728</c:v>
                </c:pt>
                <c:pt idx="908">
                  <c:v>83305334.760224998</c:v>
                </c:pt>
                <c:pt idx="909">
                  <c:v>83165088.161371991</c:v>
                </c:pt>
                <c:pt idx="910">
                  <c:v>83149123.188113227</c:v>
                </c:pt>
                <c:pt idx="911">
                  <c:v>83144406.681624308</c:v>
                </c:pt>
                <c:pt idx="912">
                  <c:v>83445105.522939786</c:v>
                </c:pt>
                <c:pt idx="913">
                  <c:v>82912471.696466744</c:v>
                </c:pt>
                <c:pt idx="914">
                  <c:v>83308745.577793241</c:v>
                </c:pt>
                <c:pt idx="915">
                  <c:v>82993759.372613713</c:v>
                </c:pt>
                <c:pt idx="916">
                  <c:v>83348615.052958995</c:v>
                </c:pt>
                <c:pt idx="917">
                  <c:v>83449889.983765006</c:v>
                </c:pt>
                <c:pt idx="918">
                  <c:v>82656332.036368921</c:v>
                </c:pt>
                <c:pt idx="919">
                  <c:v>83092542.160620093</c:v>
                </c:pt>
                <c:pt idx="920">
                  <c:v>82814338.112771913</c:v>
                </c:pt>
                <c:pt idx="921">
                  <c:v>82971535.586662695</c:v>
                </c:pt>
                <c:pt idx="922">
                  <c:v>83398564.282287568</c:v>
                </c:pt>
                <c:pt idx="923">
                  <c:v>83177599.721268818</c:v>
                </c:pt>
                <c:pt idx="924">
                  <c:v>82982343.350604996</c:v>
                </c:pt>
                <c:pt idx="925">
                  <c:v>82788465.964042798</c:v>
                </c:pt>
                <c:pt idx="926">
                  <c:v>82930026.13936457</c:v>
                </c:pt>
                <c:pt idx="927">
                  <c:v>82738945.11915563</c:v>
                </c:pt>
                <c:pt idx="928">
                  <c:v>83200125.182563037</c:v>
                </c:pt>
                <c:pt idx="929">
                  <c:v>83069275.764373884</c:v>
                </c:pt>
                <c:pt idx="930">
                  <c:v>83307338.272213712</c:v>
                </c:pt>
                <c:pt idx="931">
                  <c:v>83161790.835186705</c:v>
                </c:pt>
                <c:pt idx="932">
                  <c:v>82274022.74294889</c:v>
                </c:pt>
                <c:pt idx="933">
                  <c:v>82731201.866512388</c:v>
                </c:pt>
                <c:pt idx="934">
                  <c:v>82873731.90484868</c:v>
                </c:pt>
                <c:pt idx="935">
                  <c:v>82537017.127296299</c:v>
                </c:pt>
                <c:pt idx="936">
                  <c:v>83379248.004431933</c:v>
                </c:pt>
                <c:pt idx="937">
                  <c:v>82945026.251626596</c:v>
                </c:pt>
                <c:pt idx="938">
                  <c:v>83119480.65549092</c:v>
                </c:pt>
                <c:pt idx="939">
                  <c:v>82781754.207926467</c:v>
                </c:pt>
                <c:pt idx="940">
                  <c:v>82694747.175423786</c:v>
                </c:pt>
                <c:pt idx="941">
                  <c:v>82966749.632718325</c:v>
                </c:pt>
                <c:pt idx="942">
                  <c:v>83326989.029532731</c:v>
                </c:pt>
                <c:pt idx="943">
                  <c:v>82768438.801152602</c:v>
                </c:pt>
                <c:pt idx="944">
                  <c:v>82946788.674517855</c:v>
                </c:pt>
                <c:pt idx="945">
                  <c:v>82694951.789648145</c:v>
                </c:pt>
                <c:pt idx="946">
                  <c:v>83450875.959281549</c:v>
                </c:pt>
                <c:pt idx="947">
                  <c:v>83304511.992606133</c:v>
                </c:pt>
                <c:pt idx="948">
                  <c:v>83207992.767949522</c:v>
                </c:pt>
                <c:pt idx="949">
                  <c:v>82979483.570103928</c:v>
                </c:pt>
                <c:pt idx="950">
                  <c:v>83144979.796494246</c:v>
                </c:pt>
                <c:pt idx="951">
                  <c:v>82888288.121678546</c:v>
                </c:pt>
                <c:pt idx="952">
                  <c:v>82933664.621582597</c:v>
                </c:pt>
                <c:pt idx="953">
                  <c:v>82975104.453182772</c:v>
                </c:pt>
                <c:pt idx="954">
                  <c:v>83231562.389475614</c:v>
                </c:pt>
                <c:pt idx="955">
                  <c:v>82701258.474995598</c:v>
                </c:pt>
                <c:pt idx="956">
                  <c:v>82717725.431347549</c:v>
                </c:pt>
                <c:pt idx="957">
                  <c:v>82713079.35225971</c:v>
                </c:pt>
                <c:pt idx="958">
                  <c:v>82617727.705767497</c:v>
                </c:pt>
                <c:pt idx="959">
                  <c:v>82837197.163250938</c:v>
                </c:pt>
                <c:pt idx="960">
                  <c:v>82819396.023801893</c:v>
                </c:pt>
                <c:pt idx="961">
                  <c:v>82961573.529549032</c:v>
                </c:pt>
                <c:pt idx="962">
                  <c:v>83458698.873325095</c:v>
                </c:pt>
                <c:pt idx="963">
                  <c:v>82993542.183750719</c:v>
                </c:pt>
                <c:pt idx="964">
                  <c:v>82468980.816744983</c:v>
                </c:pt>
                <c:pt idx="965">
                  <c:v>82763444.118552864</c:v>
                </c:pt>
                <c:pt idx="966">
                  <c:v>83241198.036888152</c:v>
                </c:pt>
                <c:pt idx="967">
                  <c:v>83164318.193731353</c:v>
                </c:pt>
                <c:pt idx="968">
                  <c:v>82892020.222545803</c:v>
                </c:pt>
                <c:pt idx="969">
                  <c:v>82980970.377234519</c:v>
                </c:pt>
                <c:pt idx="970">
                  <c:v>83203287.510474324</c:v>
                </c:pt>
                <c:pt idx="971">
                  <c:v>82915084.028861031</c:v>
                </c:pt>
                <c:pt idx="972">
                  <c:v>83633098.725806892</c:v>
                </c:pt>
                <c:pt idx="973">
                  <c:v>82732452.168299019</c:v>
                </c:pt>
                <c:pt idx="974">
                  <c:v>83136821.144284219</c:v>
                </c:pt>
                <c:pt idx="975">
                  <c:v>82945806.294490978</c:v>
                </c:pt>
                <c:pt idx="976">
                  <c:v>82745862.176870525</c:v>
                </c:pt>
                <c:pt idx="977">
                  <c:v>83185789.209738731</c:v>
                </c:pt>
                <c:pt idx="978">
                  <c:v>83422744.571687341</c:v>
                </c:pt>
                <c:pt idx="979">
                  <c:v>82602264.749227285</c:v>
                </c:pt>
                <c:pt idx="980">
                  <c:v>83298802.352246508</c:v>
                </c:pt>
                <c:pt idx="981">
                  <c:v>83563182.963973567</c:v>
                </c:pt>
                <c:pt idx="982">
                  <c:v>83003875.675959393</c:v>
                </c:pt>
                <c:pt idx="983">
                  <c:v>83578287.600176096</c:v>
                </c:pt>
                <c:pt idx="984">
                  <c:v>82992115.141650081</c:v>
                </c:pt>
                <c:pt idx="985">
                  <c:v>83070937.464682683</c:v>
                </c:pt>
                <c:pt idx="986">
                  <c:v>83008148.816055238</c:v>
                </c:pt>
                <c:pt idx="987">
                  <c:v>83243771.99190627</c:v>
                </c:pt>
                <c:pt idx="988">
                  <c:v>83356461.736649156</c:v>
                </c:pt>
                <c:pt idx="989">
                  <c:v>82678147.626199126</c:v>
                </c:pt>
                <c:pt idx="990">
                  <c:v>82861057.47908029</c:v>
                </c:pt>
                <c:pt idx="991">
                  <c:v>83390058.684434712</c:v>
                </c:pt>
                <c:pt idx="992">
                  <c:v>83035593.74335146</c:v>
                </c:pt>
                <c:pt idx="993">
                  <c:v>82901877.723157659</c:v>
                </c:pt>
                <c:pt idx="994">
                  <c:v>82924363.614564016</c:v>
                </c:pt>
                <c:pt idx="995">
                  <c:v>83036208.65173246</c:v>
                </c:pt>
                <c:pt idx="996">
                  <c:v>83221384.777971148</c:v>
                </c:pt>
                <c:pt idx="997">
                  <c:v>82887349.714133501</c:v>
                </c:pt>
                <c:pt idx="998">
                  <c:v>83209292.88382031</c:v>
                </c:pt>
                <c:pt idx="999">
                  <c:v>83391963.573470503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1E8-4020-8766-5761A81D8A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206264"/>
        <c:axId val="21120352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simulation!$H$8:$H$1007</c15:sqref>
                        </c15:formulaRef>
                      </c:ext>
                    </c:extLst>
                    <c:numCache>
                      <c:formatCode>0.00</c:formatCode>
                      <c:ptCount val="1000"/>
                      <c:pt idx="0">
                        <c:v>0.46000031885335302</c:v>
                      </c:pt>
                      <c:pt idx="1">
                        <c:v>0.47951693337655077</c:v>
                      </c:pt>
                      <c:pt idx="2">
                        <c:v>0.47523896306280977</c:v>
                      </c:pt>
                      <c:pt idx="3">
                        <c:v>0.44969169022820554</c:v>
                      </c:pt>
                      <c:pt idx="4">
                        <c:v>0.44588789973875453</c:v>
                      </c:pt>
                      <c:pt idx="5">
                        <c:v>0.47906485048398251</c:v>
                      </c:pt>
                      <c:pt idx="6">
                        <c:v>0.48910573777686661</c:v>
                      </c:pt>
                      <c:pt idx="7">
                        <c:v>0.4217607735713409</c:v>
                      </c:pt>
                      <c:pt idx="8">
                        <c:v>0.49431709465862528</c:v>
                      </c:pt>
                      <c:pt idx="9">
                        <c:v>0.43251490234315737</c:v>
                      </c:pt>
                      <c:pt idx="10">
                        <c:v>0.42873501725841923</c:v>
                      </c:pt>
                      <c:pt idx="11">
                        <c:v>0.44582030841343911</c:v>
                      </c:pt>
                      <c:pt idx="12">
                        <c:v>0.49295066540831711</c:v>
                      </c:pt>
                      <c:pt idx="13">
                        <c:v>0.41260463160197913</c:v>
                      </c:pt>
                      <c:pt idx="14">
                        <c:v>0.50820678255819063</c:v>
                      </c:pt>
                      <c:pt idx="15">
                        <c:v>0.46039581842052169</c:v>
                      </c:pt>
                      <c:pt idx="16">
                        <c:v>0.47438184403026096</c:v>
                      </c:pt>
                      <c:pt idx="17">
                        <c:v>0.47766815409914787</c:v>
                      </c:pt>
                      <c:pt idx="18">
                        <c:v>0.43307779649576128</c:v>
                      </c:pt>
                      <c:pt idx="19">
                        <c:v>0.5112226569069287</c:v>
                      </c:pt>
                      <c:pt idx="20">
                        <c:v>0.41200737666166853</c:v>
                      </c:pt>
                      <c:pt idx="21">
                        <c:v>0.47382640289120292</c:v>
                      </c:pt>
                      <c:pt idx="22">
                        <c:v>0.48510570762478578</c:v>
                      </c:pt>
                      <c:pt idx="23">
                        <c:v>0.47775424218494345</c:v>
                      </c:pt>
                      <c:pt idx="24">
                        <c:v>0.47621546761716815</c:v>
                      </c:pt>
                      <c:pt idx="25">
                        <c:v>0.4835494990286533</c:v>
                      </c:pt>
                      <c:pt idx="26">
                        <c:v>0.47843134981669144</c:v>
                      </c:pt>
                      <c:pt idx="27">
                        <c:v>0.47839843696938855</c:v>
                      </c:pt>
                      <c:pt idx="28">
                        <c:v>0.48923709448584041</c:v>
                      </c:pt>
                      <c:pt idx="29">
                        <c:v>0.49187387686432671</c:v>
                      </c:pt>
                      <c:pt idx="30">
                        <c:v>0.47592976113316721</c:v>
                      </c:pt>
                      <c:pt idx="31">
                        <c:v>0.47368255338164</c:v>
                      </c:pt>
                      <c:pt idx="32">
                        <c:v>0.45578194514861048</c:v>
                      </c:pt>
                      <c:pt idx="33">
                        <c:v>0.45514321249712375</c:v>
                      </c:pt>
                      <c:pt idx="34">
                        <c:v>0.43951930036028264</c:v>
                      </c:pt>
                      <c:pt idx="35">
                        <c:v>0.43426558214571731</c:v>
                      </c:pt>
                      <c:pt idx="36">
                        <c:v>0.43975647510410854</c:v>
                      </c:pt>
                      <c:pt idx="37">
                        <c:v>0.50149926136884693</c:v>
                      </c:pt>
                      <c:pt idx="38">
                        <c:v>0.46046985203984869</c:v>
                      </c:pt>
                      <c:pt idx="39">
                        <c:v>0.47152904068046464</c:v>
                      </c:pt>
                      <c:pt idx="40">
                        <c:v>0.52184376132075627</c:v>
                      </c:pt>
                      <c:pt idx="41">
                        <c:v>0.44068690729794535</c:v>
                      </c:pt>
                      <c:pt idx="42">
                        <c:v>0.50387013928064373</c:v>
                      </c:pt>
                      <c:pt idx="43">
                        <c:v>0.43732079474602914</c:v>
                      </c:pt>
                      <c:pt idx="44">
                        <c:v>0.4826723757734368</c:v>
                      </c:pt>
                      <c:pt idx="45">
                        <c:v>0.47111537198335673</c:v>
                      </c:pt>
                      <c:pt idx="46">
                        <c:v>0.4351187134663872</c:v>
                      </c:pt>
                      <c:pt idx="47">
                        <c:v>0.40472286053607776</c:v>
                      </c:pt>
                      <c:pt idx="48">
                        <c:v>0.43109973856632289</c:v>
                      </c:pt>
                      <c:pt idx="49">
                        <c:v>0.46063530470929948</c:v>
                      </c:pt>
                      <c:pt idx="50">
                        <c:v>0.51111255233423525</c:v>
                      </c:pt>
                      <c:pt idx="51">
                        <c:v>0.41203611301930065</c:v>
                      </c:pt>
                      <c:pt idx="52">
                        <c:v>0.47277871660802373</c:v>
                      </c:pt>
                      <c:pt idx="53">
                        <c:v>0.46782878003374706</c:v>
                      </c:pt>
                      <c:pt idx="54">
                        <c:v>0.47818699843266677</c:v>
                      </c:pt>
                      <c:pt idx="55">
                        <c:v>0.45502025668965262</c:v>
                      </c:pt>
                      <c:pt idx="56">
                        <c:v>0.43904985399038687</c:v>
                      </c:pt>
                      <c:pt idx="57">
                        <c:v>0.42615224142113006</c:v>
                      </c:pt>
                      <c:pt idx="58">
                        <c:v>0.46399851699675687</c:v>
                      </c:pt>
                      <c:pt idx="59">
                        <c:v>0.45282555327217833</c:v>
                      </c:pt>
                      <c:pt idx="60">
                        <c:v>0.44510007450032241</c:v>
                      </c:pt>
                      <c:pt idx="61">
                        <c:v>0.46013832958945566</c:v>
                      </c:pt>
                      <c:pt idx="62">
                        <c:v>0.45489441939250441</c:v>
                      </c:pt>
                      <c:pt idx="63">
                        <c:v>0.45610865206681028</c:v>
                      </c:pt>
                      <c:pt idx="64">
                        <c:v>0.45012227396717908</c:v>
                      </c:pt>
                      <c:pt idx="65">
                        <c:v>0.43528528263664046</c:v>
                      </c:pt>
                      <c:pt idx="66">
                        <c:v>0.45102671627660396</c:v>
                      </c:pt>
                      <c:pt idx="67">
                        <c:v>0.45005695893885189</c:v>
                      </c:pt>
                      <c:pt idx="68">
                        <c:v>0.49820271081026113</c:v>
                      </c:pt>
                      <c:pt idx="69">
                        <c:v>0.45581940052717806</c:v>
                      </c:pt>
                      <c:pt idx="70">
                        <c:v>0.47421074912070882</c:v>
                      </c:pt>
                      <c:pt idx="71">
                        <c:v>0.44157927150073517</c:v>
                      </c:pt>
                      <c:pt idx="72">
                        <c:v>0.42082316218245497</c:v>
                      </c:pt>
                      <c:pt idx="73">
                        <c:v>0.45709273612878931</c:v>
                      </c:pt>
                      <c:pt idx="74">
                        <c:v>0.45611466274420209</c:v>
                      </c:pt>
                      <c:pt idx="75">
                        <c:v>0.47149462088829708</c:v>
                      </c:pt>
                      <c:pt idx="76">
                        <c:v>0.42655781426526551</c:v>
                      </c:pt>
                      <c:pt idx="77">
                        <c:v>0.47165038760841504</c:v>
                      </c:pt>
                      <c:pt idx="78">
                        <c:v>0.50084389015394071</c:v>
                      </c:pt>
                      <c:pt idx="79">
                        <c:v>0.45123940303060062</c:v>
                      </c:pt>
                      <c:pt idx="80">
                        <c:v>0.43565001206352494</c:v>
                      </c:pt>
                      <c:pt idx="81">
                        <c:v>0.4441174802700969</c:v>
                      </c:pt>
                      <c:pt idx="82">
                        <c:v>0.45470215690595506</c:v>
                      </c:pt>
                      <c:pt idx="83">
                        <c:v>0.50032294472802619</c:v>
                      </c:pt>
                      <c:pt idx="84">
                        <c:v>0.47888181150598941</c:v>
                      </c:pt>
                      <c:pt idx="85">
                        <c:v>0.41499645342206182</c:v>
                      </c:pt>
                      <c:pt idx="86">
                        <c:v>0.45540174619216911</c:v>
                      </c:pt>
                      <c:pt idx="87">
                        <c:v>0.46577545228028394</c:v>
                      </c:pt>
                      <c:pt idx="88">
                        <c:v>0.46140105606556858</c:v>
                      </c:pt>
                      <c:pt idx="89">
                        <c:v>0.49334576478596981</c:v>
                      </c:pt>
                      <c:pt idx="90">
                        <c:v>0.46192992090860097</c:v>
                      </c:pt>
                      <c:pt idx="91">
                        <c:v>0.48194546770488733</c:v>
                      </c:pt>
                      <c:pt idx="92">
                        <c:v>0.47923923304063609</c:v>
                      </c:pt>
                      <c:pt idx="93">
                        <c:v>0.41488142818319518</c:v>
                      </c:pt>
                      <c:pt idx="94">
                        <c:v>0.44739245504415237</c:v>
                      </c:pt>
                      <c:pt idx="95">
                        <c:v>0.45283212208835999</c:v>
                      </c:pt>
                      <c:pt idx="96">
                        <c:v>0.41650629741814416</c:v>
                      </c:pt>
                      <c:pt idx="97">
                        <c:v>0.45468283832942391</c:v>
                      </c:pt>
                      <c:pt idx="98">
                        <c:v>0.47652747183104349</c:v>
                      </c:pt>
                      <c:pt idx="99">
                        <c:v>0.47756451082333218</c:v>
                      </c:pt>
                      <c:pt idx="100">
                        <c:v>0.47703543539401516</c:v>
                      </c:pt>
                      <c:pt idx="101">
                        <c:v>0.4373339174569173</c:v>
                      </c:pt>
                      <c:pt idx="102">
                        <c:v>0.49916528317363151</c:v>
                      </c:pt>
                      <c:pt idx="103">
                        <c:v>0.4506130506879098</c:v>
                      </c:pt>
                      <c:pt idx="104">
                        <c:v>0.4028384536071854</c:v>
                      </c:pt>
                      <c:pt idx="105">
                        <c:v>0.43418376125767133</c:v>
                      </c:pt>
                      <c:pt idx="106">
                        <c:v>0.48269929779767562</c:v>
                      </c:pt>
                      <c:pt idx="107">
                        <c:v>0.45405655366223607</c:v>
                      </c:pt>
                      <c:pt idx="108">
                        <c:v>0.46644648113816767</c:v>
                      </c:pt>
                      <c:pt idx="109">
                        <c:v>0.46144955614809713</c:v>
                      </c:pt>
                      <c:pt idx="110">
                        <c:v>0.4822499062153256</c:v>
                      </c:pt>
                      <c:pt idx="111">
                        <c:v>0.48383106171286849</c:v>
                      </c:pt>
                      <c:pt idx="112">
                        <c:v>0.44762168512947276</c:v>
                      </c:pt>
                      <c:pt idx="113">
                        <c:v>0.46869551567661527</c:v>
                      </c:pt>
                      <c:pt idx="114">
                        <c:v>0.47965083538625697</c:v>
                      </c:pt>
                      <c:pt idx="115">
                        <c:v>0.50273787279750137</c:v>
                      </c:pt>
                      <c:pt idx="116">
                        <c:v>0.44743249209059632</c:v>
                      </c:pt>
                      <c:pt idx="117">
                        <c:v>0.48047340582473108</c:v>
                      </c:pt>
                      <c:pt idx="118">
                        <c:v>0.47363305187985394</c:v>
                      </c:pt>
                      <c:pt idx="119">
                        <c:v>0.47830562666180043</c:v>
                      </c:pt>
                      <c:pt idx="120">
                        <c:v>0.4112584066151701</c:v>
                      </c:pt>
                      <c:pt idx="121">
                        <c:v>0.4360912352684756</c:v>
                      </c:pt>
                      <c:pt idx="122">
                        <c:v>0.4646917647080353</c:v>
                      </c:pt>
                      <c:pt idx="123">
                        <c:v>0.45768596729971622</c:v>
                      </c:pt>
                      <c:pt idx="124">
                        <c:v>0.44708032549847854</c:v>
                      </c:pt>
                      <c:pt idx="125">
                        <c:v>0.4522808529365927</c:v>
                      </c:pt>
                      <c:pt idx="126">
                        <c:v>0.43837432466250692</c:v>
                      </c:pt>
                      <c:pt idx="127">
                        <c:v>0.46540477301642968</c:v>
                      </c:pt>
                      <c:pt idx="128">
                        <c:v>0.4662998370874416</c:v>
                      </c:pt>
                      <c:pt idx="129">
                        <c:v>0.47559278563363261</c:v>
                      </c:pt>
                      <c:pt idx="130">
                        <c:v>0.45373676989903067</c:v>
                      </c:pt>
                      <c:pt idx="131">
                        <c:v>0.47141711647203532</c:v>
                      </c:pt>
                      <c:pt idx="132">
                        <c:v>0.44948014141880344</c:v>
                      </c:pt>
                      <c:pt idx="133">
                        <c:v>0.42089372438827799</c:v>
                      </c:pt>
                      <c:pt idx="134">
                        <c:v>0.46843236878594841</c:v>
                      </c:pt>
                      <c:pt idx="135">
                        <c:v>0.45321539896758223</c:v>
                      </c:pt>
                      <c:pt idx="136">
                        <c:v>0.46603329717983444</c:v>
                      </c:pt>
                      <c:pt idx="137">
                        <c:v>0.44755020218208408</c:v>
                      </c:pt>
                      <c:pt idx="138">
                        <c:v>0.46941177397882394</c:v>
                      </c:pt>
                      <c:pt idx="139">
                        <c:v>0.4571939047053728</c:v>
                      </c:pt>
                      <c:pt idx="140">
                        <c:v>0.45433614034517866</c:v>
                      </c:pt>
                      <c:pt idx="141">
                        <c:v>0.48558699530449356</c:v>
                      </c:pt>
                      <c:pt idx="142">
                        <c:v>0.48469991420927294</c:v>
                      </c:pt>
                      <c:pt idx="143">
                        <c:v>0.45944669955363815</c:v>
                      </c:pt>
                      <c:pt idx="144">
                        <c:v>0.43944152153182792</c:v>
                      </c:pt>
                      <c:pt idx="145">
                        <c:v>0.48814963090113705</c:v>
                      </c:pt>
                      <c:pt idx="146">
                        <c:v>0.4726367018219868</c:v>
                      </c:pt>
                      <c:pt idx="147">
                        <c:v>0.47817866938739373</c:v>
                      </c:pt>
                      <c:pt idx="148">
                        <c:v>0.49680130038095927</c:v>
                      </c:pt>
                      <c:pt idx="149">
                        <c:v>0.48007732172844708</c:v>
                      </c:pt>
                      <c:pt idx="150">
                        <c:v>0.48570221794817958</c:v>
                      </c:pt>
                      <c:pt idx="151">
                        <c:v>0.48013481646768263</c:v>
                      </c:pt>
                      <c:pt idx="152">
                        <c:v>0.52218106394901365</c:v>
                      </c:pt>
                      <c:pt idx="153">
                        <c:v>0.51337595236129641</c:v>
                      </c:pt>
                      <c:pt idx="154">
                        <c:v>0.46093728985880955</c:v>
                      </c:pt>
                      <c:pt idx="155">
                        <c:v>0.47850809584443366</c:v>
                      </c:pt>
                      <c:pt idx="156">
                        <c:v>0.49810632016136114</c:v>
                      </c:pt>
                      <c:pt idx="157">
                        <c:v>0.48789024001338643</c:v>
                      </c:pt>
                      <c:pt idx="158">
                        <c:v>0.46398876993745874</c:v>
                      </c:pt>
                      <c:pt idx="159">
                        <c:v>0.46707104752502682</c:v>
                      </c:pt>
                      <c:pt idx="160">
                        <c:v>0.45192561930263397</c:v>
                      </c:pt>
                      <c:pt idx="161">
                        <c:v>0.47579022210490263</c:v>
                      </c:pt>
                      <c:pt idx="162">
                        <c:v>0.46040862245251302</c:v>
                      </c:pt>
                      <c:pt idx="163">
                        <c:v>0.44954919696047169</c:v>
                      </c:pt>
                      <c:pt idx="164">
                        <c:v>0.44062260513237628</c:v>
                      </c:pt>
                      <c:pt idx="165">
                        <c:v>0.46158229896530378</c:v>
                      </c:pt>
                      <c:pt idx="166">
                        <c:v>0.44047801484207305</c:v>
                      </c:pt>
                      <c:pt idx="167">
                        <c:v>0.4651180911551609</c:v>
                      </c:pt>
                      <c:pt idx="168">
                        <c:v>0.48607181861472615</c:v>
                      </c:pt>
                      <c:pt idx="169">
                        <c:v>0.49339649400614993</c:v>
                      </c:pt>
                      <c:pt idx="170">
                        <c:v>0.44643840309387772</c:v>
                      </c:pt>
                      <c:pt idx="171">
                        <c:v>0.47558682057623458</c:v>
                      </c:pt>
                      <c:pt idx="172">
                        <c:v>0.43719415440458742</c:v>
                      </c:pt>
                      <c:pt idx="173">
                        <c:v>0.43423268243856072</c:v>
                      </c:pt>
                      <c:pt idx="174">
                        <c:v>0.41375197724934543</c:v>
                      </c:pt>
                      <c:pt idx="175">
                        <c:v>0.45732959960436204</c:v>
                      </c:pt>
                      <c:pt idx="176">
                        <c:v>0.4447813487618979</c:v>
                      </c:pt>
                      <c:pt idx="177">
                        <c:v>0.44924185005415995</c:v>
                      </c:pt>
                      <c:pt idx="178">
                        <c:v>0.41172771110200768</c:v>
                      </c:pt>
                      <c:pt idx="179">
                        <c:v>0.49295654187109483</c:v>
                      </c:pt>
                      <c:pt idx="180">
                        <c:v>0.46954623591787059</c:v>
                      </c:pt>
                      <c:pt idx="181">
                        <c:v>0.44635686449691891</c:v>
                      </c:pt>
                      <c:pt idx="182">
                        <c:v>0.45295119808606787</c:v>
                      </c:pt>
                      <c:pt idx="183">
                        <c:v>0.48813850772064171</c:v>
                      </c:pt>
                      <c:pt idx="184">
                        <c:v>0.46947497666256011</c:v>
                      </c:pt>
                      <c:pt idx="185">
                        <c:v>0.4515705802153076</c:v>
                      </c:pt>
                      <c:pt idx="186">
                        <c:v>0.45238295529864736</c:v>
                      </c:pt>
                      <c:pt idx="187">
                        <c:v>0.44177478599588738</c:v>
                      </c:pt>
                      <c:pt idx="188">
                        <c:v>0.48042881584125907</c:v>
                      </c:pt>
                      <c:pt idx="189">
                        <c:v>0.4870018228651809</c:v>
                      </c:pt>
                      <c:pt idx="190">
                        <c:v>0.43154168860817665</c:v>
                      </c:pt>
                      <c:pt idx="191">
                        <c:v>0.41984951089222156</c:v>
                      </c:pt>
                      <c:pt idx="192">
                        <c:v>0.44232547946336376</c:v>
                      </c:pt>
                      <c:pt idx="193">
                        <c:v>0.43389344530081742</c:v>
                      </c:pt>
                      <c:pt idx="194">
                        <c:v>0.45071273792397459</c:v>
                      </c:pt>
                      <c:pt idx="195">
                        <c:v>0.39869316473778138</c:v>
                      </c:pt>
                      <c:pt idx="196">
                        <c:v>0.46776865935562162</c:v>
                      </c:pt>
                      <c:pt idx="197">
                        <c:v>0.45417206817082989</c:v>
                      </c:pt>
                      <c:pt idx="198">
                        <c:v>0.43894831042240212</c:v>
                      </c:pt>
                      <c:pt idx="199">
                        <c:v>0.41200260390428989</c:v>
                      </c:pt>
                      <c:pt idx="200">
                        <c:v>0.44181489382996464</c:v>
                      </c:pt>
                      <c:pt idx="201">
                        <c:v>0.43660655136786697</c:v>
                      </c:pt>
                      <c:pt idx="202">
                        <c:v>0.43433276585380165</c:v>
                      </c:pt>
                      <c:pt idx="203">
                        <c:v>0.45999225690855861</c:v>
                      </c:pt>
                      <c:pt idx="204">
                        <c:v>0.48388873364285878</c:v>
                      </c:pt>
                      <c:pt idx="205">
                        <c:v>0.46277600838697297</c:v>
                      </c:pt>
                      <c:pt idx="206">
                        <c:v>0.47498767814485765</c:v>
                      </c:pt>
                      <c:pt idx="207">
                        <c:v>0.4352493516182252</c:v>
                      </c:pt>
                      <c:pt idx="208">
                        <c:v>0.43994676520398968</c:v>
                      </c:pt>
                      <c:pt idx="209">
                        <c:v>0.42821886139381737</c:v>
                      </c:pt>
                      <c:pt idx="210">
                        <c:v>0.4859182011313854</c:v>
                      </c:pt>
                      <c:pt idx="211">
                        <c:v>0.44575416174793681</c:v>
                      </c:pt>
                      <c:pt idx="212">
                        <c:v>0.45056546438797929</c:v>
                      </c:pt>
                      <c:pt idx="213">
                        <c:v>0.47215535558607069</c:v>
                      </c:pt>
                      <c:pt idx="214">
                        <c:v>0.43190108310723141</c:v>
                      </c:pt>
                      <c:pt idx="215">
                        <c:v>0.45156070218349331</c:v>
                      </c:pt>
                      <c:pt idx="216">
                        <c:v>0.46193956649516021</c:v>
                      </c:pt>
                      <c:pt idx="217">
                        <c:v>0.45355947122714491</c:v>
                      </c:pt>
                      <c:pt idx="218">
                        <c:v>0.47114597831727667</c:v>
                      </c:pt>
                      <c:pt idx="219">
                        <c:v>0.40954119025154734</c:v>
                      </c:pt>
                      <c:pt idx="220">
                        <c:v>0.48250983528389324</c:v>
                      </c:pt>
                      <c:pt idx="221">
                        <c:v>0.4750390775288218</c:v>
                      </c:pt>
                      <c:pt idx="222">
                        <c:v>0.43201062209766738</c:v>
                      </c:pt>
                      <c:pt idx="223">
                        <c:v>0.44471230442200094</c:v>
                      </c:pt>
                      <c:pt idx="224">
                        <c:v>0.49905716158756519</c:v>
                      </c:pt>
                      <c:pt idx="225">
                        <c:v>0.46281136508326326</c:v>
                      </c:pt>
                      <c:pt idx="226">
                        <c:v>0.44546885129883584</c:v>
                      </c:pt>
                      <c:pt idx="227">
                        <c:v>0.45642375914632405</c:v>
                      </c:pt>
                      <c:pt idx="228">
                        <c:v>0.44498965151062131</c:v>
                      </c:pt>
                      <c:pt idx="229">
                        <c:v>0.45259239764044779</c:v>
                      </c:pt>
                      <c:pt idx="230">
                        <c:v>0.46639991673764203</c:v>
                      </c:pt>
                      <c:pt idx="231">
                        <c:v>0.45259696380199332</c:v>
                      </c:pt>
                      <c:pt idx="232">
                        <c:v>0.445882036210417</c:v>
                      </c:pt>
                      <c:pt idx="233">
                        <c:v>0.48974534015801119</c:v>
                      </c:pt>
                      <c:pt idx="234">
                        <c:v>0.48543804333485951</c:v>
                      </c:pt>
                      <c:pt idx="235">
                        <c:v>0.50547433178466017</c:v>
                      </c:pt>
                      <c:pt idx="236">
                        <c:v>0.48285898700741181</c:v>
                      </c:pt>
                      <c:pt idx="237">
                        <c:v>0.47047625958711681</c:v>
                      </c:pt>
                      <c:pt idx="238">
                        <c:v>0.4770995281214041</c:v>
                      </c:pt>
                      <c:pt idx="239">
                        <c:v>0.48800448246457129</c:v>
                      </c:pt>
                      <c:pt idx="240">
                        <c:v>0.46500017698138763</c:v>
                      </c:pt>
                      <c:pt idx="241">
                        <c:v>0.42590124358618886</c:v>
                      </c:pt>
                      <c:pt idx="242">
                        <c:v>0.46336073256704235</c:v>
                      </c:pt>
                      <c:pt idx="243">
                        <c:v>0.45107831219651406</c:v>
                      </c:pt>
                      <c:pt idx="244">
                        <c:v>0.43361164536176511</c:v>
                      </c:pt>
                      <c:pt idx="245">
                        <c:v>0.45111838927818804</c:v>
                      </c:pt>
                      <c:pt idx="246">
                        <c:v>0.41456600812480571</c:v>
                      </c:pt>
                      <c:pt idx="247">
                        <c:v>0.4142178153680991</c:v>
                      </c:pt>
                      <c:pt idx="248">
                        <c:v>0.48301596120642376</c:v>
                      </c:pt>
                      <c:pt idx="249">
                        <c:v>0.46349882198817438</c:v>
                      </c:pt>
                      <c:pt idx="250">
                        <c:v>0.44982407126641499</c:v>
                      </c:pt>
                      <c:pt idx="251">
                        <c:v>0.45137919648491653</c:v>
                      </c:pt>
                      <c:pt idx="252">
                        <c:v>0.41918584784396518</c:v>
                      </c:pt>
                      <c:pt idx="253">
                        <c:v>0.45848470457280777</c:v>
                      </c:pt>
                      <c:pt idx="254">
                        <c:v>0.46606825508865146</c:v>
                      </c:pt>
                      <c:pt idx="255">
                        <c:v>0.47896206449677114</c:v>
                      </c:pt>
                      <c:pt idx="256">
                        <c:v>0.44701036356386603</c:v>
                      </c:pt>
                      <c:pt idx="257">
                        <c:v>0.45276826328046815</c:v>
                      </c:pt>
                      <c:pt idx="258">
                        <c:v>0.47209202417732388</c:v>
                      </c:pt>
                      <c:pt idx="259">
                        <c:v>0.4668106909382892</c:v>
                      </c:pt>
                      <c:pt idx="260">
                        <c:v>0.45214437096017956</c:v>
                      </c:pt>
                      <c:pt idx="261">
                        <c:v>0.46922009386503905</c:v>
                      </c:pt>
                      <c:pt idx="262">
                        <c:v>0.46737912985036334</c:v>
                      </c:pt>
                      <c:pt idx="263">
                        <c:v>0.43359509554334519</c:v>
                      </c:pt>
                      <c:pt idx="264">
                        <c:v>0.46213300632123122</c:v>
                      </c:pt>
                      <c:pt idx="265">
                        <c:v>0.45629256663768047</c:v>
                      </c:pt>
                      <c:pt idx="266">
                        <c:v>0.4585949645504559</c:v>
                      </c:pt>
                      <c:pt idx="267">
                        <c:v>0.47170719033643738</c:v>
                      </c:pt>
                      <c:pt idx="268">
                        <c:v>0.44235839723187698</c:v>
                      </c:pt>
                      <c:pt idx="269">
                        <c:v>0.50508851089612672</c:v>
                      </c:pt>
                      <c:pt idx="270">
                        <c:v>0.46668587833120467</c:v>
                      </c:pt>
                      <c:pt idx="271">
                        <c:v>0.42887943822539332</c:v>
                      </c:pt>
                      <c:pt idx="272">
                        <c:v>0.50104929375551865</c:v>
                      </c:pt>
                      <c:pt idx="273">
                        <c:v>0.47602388323093714</c:v>
                      </c:pt>
                      <c:pt idx="274">
                        <c:v>0.4160449862216038</c:v>
                      </c:pt>
                      <c:pt idx="275">
                        <c:v>0.42375973535355427</c:v>
                      </c:pt>
                      <c:pt idx="276">
                        <c:v>0.5381245186931225</c:v>
                      </c:pt>
                      <c:pt idx="277">
                        <c:v>0.4586936611315986</c:v>
                      </c:pt>
                      <c:pt idx="278">
                        <c:v>0.45881759296696489</c:v>
                      </c:pt>
                      <c:pt idx="279">
                        <c:v>0.4512676796844437</c:v>
                      </c:pt>
                      <c:pt idx="280">
                        <c:v>0.50277558854477467</c:v>
                      </c:pt>
                      <c:pt idx="281">
                        <c:v>0.45962160720805034</c:v>
                      </c:pt>
                      <c:pt idx="282">
                        <c:v>0.43483921228168887</c:v>
                      </c:pt>
                      <c:pt idx="283">
                        <c:v>0.45404940707197072</c:v>
                      </c:pt>
                      <c:pt idx="284">
                        <c:v>0.46493216006162141</c:v>
                      </c:pt>
                      <c:pt idx="285">
                        <c:v>0.45628861484215522</c:v>
                      </c:pt>
                      <c:pt idx="286">
                        <c:v>0.43036776240966401</c:v>
                      </c:pt>
                      <c:pt idx="287">
                        <c:v>0.46602090823961118</c:v>
                      </c:pt>
                      <c:pt idx="288">
                        <c:v>0.4253121632074246</c:v>
                      </c:pt>
                      <c:pt idx="289">
                        <c:v>0.47490167395522453</c:v>
                      </c:pt>
                      <c:pt idx="290">
                        <c:v>0.47816543685130908</c:v>
                      </c:pt>
                      <c:pt idx="291">
                        <c:v>0.4580129880566266</c:v>
                      </c:pt>
                      <c:pt idx="292">
                        <c:v>0.44982686898689517</c:v>
                      </c:pt>
                      <c:pt idx="293">
                        <c:v>0.44488135493893655</c:v>
                      </c:pt>
                      <c:pt idx="294">
                        <c:v>0.46326141130647258</c:v>
                      </c:pt>
                      <c:pt idx="295">
                        <c:v>0.4701603741445235</c:v>
                      </c:pt>
                      <c:pt idx="296">
                        <c:v>0.44329521779471492</c:v>
                      </c:pt>
                      <c:pt idx="297">
                        <c:v>0.46228467499084513</c:v>
                      </c:pt>
                      <c:pt idx="298">
                        <c:v>0.47024743517238732</c:v>
                      </c:pt>
                      <c:pt idx="299">
                        <c:v>0.44258898637298794</c:v>
                      </c:pt>
                      <c:pt idx="300">
                        <c:v>0.44892235559120364</c:v>
                      </c:pt>
                      <c:pt idx="301">
                        <c:v>0.43759985229262299</c:v>
                      </c:pt>
                      <c:pt idx="302">
                        <c:v>0.48949760256676678</c:v>
                      </c:pt>
                      <c:pt idx="303">
                        <c:v>0.46115122972541767</c:v>
                      </c:pt>
                      <c:pt idx="304">
                        <c:v>0.45105492164054306</c:v>
                      </c:pt>
                      <c:pt idx="305">
                        <c:v>0.48576765331947991</c:v>
                      </c:pt>
                      <c:pt idx="306">
                        <c:v>0.45932112525273827</c:v>
                      </c:pt>
                      <c:pt idx="307">
                        <c:v>0.48508217267261911</c:v>
                      </c:pt>
                      <c:pt idx="308">
                        <c:v>0.43475895532283837</c:v>
                      </c:pt>
                      <c:pt idx="309">
                        <c:v>0.45723552444178384</c:v>
                      </c:pt>
                      <c:pt idx="310">
                        <c:v>0.48507944360629884</c:v>
                      </c:pt>
                      <c:pt idx="311">
                        <c:v>0.4662925385273613</c:v>
                      </c:pt>
                      <c:pt idx="312">
                        <c:v>0.46821031306493333</c:v>
                      </c:pt>
                      <c:pt idx="313">
                        <c:v>0.50012355562353883</c:v>
                      </c:pt>
                      <c:pt idx="314">
                        <c:v>0.47452267357895028</c:v>
                      </c:pt>
                      <c:pt idx="315">
                        <c:v>0.4452525810590946</c:v>
                      </c:pt>
                      <c:pt idx="316">
                        <c:v>0.45980052720851528</c:v>
                      </c:pt>
                      <c:pt idx="317">
                        <c:v>0.47757848005093684</c:v>
                      </c:pt>
                      <c:pt idx="318">
                        <c:v>0.48089172678367564</c:v>
                      </c:pt>
                      <c:pt idx="319">
                        <c:v>0.47143834353077518</c:v>
                      </c:pt>
                      <c:pt idx="320">
                        <c:v>0.43326209291155893</c:v>
                      </c:pt>
                      <c:pt idx="321">
                        <c:v>0.45388951309502312</c:v>
                      </c:pt>
                      <c:pt idx="322">
                        <c:v>0.45963237145839742</c:v>
                      </c:pt>
                      <c:pt idx="323">
                        <c:v>0.39734406787116683</c:v>
                      </c:pt>
                      <c:pt idx="324">
                        <c:v>0.44972887502144765</c:v>
                      </c:pt>
                      <c:pt idx="325">
                        <c:v>0.46098461355509657</c:v>
                      </c:pt>
                      <c:pt idx="326">
                        <c:v>0.4602108459623595</c:v>
                      </c:pt>
                      <c:pt idx="327">
                        <c:v>0.47200562599168272</c:v>
                      </c:pt>
                      <c:pt idx="328">
                        <c:v>0.44846118937424295</c:v>
                      </c:pt>
                      <c:pt idx="329">
                        <c:v>0.43359758717511632</c:v>
                      </c:pt>
                      <c:pt idx="330">
                        <c:v>0.48829315040153642</c:v>
                      </c:pt>
                      <c:pt idx="331">
                        <c:v>0.47286613128215493</c:v>
                      </c:pt>
                      <c:pt idx="332">
                        <c:v>0.44185539880404079</c:v>
                      </c:pt>
                      <c:pt idx="333">
                        <c:v>0.46153703301583349</c:v>
                      </c:pt>
                      <c:pt idx="334">
                        <c:v>0.4674636827176033</c:v>
                      </c:pt>
                      <c:pt idx="335">
                        <c:v>0.45442592763452572</c:v>
                      </c:pt>
                      <c:pt idx="336">
                        <c:v>0.41884564538580205</c:v>
                      </c:pt>
                      <c:pt idx="337">
                        <c:v>0.46033195549358874</c:v>
                      </c:pt>
                      <c:pt idx="338">
                        <c:v>0.46179081315351467</c:v>
                      </c:pt>
                      <c:pt idx="339">
                        <c:v>0.43431871054213333</c:v>
                      </c:pt>
                      <c:pt idx="340">
                        <c:v>0.45940464224303978</c:v>
                      </c:pt>
                      <c:pt idx="341">
                        <c:v>0.45896515769682833</c:v>
                      </c:pt>
                      <c:pt idx="342">
                        <c:v>0.49805418686887926</c:v>
                      </c:pt>
                      <c:pt idx="343">
                        <c:v>0.45398012512630959</c:v>
                      </c:pt>
                      <c:pt idx="344">
                        <c:v>0.43790672695215882</c:v>
                      </c:pt>
                      <c:pt idx="345">
                        <c:v>0.47222906368420214</c:v>
                      </c:pt>
                      <c:pt idx="346">
                        <c:v>0.48618061067557394</c:v>
                      </c:pt>
                      <c:pt idx="347">
                        <c:v>0.4634169999603881</c:v>
                      </c:pt>
                      <c:pt idx="348">
                        <c:v>0.44645977258854885</c:v>
                      </c:pt>
                      <c:pt idx="349">
                        <c:v>0.46044458221091311</c:v>
                      </c:pt>
                      <c:pt idx="350">
                        <c:v>0.48191346700440274</c:v>
                      </c:pt>
                      <c:pt idx="351">
                        <c:v>0.4415613843175421</c:v>
                      </c:pt>
                      <c:pt idx="352">
                        <c:v>0.47911941758359977</c:v>
                      </c:pt>
                      <c:pt idx="353">
                        <c:v>0.44549728057035898</c:v>
                      </c:pt>
                      <c:pt idx="354">
                        <c:v>0.45041779551474881</c:v>
                      </c:pt>
                      <c:pt idx="355">
                        <c:v>0.49526926367638868</c:v>
                      </c:pt>
                      <c:pt idx="356">
                        <c:v>0.48461873354118001</c:v>
                      </c:pt>
                      <c:pt idx="357">
                        <c:v>0.46312087963033988</c:v>
                      </c:pt>
                      <c:pt idx="358">
                        <c:v>0.47968636718440516</c:v>
                      </c:pt>
                      <c:pt idx="359">
                        <c:v>0.42477456450227802</c:v>
                      </c:pt>
                      <c:pt idx="360">
                        <c:v>0.45218065974092769</c:v>
                      </c:pt>
                      <c:pt idx="361">
                        <c:v>0.44244223196803079</c:v>
                      </c:pt>
                      <c:pt idx="362">
                        <c:v>0.45613232219905142</c:v>
                      </c:pt>
                      <c:pt idx="363">
                        <c:v>0.44957978542676824</c:v>
                      </c:pt>
                      <c:pt idx="364">
                        <c:v>0.42985457961587503</c:v>
                      </c:pt>
                      <c:pt idx="365">
                        <c:v>0.45169995834706955</c:v>
                      </c:pt>
                      <c:pt idx="366">
                        <c:v>0.46847108387927006</c:v>
                      </c:pt>
                      <c:pt idx="367">
                        <c:v>0.45891864402582816</c:v>
                      </c:pt>
                      <c:pt idx="368">
                        <c:v>0.45613332439070975</c:v>
                      </c:pt>
                      <c:pt idx="369">
                        <c:v>0.47877576510859021</c:v>
                      </c:pt>
                      <c:pt idx="370">
                        <c:v>0.46972786712471692</c:v>
                      </c:pt>
                      <c:pt idx="371">
                        <c:v>0.48155000955556226</c:v>
                      </c:pt>
                      <c:pt idx="372">
                        <c:v>0.47226571641301951</c:v>
                      </c:pt>
                      <c:pt idx="373">
                        <c:v>0.47469739944766864</c:v>
                      </c:pt>
                      <c:pt idx="374">
                        <c:v>0.47051920502220534</c:v>
                      </c:pt>
                      <c:pt idx="375">
                        <c:v>0.48223625749161148</c:v>
                      </c:pt>
                      <c:pt idx="376">
                        <c:v>0.46634755699922303</c:v>
                      </c:pt>
                      <c:pt idx="377">
                        <c:v>0.47941851728069773</c:v>
                      </c:pt>
                      <c:pt idx="378">
                        <c:v>0.49521566548654605</c:v>
                      </c:pt>
                      <c:pt idx="379">
                        <c:v>0.47791875558075181</c:v>
                      </c:pt>
                      <c:pt idx="380">
                        <c:v>0.445067464667803</c:v>
                      </c:pt>
                      <c:pt idx="381">
                        <c:v>0.49507238677117948</c:v>
                      </c:pt>
                      <c:pt idx="382">
                        <c:v>0.48745367558240615</c:v>
                      </c:pt>
                      <c:pt idx="383">
                        <c:v>0.46306764499866659</c:v>
                      </c:pt>
                      <c:pt idx="384">
                        <c:v>0.4827361518224409</c:v>
                      </c:pt>
                      <c:pt idx="385">
                        <c:v>0.45557296549161186</c:v>
                      </c:pt>
                      <c:pt idx="386">
                        <c:v>0.42378341707098199</c:v>
                      </c:pt>
                      <c:pt idx="387">
                        <c:v>0.43903139739859287</c:v>
                      </c:pt>
                      <c:pt idx="388">
                        <c:v>0.48747592859530253</c:v>
                      </c:pt>
                      <c:pt idx="389">
                        <c:v>0.47030945063702778</c:v>
                      </c:pt>
                      <c:pt idx="390">
                        <c:v>0.45137771826036222</c:v>
                      </c:pt>
                      <c:pt idx="391">
                        <c:v>0.46753031022906799</c:v>
                      </c:pt>
                      <c:pt idx="392">
                        <c:v>0.45534802634004112</c:v>
                      </c:pt>
                      <c:pt idx="393">
                        <c:v>0.44705310168014645</c:v>
                      </c:pt>
                      <c:pt idx="394">
                        <c:v>0.51094014062921689</c:v>
                      </c:pt>
                      <c:pt idx="395">
                        <c:v>0.45990920243848765</c:v>
                      </c:pt>
                      <c:pt idx="396">
                        <c:v>0.46996675444084057</c:v>
                      </c:pt>
                      <c:pt idx="397">
                        <c:v>0.41957610335092999</c:v>
                      </c:pt>
                      <c:pt idx="398">
                        <c:v>0.43664227922441889</c:v>
                      </c:pt>
                      <c:pt idx="399">
                        <c:v>0.45413515206593869</c:v>
                      </c:pt>
                      <c:pt idx="400">
                        <c:v>0.4506234044426829</c:v>
                      </c:pt>
                      <c:pt idx="401">
                        <c:v>0.4629270250872255</c:v>
                      </c:pt>
                      <c:pt idx="402">
                        <c:v>0.40526979505448035</c:v>
                      </c:pt>
                      <c:pt idx="403">
                        <c:v>0.45366693621732357</c:v>
                      </c:pt>
                      <c:pt idx="404">
                        <c:v>0.50124754668683913</c:v>
                      </c:pt>
                      <c:pt idx="405">
                        <c:v>0.50486874209634403</c:v>
                      </c:pt>
                      <c:pt idx="406">
                        <c:v>0.47066287125160211</c:v>
                      </c:pt>
                      <c:pt idx="407">
                        <c:v>0.45473567225803802</c:v>
                      </c:pt>
                      <c:pt idx="408">
                        <c:v>0.41956827469664848</c:v>
                      </c:pt>
                      <c:pt idx="409">
                        <c:v>0.46202192414598819</c:v>
                      </c:pt>
                      <c:pt idx="410">
                        <c:v>0.44093926576892062</c:v>
                      </c:pt>
                      <c:pt idx="411">
                        <c:v>0.45110055030181107</c:v>
                      </c:pt>
                      <c:pt idx="412">
                        <c:v>0.49271721945097391</c:v>
                      </c:pt>
                      <c:pt idx="413">
                        <c:v>0.46487237483401933</c:v>
                      </c:pt>
                      <c:pt idx="414">
                        <c:v>0.50233427788795471</c:v>
                      </c:pt>
                      <c:pt idx="415">
                        <c:v>0.46223949715094226</c:v>
                      </c:pt>
                      <c:pt idx="416">
                        <c:v>0.46612336416651368</c:v>
                      </c:pt>
                      <c:pt idx="417">
                        <c:v>0.44810560637566343</c:v>
                      </c:pt>
                      <c:pt idx="418">
                        <c:v>0.43567598327529344</c:v>
                      </c:pt>
                      <c:pt idx="419">
                        <c:v>0.48724833129189093</c:v>
                      </c:pt>
                      <c:pt idx="420">
                        <c:v>0.40652342198533797</c:v>
                      </c:pt>
                      <c:pt idx="421">
                        <c:v>0.47036766028301402</c:v>
                      </c:pt>
                      <c:pt idx="422">
                        <c:v>0.45375556021891961</c:v>
                      </c:pt>
                      <c:pt idx="423">
                        <c:v>0.46964220775291832</c:v>
                      </c:pt>
                      <c:pt idx="424">
                        <c:v>0.46109135649012267</c:v>
                      </c:pt>
                      <c:pt idx="425">
                        <c:v>0.48069398850126421</c:v>
                      </c:pt>
                      <c:pt idx="426">
                        <c:v>0.42550296914913743</c:v>
                      </c:pt>
                      <c:pt idx="427">
                        <c:v>0.39829770460608449</c:v>
                      </c:pt>
                      <c:pt idx="428">
                        <c:v>0.43194748314979181</c:v>
                      </c:pt>
                      <c:pt idx="429">
                        <c:v>0.43952550384553657</c:v>
                      </c:pt>
                      <c:pt idx="430">
                        <c:v>0.49234157493292807</c:v>
                      </c:pt>
                      <c:pt idx="431">
                        <c:v>0.44300694014265396</c:v>
                      </c:pt>
                      <c:pt idx="432">
                        <c:v>0.4837614830002166</c:v>
                      </c:pt>
                      <c:pt idx="433">
                        <c:v>0.44649869422803223</c:v>
                      </c:pt>
                      <c:pt idx="434">
                        <c:v>0.47291460483922299</c:v>
                      </c:pt>
                      <c:pt idx="435">
                        <c:v>0.45179546408810967</c:v>
                      </c:pt>
                      <c:pt idx="436">
                        <c:v>0.46201767435635643</c:v>
                      </c:pt>
                      <c:pt idx="437">
                        <c:v>0.4320915474364222</c:v>
                      </c:pt>
                      <c:pt idx="438">
                        <c:v>0.40227493029369077</c:v>
                      </c:pt>
                      <c:pt idx="439">
                        <c:v>0.45292550165004886</c:v>
                      </c:pt>
                      <c:pt idx="440">
                        <c:v>0.45440134684704803</c:v>
                      </c:pt>
                      <c:pt idx="441">
                        <c:v>0.50562563711830855</c:v>
                      </c:pt>
                      <c:pt idx="442">
                        <c:v>0.51243259702731137</c:v>
                      </c:pt>
                      <c:pt idx="443">
                        <c:v>0.43110395179119787</c:v>
                      </c:pt>
                      <c:pt idx="444">
                        <c:v>0.4506169091858383</c:v>
                      </c:pt>
                      <c:pt idx="445">
                        <c:v>0.48132208486385331</c:v>
                      </c:pt>
                      <c:pt idx="446">
                        <c:v>0.40046234968809036</c:v>
                      </c:pt>
                      <c:pt idx="447">
                        <c:v>0.46642079059281971</c:v>
                      </c:pt>
                      <c:pt idx="448">
                        <c:v>0.50158159728519291</c:v>
                      </c:pt>
                      <c:pt idx="449">
                        <c:v>0.4818089127942029</c:v>
                      </c:pt>
                      <c:pt idx="450">
                        <c:v>0.45354606487500781</c:v>
                      </c:pt>
                      <c:pt idx="451">
                        <c:v>0.46479810084865258</c:v>
                      </c:pt>
                      <c:pt idx="452">
                        <c:v>0.43937521232084054</c:v>
                      </c:pt>
                      <c:pt idx="453">
                        <c:v>0.45124958710655538</c:v>
                      </c:pt>
                      <c:pt idx="454">
                        <c:v>0.47248183016673484</c:v>
                      </c:pt>
                      <c:pt idx="455">
                        <c:v>0.45132844215901402</c:v>
                      </c:pt>
                      <c:pt idx="456">
                        <c:v>0.43040198202462565</c:v>
                      </c:pt>
                      <c:pt idx="457">
                        <c:v>0.46426802399657308</c:v>
                      </c:pt>
                      <c:pt idx="458">
                        <c:v>0.47837013654602023</c:v>
                      </c:pt>
                      <c:pt idx="459">
                        <c:v>0.47009939141933765</c:v>
                      </c:pt>
                      <c:pt idx="460">
                        <c:v>0.42659419950596145</c:v>
                      </c:pt>
                      <c:pt idx="461">
                        <c:v>0.50183155592661555</c:v>
                      </c:pt>
                      <c:pt idx="462">
                        <c:v>0.48484371585985242</c:v>
                      </c:pt>
                      <c:pt idx="463">
                        <c:v>0.44183111546231668</c:v>
                      </c:pt>
                      <c:pt idx="464">
                        <c:v>0.46868720611435277</c:v>
                      </c:pt>
                      <c:pt idx="465">
                        <c:v>0.47721823277453423</c:v>
                      </c:pt>
                      <c:pt idx="466">
                        <c:v>0.43987957364341113</c:v>
                      </c:pt>
                      <c:pt idx="467">
                        <c:v>0.45373495083958471</c:v>
                      </c:pt>
                      <c:pt idx="468">
                        <c:v>0.4581538853269207</c:v>
                      </c:pt>
                      <c:pt idx="469">
                        <c:v>0.48306526147558992</c:v>
                      </c:pt>
                      <c:pt idx="470">
                        <c:v>0.44427288333569148</c:v>
                      </c:pt>
                      <c:pt idx="471">
                        <c:v>0.45038134516841</c:v>
                      </c:pt>
                      <c:pt idx="472">
                        <c:v>0.37980757918345653</c:v>
                      </c:pt>
                      <c:pt idx="473">
                        <c:v>0.46369163431209204</c:v>
                      </c:pt>
                      <c:pt idx="474">
                        <c:v>0.46741221045497428</c:v>
                      </c:pt>
                      <c:pt idx="475">
                        <c:v>0.45779465239401818</c:v>
                      </c:pt>
                      <c:pt idx="476">
                        <c:v>0.46943288373289471</c:v>
                      </c:pt>
                      <c:pt idx="477">
                        <c:v>0.45593657808276755</c:v>
                      </c:pt>
                      <c:pt idx="478">
                        <c:v>0.44361398797330631</c:v>
                      </c:pt>
                      <c:pt idx="479">
                        <c:v>0.41654537765797817</c:v>
                      </c:pt>
                      <c:pt idx="480">
                        <c:v>0.46509109113835745</c:v>
                      </c:pt>
                      <c:pt idx="481">
                        <c:v>0.49534852179724531</c:v>
                      </c:pt>
                      <c:pt idx="482">
                        <c:v>0.46661711479318435</c:v>
                      </c:pt>
                      <c:pt idx="483">
                        <c:v>0.50512002839438597</c:v>
                      </c:pt>
                      <c:pt idx="484">
                        <c:v>0.43119083768175837</c:v>
                      </c:pt>
                      <c:pt idx="485">
                        <c:v>0.47730302585462447</c:v>
                      </c:pt>
                      <c:pt idx="486">
                        <c:v>0.49210308368556688</c:v>
                      </c:pt>
                      <c:pt idx="487">
                        <c:v>0.4493216880059554</c:v>
                      </c:pt>
                      <c:pt idx="488">
                        <c:v>0.43348001868276786</c:v>
                      </c:pt>
                      <c:pt idx="489">
                        <c:v>0.43827213508782181</c:v>
                      </c:pt>
                      <c:pt idx="490">
                        <c:v>0.42516128565741207</c:v>
                      </c:pt>
                      <c:pt idx="491">
                        <c:v>0.45117202167504855</c:v>
                      </c:pt>
                      <c:pt idx="492">
                        <c:v>0.46714825672457461</c:v>
                      </c:pt>
                      <c:pt idx="493">
                        <c:v>0.43956530021447504</c:v>
                      </c:pt>
                      <c:pt idx="494">
                        <c:v>0.46402343867573448</c:v>
                      </c:pt>
                      <c:pt idx="495">
                        <c:v>0.46971182829317359</c:v>
                      </c:pt>
                      <c:pt idx="496">
                        <c:v>0.46785434621686939</c:v>
                      </c:pt>
                      <c:pt idx="497">
                        <c:v>0.46084451397578108</c:v>
                      </c:pt>
                      <c:pt idx="498">
                        <c:v>0.47734574915132777</c:v>
                      </c:pt>
                      <c:pt idx="499">
                        <c:v>0.46287211209233825</c:v>
                      </c:pt>
                      <c:pt idx="500">
                        <c:v>0.40360190746967728</c:v>
                      </c:pt>
                      <c:pt idx="501">
                        <c:v>0.44431114910480263</c:v>
                      </c:pt>
                      <c:pt idx="502">
                        <c:v>0.47203521773123192</c:v>
                      </c:pt>
                      <c:pt idx="503">
                        <c:v>0.40203839965484733</c:v>
                      </c:pt>
                      <c:pt idx="504">
                        <c:v>0.42882773375079841</c:v>
                      </c:pt>
                      <c:pt idx="505">
                        <c:v>0.50281027821065072</c:v>
                      </c:pt>
                      <c:pt idx="506">
                        <c:v>0.46139698067895751</c:v>
                      </c:pt>
                      <c:pt idx="507">
                        <c:v>0.50234132004951304</c:v>
                      </c:pt>
                      <c:pt idx="508">
                        <c:v>0.4769886782822832</c:v>
                      </c:pt>
                      <c:pt idx="509">
                        <c:v>0.4709580148154906</c:v>
                      </c:pt>
                      <c:pt idx="510">
                        <c:v>0.49429226973387586</c:v>
                      </c:pt>
                      <c:pt idx="511">
                        <c:v>0.38535932767002001</c:v>
                      </c:pt>
                      <c:pt idx="512">
                        <c:v>0.42815586942291461</c:v>
                      </c:pt>
                      <c:pt idx="513">
                        <c:v>0.46418434096774797</c:v>
                      </c:pt>
                      <c:pt idx="514">
                        <c:v>0.46847599547049845</c:v>
                      </c:pt>
                      <c:pt idx="515">
                        <c:v>0.44339724698404703</c:v>
                      </c:pt>
                      <c:pt idx="516">
                        <c:v>0.4891177576128003</c:v>
                      </c:pt>
                      <c:pt idx="517">
                        <c:v>0.45586898426014311</c:v>
                      </c:pt>
                      <c:pt idx="518">
                        <c:v>0.44366018675356744</c:v>
                      </c:pt>
                      <c:pt idx="519">
                        <c:v>0.4387964592311886</c:v>
                      </c:pt>
                      <c:pt idx="520">
                        <c:v>0.49179756063549429</c:v>
                      </c:pt>
                      <c:pt idx="521">
                        <c:v>0.47527671300112639</c:v>
                      </c:pt>
                      <c:pt idx="522">
                        <c:v>0.49273384705930079</c:v>
                      </c:pt>
                      <c:pt idx="523">
                        <c:v>0.45738176044020085</c:v>
                      </c:pt>
                      <c:pt idx="524">
                        <c:v>0.46499212039595927</c:v>
                      </c:pt>
                      <c:pt idx="525">
                        <c:v>0.43498702984137716</c:v>
                      </c:pt>
                      <c:pt idx="526">
                        <c:v>0.45129778346330474</c:v>
                      </c:pt>
                      <c:pt idx="527">
                        <c:v>0.46656259758232532</c:v>
                      </c:pt>
                      <c:pt idx="528">
                        <c:v>0.42439302742133722</c:v>
                      </c:pt>
                      <c:pt idx="529">
                        <c:v>0.41060829268316179</c:v>
                      </c:pt>
                      <c:pt idx="530">
                        <c:v>0.44784158594272627</c:v>
                      </c:pt>
                      <c:pt idx="531">
                        <c:v>0.48485432263030148</c:v>
                      </c:pt>
                      <c:pt idx="532">
                        <c:v>0.48257837639599166</c:v>
                      </c:pt>
                      <c:pt idx="533">
                        <c:v>0.48351659544507575</c:v>
                      </c:pt>
                      <c:pt idx="534">
                        <c:v>0.42719338845723742</c:v>
                      </c:pt>
                      <c:pt idx="535">
                        <c:v>0.46231349710322078</c:v>
                      </c:pt>
                      <c:pt idx="536">
                        <c:v>0.48214245507595543</c:v>
                      </c:pt>
                      <c:pt idx="537">
                        <c:v>0.4713164671812835</c:v>
                      </c:pt>
                      <c:pt idx="538">
                        <c:v>0.43766923845294836</c:v>
                      </c:pt>
                      <c:pt idx="539">
                        <c:v>0.44702189421537297</c:v>
                      </c:pt>
                      <c:pt idx="540">
                        <c:v>0.43405590873427236</c:v>
                      </c:pt>
                      <c:pt idx="541">
                        <c:v>0.48940842270246554</c:v>
                      </c:pt>
                      <c:pt idx="542">
                        <c:v>0.49049078891271813</c:v>
                      </c:pt>
                      <c:pt idx="543">
                        <c:v>0.46862280717735749</c:v>
                      </c:pt>
                      <c:pt idx="544">
                        <c:v>0.46512676953548082</c:v>
                      </c:pt>
                      <c:pt idx="545">
                        <c:v>0.42949139755226562</c:v>
                      </c:pt>
                      <c:pt idx="546">
                        <c:v>0.47642603284879281</c:v>
                      </c:pt>
                      <c:pt idx="547">
                        <c:v>0.45297669378574468</c:v>
                      </c:pt>
                      <c:pt idx="548">
                        <c:v>0.44865919425900613</c:v>
                      </c:pt>
                      <c:pt idx="549">
                        <c:v>0.46231775440571377</c:v>
                      </c:pt>
                      <c:pt idx="550">
                        <c:v>0.37429017569595313</c:v>
                      </c:pt>
                      <c:pt idx="551">
                        <c:v>0.43981112530456201</c:v>
                      </c:pt>
                      <c:pt idx="552">
                        <c:v>0.48159883578584295</c:v>
                      </c:pt>
                      <c:pt idx="553">
                        <c:v>0.45530402681327575</c:v>
                      </c:pt>
                      <c:pt idx="554">
                        <c:v>0.43100171120753261</c:v>
                      </c:pt>
                      <c:pt idx="555">
                        <c:v>0.44506411966296522</c:v>
                      </c:pt>
                      <c:pt idx="556">
                        <c:v>0.43408401302281807</c:v>
                      </c:pt>
                      <c:pt idx="557">
                        <c:v>0.45487360286670486</c:v>
                      </c:pt>
                      <c:pt idx="558">
                        <c:v>0.45630241437613139</c:v>
                      </c:pt>
                      <c:pt idx="559">
                        <c:v>0.44749668982690061</c:v>
                      </c:pt>
                      <c:pt idx="560">
                        <c:v>0.40212588101592828</c:v>
                      </c:pt>
                      <c:pt idx="561">
                        <c:v>0.48954604929622492</c:v>
                      </c:pt>
                      <c:pt idx="562">
                        <c:v>0.42499500129495749</c:v>
                      </c:pt>
                      <c:pt idx="563">
                        <c:v>0.4357343069665045</c:v>
                      </c:pt>
                      <c:pt idx="564">
                        <c:v>0.45160016570227279</c:v>
                      </c:pt>
                      <c:pt idx="565">
                        <c:v>0.45203580136436416</c:v>
                      </c:pt>
                      <c:pt idx="566">
                        <c:v>0.44125918046502188</c:v>
                      </c:pt>
                      <c:pt idx="567">
                        <c:v>0.46343203704034974</c:v>
                      </c:pt>
                      <c:pt idx="568">
                        <c:v>0.45533209733001545</c:v>
                      </c:pt>
                      <c:pt idx="569">
                        <c:v>0.40596192952547572</c:v>
                      </c:pt>
                      <c:pt idx="570">
                        <c:v>0.46278910761505032</c:v>
                      </c:pt>
                      <c:pt idx="571">
                        <c:v>0.48853649329876392</c:v>
                      </c:pt>
                      <c:pt idx="572">
                        <c:v>0.46294030064994951</c:v>
                      </c:pt>
                      <c:pt idx="573">
                        <c:v>0.46777511889652468</c:v>
                      </c:pt>
                      <c:pt idx="574">
                        <c:v>0.43681876815310128</c:v>
                      </c:pt>
                      <c:pt idx="575">
                        <c:v>0.48281485259895085</c:v>
                      </c:pt>
                      <c:pt idx="576">
                        <c:v>0.45332813497013769</c:v>
                      </c:pt>
                      <c:pt idx="577">
                        <c:v>0.45917024733019973</c:v>
                      </c:pt>
                      <c:pt idx="578">
                        <c:v>0.45440542577419318</c:v>
                      </c:pt>
                      <c:pt idx="579">
                        <c:v>0.45200675858363204</c:v>
                      </c:pt>
                      <c:pt idx="580">
                        <c:v>0.45157762734783535</c:v>
                      </c:pt>
                      <c:pt idx="581">
                        <c:v>0.46972958977894108</c:v>
                      </c:pt>
                      <c:pt idx="582">
                        <c:v>0.51389095296719245</c:v>
                      </c:pt>
                      <c:pt idx="583">
                        <c:v>0.45722406949795502</c:v>
                      </c:pt>
                      <c:pt idx="584">
                        <c:v>0.45692516457003651</c:v>
                      </c:pt>
                      <c:pt idx="585">
                        <c:v>0.45187840141963664</c:v>
                      </c:pt>
                      <c:pt idx="586">
                        <c:v>0.50406393648217551</c:v>
                      </c:pt>
                      <c:pt idx="587">
                        <c:v>0.45640419803770538</c:v>
                      </c:pt>
                      <c:pt idx="588">
                        <c:v>0.45416117126226641</c:v>
                      </c:pt>
                      <c:pt idx="589">
                        <c:v>0.47026880455864895</c:v>
                      </c:pt>
                      <c:pt idx="590">
                        <c:v>0.44894439982333534</c:v>
                      </c:pt>
                      <c:pt idx="591">
                        <c:v>0.4535223086538418</c:v>
                      </c:pt>
                      <c:pt idx="592">
                        <c:v>0.45443297008244121</c:v>
                      </c:pt>
                      <c:pt idx="593">
                        <c:v>0.45920346418595726</c:v>
                      </c:pt>
                      <c:pt idx="594">
                        <c:v>0.46495003106735977</c:v>
                      </c:pt>
                      <c:pt idx="595">
                        <c:v>0.46699233778421911</c:v>
                      </c:pt>
                      <c:pt idx="596">
                        <c:v>0.4445774705048926</c:v>
                      </c:pt>
                      <c:pt idx="597">
                        <c:v>0.45084339643295013</c:v>
                      </c:pt>
                      <c:pt idx="598">
                        <c:v>0.47090300861263756</c:v>
                      </c:pt>
                      <c:pt idx="599">
                        <c:v>0.47197240796807383</c:v>
                      </c:pt>
                      <c:pt idx="600">
                        <c:v>0.45937221007521556</c:v>
                      </c:pt>
                      <c:pt idx="601">
                        <c:v>0.47156018183581105</c:v>
                      </c:pt>
                      <c:pt idx="602">
                        <c:v>0.51797166479238044</c:v>
                      </c:pt>
                      <c:pt idx="603">
                        <c:v>0.45746227219097357</c:v>
                      </c:pt>
                      <c:pt idx="604">
                        <c:v>0.44921704562980658</c:v>
                      </c:pt>
                      <c:pt idx="605">
                        <c:v>0.43620763690380815</c:v>
                      </c:pt>
                      <c:pt idx="606">
                        <c:v>0.42531149040532412</c:v>
                      </c:pt>
                      <c:pt idx="607">
                        <c:v>0.43413445900104364</c:v>
                      </c:pt>
                      <c:pt idx="608">
                        <c:v>0.43695459279163296</c:v>
                      </c:pt>
                      <c:pt idx="609">
                        <c:v>0.49403135202108883</c:v>
                      </c:pt>
                      <c:pt idx="610">
                        <c:v>0.51122147735557899</c:v>
                      </c:pt>
                      <c:pt idx="611">
                        <c:v>0.41380578392405942</c:v>
                      </c:pt>
                      <c:pt idx="612">
                        <c:v>0.49327637196967244</c:v>
                      </c:pt>
                      <c:pt idx="613">
                        <c:v>0.43923382059956739</c:v>
                      </c:pt>
                      <c:pt idx="614">
                        <c:v>0.46833281539107263</c:v>
                      </c:pt>
                      <c:pt idx="615">
                        <c:v>0.49674769842957556</c:v>
                      </c:pt>
                      <c:pt idx="616">
                        <c:v>0.46150638605489203</c:v>
                      </c:pt>
                      <c:pt idx="617">
                        <c:v>0.48153682541228404</c:v>
                      </c:pt>
                      <c:pt idx="618">
                        <c:v>0.42948519524187123</c:v>
                      </c:pt>
                      <c:pt idx="619">
                        <c:v>0.46412888746976066</c:v>
                      </c:pt>
                      <c:pt idx="620">
                        <c:v>0.46461283616362437</c:v>
                      </c:pt>
                      <c:pt idx="621">
                        <c:v>0.41412997328401246</c:v>
                      </c:pt>
                      <c:pt idx="622">
                        <c:v>0.49078075806794197</c:v>
                      </c:pt>
                      <c:pt idx="623">
                        <c:v>0.40323010893995637</c:v>
                      </c:pt>
                      <c:pt idx="624">
                        <c:v>0.46176527447616311</c:v>
                      </c:pt>
                      <c:pt idx="625">
                        <c:v>0.44670704157154839</c:v>
                      </c:pt>
                      <c:pt idx="626">
                        <c:v>0.46684224115161244</c:v>
                      </c:pt>
                      <c:pt idx="627">
                        <c:v>0.45614733505387028</c:v>
                      </c:pt>
                      <c:pt idx="628">
                        <c:v>0.43974281915710911</c:v>
                      </c:pt>
                      <c:pt idx="629">
                        <c:v>0.50926424924236602</c:v>
                      </c:pt>
                      <c:pt idx="630">
                        <c:v>0.47731969650070383</c:v>
                      </c:pt>
                      <c:pt idx="631">
                        <c:v>0.50579013558889718</c:v>
                      </c:pt>
                      <c:pt idx="632">
                        <c:v>0.45068373193324418</c:v>
                      </c:pt>
                      <c:pt idx="633">
                        <c:v>0.4917874109224698</c:v>
                      </c:pt>
                      <c:pt idx="634">
                        <c:v>0.47747725099259175</c:v>
                      </c:pt>
                      <c:pt idx="635">
                        <c:v>0.4798634936095767</c:v>
                      </c:pt>
                      <c:pt idx="636">
                        <c:v>0.45716662873749825</c:v>
                      </c:pt>
                      <c:pt idx="637">
                        <c:v>0.42703025596756916</c:v>
                      </c:pt>
                      <c:pt idx="638">
                        <c:v>0.45208305492880618</c:v>
                      </c:pt>
                      <c:pt idx="639">
                        <c:v>0.46572731882154161</c:v>
                      </c:pt>
                      <c:pt idx="640">
                        <c:v>0.44214141516434013</c:v>
                      </c:pt>
                      <c:pt idx="641">
                        <c:v>0.44582957114960986</c:v>
                      </c:pt>
                      <c:pt idx="642">
                        <c:v>0.46137887482013618</c:v>
                      </c:pt>
                      <c:pt idx="643">
                        <c:v>0.45911545250520014</c:v>
                      </c:pt>
                      <c:pt idx="644">
                        <c:v>0.38345591564382175</c:v>
                      </c:pt>
                      <c:pt idx="645">
                        <c:v>0.46474602936313891</c:v>
                      </c:pt>
                      <c:pt idx="646">
                        <c:v>0.49045375890892684</c:v>
                      </c:pt>
                      <c:pt idx="647">
                        <c:v>0.47552429336298596</c:v>
                      </c:pt>
                      <c:pt idx="648">
                        <c:v>0.48550162069259661</c:v>
                      </c:pt>
                      <c:pt idx="649">
                        <c:v>0.44937038502495485</c:v>
                      </c:pt>
                      <c:pt idx="650">
                        <c:v>0.45438988509053679</c:v>
                      </c:pt>
                      <c:pt idx="651">
                        <c:v>0.4799148513776903</c:v>
                      </c:pt>
                      <c:pt idx="652">
                        <c:v>0.44175032611563902</c:v>
                      </c:pt>
                      <c:pt idx="653">
                        <c:v>0.47376743239481844</c:v>
                      </c:pt>
                      <c:pt idx="654">
                        <c:v>0.44780888384068707</c:v>
                      </c:pt>
                      <c:pt idx="655">
                        <c:v>0.44539231646827271</c:v>
                      </c:pt>
                      <c:pt idx="656">
                        <c:v>0.43179245074368522</c:v>
                      </c:pt>
                      <c:pt idx="657">
                        <c:v>0.43970607987418853</c:v>
                      </c:pt>
                      <c:pt idx="658">
                        <c:v>0.38957179902123507</c:v>
                      </c:pt>
                      <c:pt idx="659">
                        <c:v>0.49389074756553919</c:v>
                      </c:pt>
                      <c:pt idx="660">
                        <c:v>0.47587554245964347</c:v>
                      </c:pt>
                      <c:pt idx="661">
                        <c:v>0.47393822362511484</c:v>
                      </c:pt>
                      <c:pt idx="662">
                        <c:v>0.47391204472931769</c:v>
                      </c:pt>
                      <c:pt idx="663">
                        <c:v>0.43503022105171607</c:v>
                      </c:pt>
                      <c:pt idx="664">
                        <c:v>0.48382150266199386</c:v>
                      </c:pt>
                      <c:pt idx="665">
                        <c:v>0.40419922499322825</c:v>
                      </c:pt>
                      <c:pt idx="666">
                        <c:v>0.43718084153893022</c:v>
                      </c:pt>
                      <c:pt idx="667">
                        <c:v>0.44298554963291559</c:v>
                      </c:pt>
                      <c:pt idx="668">
                        <c:v>0.43777607469681579</c:v>
                      </c:pt>
                      <c:pt idx="669">
                        <c:v>0.49071223684483489</c:v>
                      </c:pt>
                      <c:pt idx="670">
                        <c:v>0.44344329742382271</c:v>
                      </c:pt>
                      <c:pt idx="671">
                        <c:v>0.45523371627878206</c:v>
                      </c:pt>
                      <c:pt idx="672">
                        <c:v>0.46382994957345813</c:v>
                      </c:pt>
                      <c:pt idx="673">
                        <c:v>0.48033767370125147</c:v>
                      </c:pt>
                      <c:pt idx="674">
                        <c:v>0.45598512212440112</c:v>
                      </c:pt>
                      <c:pt idx="675">
                        <c:v>0.46795108458094958</c:v>
                      </c:pt>
                      <c:pt idx="676">
                        <c:v>0.45281640240806076</c:v>
                      </c:pt>
                      <c:pt idx="677">
                        <c:v>0.47337110072047373</c:v>
                      </c:pt>
                      <c:pt idx="678">
                        <c:v>0.47089401962797561</c:v>
                      </c:pt>
                      <c:pt idx="679">
                        <c:v>0.46074679438177379</c:v>
                      </c:pt>
                      <c:pt idx="680">
                        <c:v>0.44511453407062529</c:v>
                      </c:pt>
                      <c:pt idx="681">
                        <c:v>0.4046147381745091</c:v>
                      </c:pt>
                      <c:pt idx="682">
                        <c:v>0.45133406020937539</c:v>
                      </c:pt>
                      <c:pt idx="683">
                        <c:v>0.47978644381024482</c:v>
                      </c:pt>
                      <c:pt idx="684">
                        <c:v>0.47790457390606411</c:v>
                      </c:pt>
                      <c:pt idx="685">
                        <c:v>0.44203294833523121</c:v>
                      </c:pt>
                      <c:pt idx="686">
                        <c:v>0.49556662050591171</c:v>
                      </c:pt>
                      <c:pt idx="687">
                        <c:v>0.42316136257943771</c:v>
                      </c:pt>
                      <c:pt idx="688">
                        <c:v>0.47238995306205434</c:v>
                      </c:pt>
                      <c:pt idx="689">
                        <c:v>0.48117803366197975</c:v>
                      </c:pt>
                      <c:pt idx="690">
                        <c:v>0.47027855699616672</c:v>
                      </c:pt>
                      <c:pt idx="691">
                        <c:v>0.43627580767251617</c:v>
                      </c:pt>
                      <c:pt idx="692">
                        <c:v>0.45965312957731652</c:v>
                      </c:pt>
                      <c:pt idx="693">
                        <c:v>0.44385093960916544</c:v>
                      </c:pt>
                      <c:pt idx="694">
                        <c:v>0.42370813984790701</c:v>
                      </c:pt>
                      <c:pt idx="695">
                        <c:v>0.47767965817319569</c:v>
                      </c:pt>
                      <c:pt idx="696">
                        <c:v>0.49866014428016459</c:v>
                      </c:pt>
                      <c:pt idx="697">
                        <c:v>0.46573102044795167</c:v>
                      </c:pt>
                      <c:pt idx="698">
                        <c:v>0.4347140645683516</c:v>
                      </c:pt>
                      <c:pt idx="699">
                        <c:v>0.46836233270052219</c:v>
                      </c:pt>
                      <c:pt idx="700">
                        <c:v>0.47684466330626663</c:v>
                      </c:pt>
                      <c:pt idx="701">
                        <c:v>0.46815995942415678</c:v>
                      </c:pt>
                      <c:pt idx="702">
                        <c:v>0.44626954879531322</c:v>
                      </c:pt>
                      <c:pt idx="703">
                        <c:v>0.46462968905114432</c:v>
                      </c:pt>
                      <c:pt idx="704">
                        <c:v>0.47032674643984751</c:v>
                      </c:pt>
                      <c:pt idx="705">
                        <c:v>0.5096481171739724</c:v>
                      </c:pt>
                      <c:pt idx="706">
                        <c:v>0.47272679646570959</c:v>
                      </c:pt>
                      <c:pt idx="707">
                        <c:v>0.46356905592234865</c:v>
                      </c:pt>
                      <c:pt idx="708">
                        <c:v>0.46551532836129916</c:v>
                      </c:pt>
                      <c:pt idx="709">
                        <c:v>0.43663096828384296</c:v>
                      </c:pt>
                      <c:pt idx="710">
                        <c:v>0.46623937282931416</c:v>
                      </c:pt>
                      <c:pt idx="711">
                        <c:v>0.42735592444966963</c:v>
                      </c:pt>
                      <c:pt idx="712">
                        <c:v>0.47181931312180314</c:v>
                      </c:pt>
                      <c:pt idx="713">
                        <c:v>0.46951019270541616</c:v>
                      </c:pt>
                      <c:pt idx="714">
                        <c:v>0.47905814082956999</c:v>
                      </c:pt>
                      <c:pt idx="715">
                        <c:v>0.48976937120611908</c:v>
                      </c:pt>
                      <c:pt idx="716">
                        <c:v>0.4554276745337229</c:v>
                      </c:pt>
                      <c:pt idx="717">
                        <c:v>0.47526625940595868</c:v>
                      </c:pt>
                      <c:pt idx="718">
                        <c:v>0.47652382634040014</c:v>
                      </c:pt>
                      <c:pt idx="719">
                        <c:v>0.47222163799658001</c:v>
                      </c:pt>
                      <c:pt idx="720">
                        <c:v>0.48993954149631902</c:v>
                      </c:pt>
                      <c:pt idx="721">
                        <c:v>0.46780585155370691</c:v>
                      </c:pt>
                      <c:pt idx="722">
                        <c:v>0.47763853958976377</c:v>
                      </c:pt>
                      <c:pt idx="723">
                        <c:v>0.45227029044973355</c:v>
                      </c:pt>
                      <c:pt idx="724">
                        <c:v>0.49034096020203433</c:v>
                      </c:pt>
                      <c:pt idx="725">
                        <c:v>0.46458617092607946</c:v>
                      </c:pt>
                      <c:pt idx="726">
                        <c:v>0.45899549617098989</c:v>
                      </c:pt>
                      <c:pt idx="727">
                        <c:v>0.46580740758362094</c:v>
                      </c:pt>
                      <c:pt idx="728">
                        <c:v>0.49038853477767197</c:v>
                      </c:pt>
                      <c:pt idx="729">
                        <c:v>0.46885671112888572</c:v>
                      </c:pt>
                      <c:pt idx="730">
                        <c:v>0.45029880624971708</c:v>
                      </c:pt>
                      <c:pt idx="731">
                        <c:v>0.47388435826092601</c:v>
                      </c:pt>
                      <c:pt idx="732">
                        <c:v>0.45477319329370558</c:v>
                      </c:pt>
                      <c:pt idx="733">
                        <c:v>0.43707490777710789</c:v>
                      </c:pt>
                      <c:pt idx="734">
                        <c:v>0.44797469652528332</c:v>
                      </c:pt>
                      <c:pt idx="735">
                        <c:v>0.495449274651103</c:v>
                      </c:pt>
                      <c:pt idx="736">
                        <c:v>0.49393399821978679</c:v>
                      </c:pt>
                      <c:pt idx="737">
                        <c:v>0.40592153180216317</c:v>
                      </c:pt>
                      <c:pt idx="738">
                        <c:v>0.47376113314944202</c:v>
                      </c:pt>
                      <c:pt idx="739">
                        <c:v>0.46683499410883145</c:v>
                      </c:pt>
                      <c:pt idx="740">
                        <c:v>0.44317307191799671</c:v>
                      </c:pt>
                      <c:pt idx="741">
                        <c:v>0.48772366454231086</c:v>
                      </c:pt>
                      <c:pt idx="742">
                        <c:v>0.47993436866153139</c:v>
                      </c:pt>
                      <c:pt idx="743">
                        <c:v>0.46083871706992863</c:v>
                      </c:pt>
                      <c:pt idx="744">
                        <c:v>0.48006129551626042</c:v>
                      </c:pt>
                      <c:pt idx="745">
                        <c:v>0.45356075573357701</c:v>
                      </c:pt>
                      <c:pt idx="746">
                        <c:v>0.47995918557232442</c:v>
                      </c:pt>
                      <c:pt idx="747">
                        <c:v>0.49985543402297061</c:v>
                      </c:pt>
                      <c:pt idx="748">
                        <c:v>0.48269489421066991</c:v>
                      </c:pt>
                      <c:pt idx="749">
                        <c:v>0.42738708815526749</c:v>
                      </c:pt>
                      <c:pt idx="750">
                        <c:v>0.46385962424489735</c:v>
                      </c:pt>
                      <c:pt idx="751">
                        <c:v>0.48651527567046116</c:v>
                      </c:pt>
                      <c:pt idx="752">
                        <c:v>0.44250271526398643</c:v>
                      </c:pt>
                      <c:pt idx="753">
                        <c:v>0.44666761285877099</c:v>
                      </c:pt>
                      <c:pt idx="754">
                        <c:v>0.48988491801662093</c:v>
                      </c:pt>
                      <c:pt idx="755">
                        <c:v>0.44631854712929164</c:v>
                      </c:pt>
                      <c:pt idx="756">
                        <c:v>0.50228876183785842</c:v>
                      </c:pt>
                      <c:pt idx="757">
                        <c:v>0.44903071957213059</c:v>
                      </c:pt>
                      <c:pt idx="758">
                        <c:v>0.43961183349162125</c:v>
                      </c:pt>
                      <c:pt idx="759">
                        <c:v>0.37195005039602624</c:v>
                      </c:pt>
                      <c:pt idx="760">
                        <c:v>0.44544990439897281</c:v>
                      </c:pt>
                      <c:pt idx="761">
                        <c:v>0.40070064167701003</c:v>
                      </c:pt>
                      <c:pt idx="762">
                        <c:v>0.47840245493236333</c:v>
                      </c:pt>
                      <c:pt idx="763">
                        <c:v>0.44613674170271378</c:v>
                      </c:pt>
                      <c:pt idx="764">
                        <c:v>0.43763396208154548</c:v>
                      </c:pt>
                      <c:pt idx="765">
                        <c:v>0.43374784303461134</c:v>
                      </c:pt>
                      <c:pt idx="766">
                        <c:v>0.45256652042304357</c:v>
                      </c:pt>
                      <c:pt idx="767">
                        <c:v>0.46466289472684053</c:v>
                      </c:pt>
                      <c:pt idx="768">
                        <c:v>0.45422568072069458</c:v>
                      </c:pt>
                      <c:pt idx="769">
                        <c:v>0.46004825281905903</c:v>
                      </c:pt>
                      <c:pt idx="770">
                        <c:v>0.44331949258801195</c:v>
                      </c:pt>
                      <c:pt idx="771">
                        <c:v>0.48067114895038277</c:v>
                      </c:pt>
                      <c:pt idx="772">
                        <c:v>0.38467436660140653</c:v>
                      </c:pt>
                      <c:pt idx="773">
                        <c:v>0.4540428231243927</c:v>
                      </c:pt>
                      <c:pt idx="774">
                        <c:v>0.44849932376615453</c:v>
                      </c:pt>
                      <c:pt idx="775">
                        <c:v>0.40342229412090891</c:v>
                      </c:pt>
                      <c:pt idx="776">
                        <c:v>0.47517324875365019</c:v>
                      </c:pt>
                      <c:pt idx="777">
                        <c:v>0.46170892433600175</c:v>
                      </c:pt>
                      <c:pt idx="778">
                        <c:v>0.470251366227592</c:v>
                      </c:pt>
                      <c:pt idx="779">
                        <c:v>0.43773854573889426</c:v>
                      </c:pt>
                      <c:pt idx="780">
                        <c:v>0.46115979533352669</c:v>
                      </c:pt>
                      <c:pt idx="781">
                        <c:v>0.49401718386985594</c:v>
                      </c:pt>
                      <c:pt idx="782">
                        <c:v>0.47293749956904052</c:v>
                      </c:pt>
                      <c:pt idx="783">
                        <c:v>0.44627667324635145</c:v>
                      </c:pt>
                      <c:pt idx="784">
                        <c:v>0.48733918376056429</c:v>
                      </c:pt>
                      <c:pt idx="785">
                        <c:v>0.46718242400327492</c:v>
                      </c:pt>
                      <c:pt idx="786">
                        <c:v>0.44285247749216516</c:v>
                      </c:pt>
                      <c:pt idx="787">
                        <c:v>0.45524588898498108</c:v>
                      </c:pt>
                      <c:pt idx="788">
                        <c:v>0.4126781739210319</c:v>
                      </c:pt>
                      <c:pt idx="789">
                        <c:v>0.4303550016552673</c:v>
                      </c:pt>
                      <c:pt idx="790">
                        <c:v>0.45506616458805316</c:v>
                      </c:pt>
                      <c:pt idx="791">
                        <c:v>0.43429042962599906</c:v>
                      </c:pt>
                      <c:pt idx="792">
                        <c:v>0.43793367045067422</c:v>
                      </c:pt>
                      <c:pt idx="793">
                        <c:v>0.45937726715992078</c:v>
                      </c:pt>
                      <c:pt idx="794">
                        <c:v>0.45058049123999289</c:v>
                      </c:pt>
                      <c:pt idx="795">
                        <c:v>0.44661260677362202</c:v>
                      </c:pt>
                      <c:pt idx="796">
                        <c:v>0.45947848401248148</c:v>
                      </c:pt>
                      <c:pt idx="797">
                        <c:v>0.38994176906164402</c:v>
                      </c:pt>
                      <c:pt idx="798">
                        <c:v>0.43711982577682429</c:v>
                      </c:pt>
                      <c:pt idx="799">
                        <c:v>0.42712190714815401</c:v>
                      </c:pt>
                      <c:pt idx="800">
                        <c:v>0.45313843833339695</c:v>
                      </c:pt>
                      <c:pt idx="801">
                        <c:v>0.4598799833641809</c:v>
                      </c:pt>
                      <c:pt idx="802">
                        <c:v>0.45434304554346694</c:v>
                      </c:pt>
                      <c:pt idx="803">
                        <c:v>0.43189553859862162</c:v>
                      </c:pt>
                      <c:pt idx="804">
                        <c:v>0.46953116311741283</c:v>
                      </c:pt>
                      <c:pt idx="805">
                        <c:v>0.46490449261841249</c:v>
                      </c:pt>
                      <c:pt idx="806">
                        <c:v>0.4939555721583837</c:v>
                      </c:pt>
                      <c:pt idx="807">
                        <c:v>0.49007324853163459</c:v>
                      </c:pt>
                      <c:pt idx="808">
                        <c:v>0.4450752055586138</c:v>
                      </c:pt>
                      <c:pt idx="809">
                        <c:v>0.44924288062111217</c:v>
                      </c:pt>
                      <c:pt idx="810">
                        <c:v>0.42503030408734466</c:v>
                      </c:pt>
                      <c:pt idx="811">
                        <c:v>0.45558118639168654</c:v>
                      </c:pt>
                      <c:pt idx="812">
                        <c:v>0.48028849795409156</c:v>
                      </c:pt>
                      <c:pt idx="813">
                        <c:v>0.45585478256048284</c:v>
                      </c:pt>
                      <c:pt idx="814">
                        <c:v>0.48676995035921711</c:v>
                      </c:pt>
                      <c:pt idx="815">
                        <c:v>0.43142314655932745</c:v>
                      </c:pt>
                      <c:pt idx="816">
                        <c:v>0.47208633445590986</c:v>
                      </c:pt>
                      <c:pt idx="817">
                        <c:v>0.47792135581587858</c:v>
                      </c:pt>
                      <c:pt idx="818">
                        <c:v>0.49024435213748485</c:v>
                      </c:pt>
                      <c:pt idx="819">
                        <c:v>0.47456879711150246</c:v>
                      </c:pt>
                      <c:pt idx="820">
                        <c:v>0.49590937984350814</c:v>
                      </c:pt>
                      <c:pt idx="821">
                        <c:v>0.4546269383300181</c:v>
                      </c:pt>
                      <c:pt idx="822">
                        <c:v>0.46471411561509401</c:v>
                      </c:pt>
                      <c:pt idx="823">
                        <c:v>0.41242016805402537</c:v>
                      </c:pt>
                      <c:pt idx="824">
                        <c:v>0.42693121013916513</c:v>
                      </c:pt>
                      <c:pt idx="825">
                        <c:v>0.48027457848024113</c:v>
                      </c:pt>
                      <c:pt idx="826">
                        <c:v>0.44879830119356501</c:v>
                      </c:pt>
                      <c:pt idx="827">
                        <c:v>0.43631244360836696</c:v>
                      </c:pt>
                      <c:pt idx="828">
                        <c:v>0.45614761903354806</c:v>
                      </c:pt>
                      <c:pt idx="829">
                        <c:v>0.44166180421786416</c:v>
                      </c:pt>
                      <c:pt idx="830">
                        <c:v>0.44766461006561031</c:v>
                      </c:pt>
                      <c:pt idx="831">
                        <c:v>0.466986499278643</c:v>
                      </c:pt>
                      <c:pt idx="832">
                        <c:v>0.4678921351367229</c:v>
                      </c:pt>
                      <c:pt idx="833">
                        <c:v>0.47029728938218263</c:v>
                      </c:pt>
                      <c:pt idx="834">
                        <c:v>0.42897203762911151</c:v>
                      </c:pt>
                      <c:pt idx="835">
                        <c:v>0.42889141578779566</c:v>
                      </c:pt>
                      <c:pt idx="836">
                        <c:v>0.46842828947427151</c:v>
                      </c:pt>
                      <c:pt idx="837">
                        <c:v>0.4607450826744508</c:v>
                      </c:pt>
                      <c:pt idx="838">
                        <c:v>0.48035906869434863</c:v>
                      </c:pt>
                      <c:pt idx="839">
                        <c:v>0.46787756226962762</c:v>
                      </c:pt>
                      <c:pt idx="840">
                        <c:v>0.48079229034977189</c:v>
                      </c:pt>
                      <c:pt idx="841">
                        <c:v>0.41233849617058893</c:v>
                      </c:pt>
                      <c:pt idx="842">
                        <c:v>0.47173025354827103</c:v>
                      </c:pt>
                      <c:pt idx="843">
                        <c:v>0.47931668354405654</c:v>
                      </c:pt>
                      <c:pt idx="844">
                        <c:v>0.45984063535799713</c:v>
                      </c:pt>
                      <c:pt idx="845">
                        <c:v>0.44076002727497232</c:v>
                      </c:pt>
                      <c:pt idx="846">
                        <c:v>0.41287232098899573</c:v>
                      </c:pt>
                      <c:pt idx="847">
                        <c:v>0.46843050663142183</c:v>
                      </c:pt>
                      <c:pt idx="848">
                        <c:v>0.40782944444504854</c:v>
                      </c:pt>
                      <c:pt idx="849">
                        <c:v>0.4782333012560398</c:v>
                      </c:pt>
                      <c:pt idx="850">
                        <c:v>0.48259977210791649</c:v>
                      </c:pt>
                      <c:pt idx="851">
                        <c:v>0.43202032207085383</c:v>
                      </c:pt>
                      <c:pt idx="852">
                        <c:v>0.47441888182490466</c:v>
                      </c:pt>
                      <c:pt idx="853">
                        <c:v>0.50382898623473427</c:v>
                      </c:pt>
                      <c:pt idx="854">
                        <c:v>0.49615577389035015</c:v>
                      </c:pt>
                      <c:pt idx="855">
                        <c:v>0.41640580814693728</c:v>
                      </c:pt>
                      <c:pt idx="856">
                        <c:v>0.46260269011056221</c:v>
                      </c:pt>
                      <c:pt idx="857">
                        <c:v>0.40131844956351825</c:v>
                      </c:pt>
                      <c:pt idx="858">
                        <c:v>0.46241344610032931</c:v>
                      </c:pt>
                      <c:pt idx="859">
                        <c:v>0.5053278141453732</c:v>
                      </c:pt>
                      <c:pt idx="860">
                        <c:v>0.47427475574811062</c:v>
                      </c:pt>
                      <c:pt idx="861">
                        <c:v>0.40672545459955756</c:v>
                      </c:pt>
                      <c:pt idx="862">
                        <c:v>0.47321004365410979</c:v>
                      </c:pt>
                      <c:pt idx="863">
                        <c:v>0.43689754662871372</c:v>
                      </c:pt>
                      <c:pt idx="864">
                        <c:v>0.42592984503020381</c:v>
                      </c:pt>
                      <c:pt idx="865">
                        <c:v>0.47865942226960612</c:v>
                      </c:pt>
                      <c:pt idx="866">
                        <c:v>0.46019101843283394</c:v>
                      </c:pt>
                      <c:pt idx="867">
                        <c:v>0.4827194899699796</c:v>
                      </c:pt>
                      <c:pt idx="868">
                        <c:v>0.47224553175019235</c:v>
                      </c:pt>
                      <c:pt idx="869">
                        <c:v>0.46083111013527023</c:v>
                      </c:pt>
                      <c:pt idx="870">
                        <c:v>0.46907553222031795</c:v>
                      </c:pt>
                      <c:pt idx="871">
                        <c:v>0.43780180003245439</c:v>
                      </c:pt>
                      <c:pt idx="872">
                        <c:v>0.45943597441973338</c:v>
                      </c:pt>
                      <c:pt idx="873">
                        <c:v>0.46093129956174406</c:v>
                      </c:pt>
                      <c:pt idx="874">
                        <c:v>0.49299803688788701</c:v>
                      </c:pt>
                      <c:pt idx="875">
                        <c:v>0.45817994446302168</c:v>
                      </c:pt>
                      <c:pt idx="876">
                        <c:v>0.43534997687405208</c:v>
                      </c:pt>
                      <c:pt idx="877">
                        <c:v>0.52929548223090506</c:v>
                      </c:pt>
                      <c:pt idx="878">
                        <c:v>0.45082476588248777</c:v>
                      </c:pt>
                      <c:pt idx="879">
                        <c:v>0.44994209429681753</c:v>
                      </c:pt>
                      <c:pt idx="880">
                        <c:v>0.45393910656515413</c:v>
                      </c:pt>
                      <c:pt idx="881">
                        <c:v>0.49223207393769219</c:v>
                      </c:pt>
                      <c:pt idx="882">
                        <c:v>0.46619029983272231</c:v>
                      </c:pt>
                      <c:pt idx="883">
                        <c:v>0.44813321021610064</c:v>
                      </c:pt>
                      <c:pt idx="884">
                        <c:v>0.46918772595402713</c:v>
                      </c:pt>
                      <c:pt idx="885">
                        <c:v>0.46238409555727844</c:v>
                      </c:pt>
                      <c:pt idx="886">
                        <c:v>0.49004796348541957</c:v>
                      </c:pt>
                      <c:pt idx="887">
                        <c:v>0.46901784822741055</c:v>
                      </c:pt>
                      <c:pt idx="888">
                        <c:v>0.46439955560258994</c:v>
                      </c:pt>
                      <c:pt idx="889">
                        <c:v>0.49407173393899417</c:v>
                      </c:pt>
                      <c:pt idx="890">
                        <c:v>0.44637708848310154</c:v>
                      </c:pt>
                      <c:pt idx="891">
                        <c:v>0.42762306491189395</c:v>
                      </c:pt>
                      <c:pt idx="892">
                        <c:v>0.42085659777828677</c:v>
                      </c:pt>
                      <c:pt idx="893">
                        <c:v>0.49471907543120097</c:v>
                      </c:pt>
                      <c:pt idx="894">
                        <c:v>0.47272472618386874</c:v>
                      </c:pt>
                      <c:pt idx="895">
                        <c:v>0.45857943722572214</c:v>
                      </c:pt>
                      <c:pt idx="896">
                        <c:v>0.47155796166074637</c:v>
                      </c:pt>
                      <c:pt idx="897">
                        <c:v>0.44218353710734415</c:v>
                      </c:pt>
                      <c:pt idx="898">
                        <c:v>0.42925344540600374</c:v>
                      </c:pt>
                      <c:pt idx="899">
                        <c:v>0.47203095763991398</c:v>
                      </c:pt>
                      <c:pt idx="900">
                        <c:v>0.47700005832845505</c:v>
                      </c:pt>
                      <c:pt idx="901">
                        <c:v>0.46243581491760311</c:v>
                      </c:pt>
                      <c:pt idx="902">
                        <c:v>0.46286107677996768</c:v>
                      </c:pt>
                      <c:pt idx="903">
                        <c:v>0.44456925273189163</c:v>
                      </c:pt>
                      <c:pt idx="904">
                        <c:v>0.48057654939027272</c:v>
                      </c:pt>
                      <c:pt idx="905">
                        <c:v>0.43336928113019302</c:v>
                      </c:pt>
                      <c:pt idx="906">
                        <c:v>0.46049060991096624</c:v>
                      </c:pt>
                      <c:pt idx="907">
                        <c:v>0.47598890058699417</c:v>
                      </c:pt>
                      <c:pt idx="908">
                        <c:v>0.45390094171278528</c:v>
                      </c:pt>
                      <c:pt idx="909">
                        <c:v>0.46077522258822601</c:v>
                      </c:pt>
                      <c:pt idx="910">
                        <c:v>0.40421026847572739</c:v>
                      </c:pt>
                      <c:pt idx="911">
                        <c:v>0.45350576079354377</c:v>
                      </c:pt>
                      <c:pt idx="912">
                        <c:v>0.47827626451126681</c:v>
                      </c:pt>
                      <c:pt idx="913">
                        <c:v>0.47518489918750495</c:v>
                      </c:pt>
                      <c:pt idx="914">
                        <c:v>0.43588830981829019</c:v>
                      </c:pt>
                      <c:pt idx="915">
                        <c:v>0.42073437027980853</c:v>
                      </c:pt>
                      <c:pt idx="916">
                        <c:v>0.43176171509856864</c:v>
                      </c:pt>
                      <c:pt idx="917">
                        <c:v>0.42392032390801471</c:v>
                      </c:pt>
                      <c:pt idx="918">
                        <c:v>0.44075466409531572</c:v>
                      </c:pt>
                      <c:pt idx="919">
                        <c:v>0.46467237699965303</c:v>
                      </c:pt>
                      <c:pt idx="920">
                        <c:v>0.43245911185972008</c:v>
                      </c:pt>
                      <c:pt idx="921">
                        <c:v>0.46937704175387673</c:v>
                      </c:pt>
                      <c:pt idx="922">
                        <c:v>0.47982494315834456</c:v>
                      </c:pt>
                      <c:pt idx="923">
                        <c:v>0.47884811180409015</c:v>
                      </c:pt>
                      <c:pt idx="924">
                        <c:v>0.48144744597696909</c:v>
                      </c:pt>
                      <c:pt idx="925">
                        <c:v>0.43875751942013186</c:v>
                      </c:pt>
                      <c:pt idx="926">
                        <c:v>0.45578317941139801</c:v>
                      </c:pt>
                      <c:pt idx="927">
                        <c:v>0.42466201484707788</c:v>
                      </c:pt>
                      <c:pt idx="928">
                        <c:v>0.40881625109240383</c:v>
                      </c:pt>
                      <c:pt idx="929">
                        <c:v>0.41560297994112139</c:v>
                      </c:pt>
                      <c:pt idx="930">
                        <c:v>0.45269787396635297</c:v>
                      </c:pt>
                      <c:pt idx="931">
                        <c:v>0.46596497529853265</c:v>
                      </c:pt>
                      <c:pt idx="932">
                        <c:v>0.4700221631708128</c:v>
                      </c:pt>
                      <c:pt idx="933">
                        <c:v>0.45490245978721378</c:v>
                      </c:pt>
                      <c:pt idx="934">
                        <c:v>0.4357903438046502</c:v>
                      </c:pt>
                      <c:pt idx="935">
                        <c:v>0.48211022676645077</c:v>
                      </c:pt>
                      <c:pt idx="936">
                        <c:v>0.46082592817276269</c:v>
                      </c:pt>
                      <c:pt idx="937">
                        <c:v>0.46573385133560508</c:v>
                      </c:pt>
                      <c:pt idx="938">
                        <c:v>0.44103449096026814</c:v>
                      </c:pt>
                      <c:pt idx="939">
                        <c:v>0.48549691537488582</c:v>
                      </c:pt>
                      <c:pt idx="940">
                        <c:v>0.43171013998711461</c:v>
                      </c:pt>
                      <c:pt idx="941">
                        <c:v>0.43872293078080826</c:v>
                      </c:pt>
                      <c:pt idx="942">
                        <c:v>0.474303155718939</c:v>
                      </c:pt>
                      <c:pt idx="943">
                        <c:v>0.4622566381958082</c:v>
                      </c:pt>
                      <c:pt idx="944">
                        <c:v>0.45349018638278493</c:v>
                      </c:pt>
                      <c:pt idx="945">
                        <c:v>0.43240592167817016</c:v>
                      </c:pt>
                      <c:pt idx="946">
                        <c:v>0.43283914250699751</c:v>
                      </c:pt>
                      <c:pt idx="947">
                        <c:v>0.42342670571454888</c:v>
                      </c:pt>
                      <c:pt idx="948">
                        <c:v>0.45564728006906652</c:v>
                      </c:pt>
                      <c:pt idx="949">
                        <c:v>0.4668404170090068</c:v>
                      </c:pt>
                      <c:pt idx="950">
                        <c:v>0.42796273380295125</c:v>
                      </c:pt>
                      <c:pt idx="951">
                        <c:v>0.43581591398648567</c:v>
                      </c:pt>
                      <c:pt idx="952">
                        <c:v>0.44073009131809049</c:v>
                      </c:pt>
                      <c:pt idx="953">
                        <c:v>0.42501404046924085</c:v>
                      </c:pt>
                      <c:pt idx="954">
                        <c:v>0.50043881564211423</c:v>
                      </c:pt>
                      <c:pt idx="955">
                        <c:v>0.43822932120711933</c:v>
                      </c:pt>
                      <c:pt idx="956">
                        <c:v>0.48624157140737778</c:v>
                      </c:pt>
                      <c:pt idx="957">
                        <c:v>0.4579391255652554</c:v>
                      </c:pt>
                      <c:pt idx="958">
                        <c:v>0.48183437943852336</c:v>
                      </c:pt>
                      <c:pt idx="959">
                        <c:v>0.45012156406927439</c:v>
                      </c:pt>
                      <c:pt idx="960">
                        <c:v>0.48213396147156651</c:v>
                      </c:pt>
                      <c:pt idx="961">
                        <c:v>0.46777697812839714</c:v>
                      </c:pt>
                      <c:pt idx="962">
                        <c:v>0.45370318638759199</c:v>
                      </c:pt>
                      <c:pt idx="963">
                        <c:v>0.44524830842416963</c:v>
                      </c:pt>
                      <c:pt idx="964">
                        <c:v>0.47435388929683153</c:v>
                      </c:pt>
                      <c:pt idx="965">
                        <c:v>0.47436208577944416</c:v>
                      </c:pt>
                      <c:pt idx="966">
                        <c:v>0.46956759832191941</c:v>
                      </c:pt>
                      <c:pt idx="967">
                        <c:v>0.46417154901882407</c:v>
                      </c:pt>
                      <c:pt idx="968">
                        <c:v>0.41329123393347045</c:v>
                      </c:pt>
                      <c:pt idx="969">
                        <c:v>0.40550403207299457</c:v>
                      </c:pt>
                      <c:pt idx="970">
                        <c:v>0.47503557253711781</c:v>
                      </c:pt>
                      <c:pt idx="971">
                        <c:v>0.48451716758599273</c:v>
                      </c:pt>
                      <c:pt idx="972">
                        <c:v>0.50308501765036384</c:v>
                      </c:pt>
                      <c:pt idx="973">
                        <c:v>0.44532540626273209</c:v>
                      </c:pt>
                      <c:pt idx="974">
                        <c:v>0.50573088090956309</c:v>
                      </c:pt>
                      <c:pt idx="975">
                        <c:v>0.46196314526341276</c:v>
                      </c:pt>
                      <c:pt idx="976">
                        <c:v>0.46618229137674172</c:v>
                      </c:pt>
                      <c:pt idx="977">
                        <c:v>0.44672703941208347</c:v>
                      </c:pt>
                      <c:pt idx="978">
                        <c:v>0.48420356814902665</c:v>
                      </c:pt>
                      <c:pt idx="979">
                        <c:v>0.46175129754454236</c:v>
                      </c:pt>
                      <c:pt idx="980">
                        <c:v>0.46443158260339579</c:v>
                      </c:pt>
                      <c:pt idx="981">
                        <c:v>0.46177870746076088</c:v>
                      </c:pt>
                      <c:pt idx="982">
                        <c:v>0.49840739751384189</c:v>
                      </c:pt>
                      <c:pt idx="983">
                        <c:v>0.45529965139602568</c:v>
                      </c:pt>
                      <c:pt idx="984">
                        <c:v>0.46554158371042287</c:v>
                      </c:pt>
                      <c:pt idx="985">
                        <c:v>0.44351785149220824</c:v>
                      </c:pt>
                      <c:pt idx="986">
                        <c:v>0.46547373916369073</c:v>
                      </c:pt>
                      <c:pt idx="987">
                        <c:v>0.47688056502358522</c:v>
                      </c:pt>
                      <c:pt idx="988">
                        <c:v>0.44865995924587798</c:v>
                      </c:pt>
                      <c:pt idx="989">
                        <c:v>0.40545609995305765</c:v>
                      </c:pt>
                      <c:pt idx="990">
                        <c:v>0.4941267829157121</c:v>
                      </c:pt>
                      <c:pt idx="991">
                        <c:v>0.46740808665165012</c:v>
                      </c:pt>
                      <c:pt idx="992">
                        <c:v>0.46850615786370864</c:v>
                      </c:pt>
                      <c:pt idx="993">
                        <c:v>0.4922196202766369</c:v>
                      </c:pt>
                      <c:pt idx="994">
                        <c:v>0.42082821560338202</c:v>
                      </c:pt>
                      <c:pt idx="995">
                        <c:v>0.43129119921622538</c:v>
                      </c:pt>
                      <c:pt idx="996">
                        <c:v>0.4675668547417855</c:v>
                      </c:pt>
                      <c:pt idx="997">
                        <c:v>0.44868536976044338</c:v>
                      </c:pt>
                      <c:pt idx="998">
                        <c:v>0.4758316230307158</c:v>
                      </c:pt>
                      <c:pt idx="999">
                        <c:v>0.45233585401113996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simulation!$J$8:$J$1007</c15:sqref>
                        </c15:formulaRef>
                      </c:ext>
                    </c:extLst>
                    <c:numCache>
                      <c:formatCode>General</c:formatCode>
                      <c:ptCount val="1000"/>
                      <c:pt idx="0">
                        <c:v>13800009.565600591</c:v>
                      </c:pt>
                      <c:pt idx="1">
                        <c:v>14385508.001296524</c:v>
                      </c:pt>
                      <c:pt idx="2">
                        <c:v>14257168.891884293</c:v>
                      </c:pt>
                      <c:pt idx="3">
                        <c:v>13490750.706846166</c:v>
                      </c:pt>
                      <c:pt idx="4">
                        <c:v>13376636.992162636</c:v>
                      </c:pt>
                      <c:pt idx="5">
                        <c:v>14371945.514519475</c:v>
                      </c:pt>
                      <c:pt idx="6">
                        <c:v>14673172.133305999</c:v>
                      </c:pt>
                      <c:pt idx="7">
                        <c:v>12652823.207140228</c:v>
                      </c:pt>
                      <c:pt idx="8">
                        <c:v>14829512.839758758</c:v>
                      </c:pt>
                      <c:pt idx="9">
                        <c:v>12975447.070294721</c:v>
                      </c:pt>
                      <c:pt idx="10">
                        <c:v>12862050.517752577</c:v>
                      </c:pt>
                      <c:pt idx="11">
                        <c:v>13374609.252403174</c:v>
                      </c:pt>
                      <c:pt idx="12">
                        <c:v>14788519.962249514</c:v>
                      </c:pt>
                      <c:pt idx="13">
                        <c:v>12378138.948059374</c:v>
                      </c:pt>
                      <c:pt idx="14">
                        <c:v>15246203.476745719</c:v>
                      </c:pt>
                      <c:pt idx="15">
                        <c:v>13811874.55261565</c:v>
                      </c:pt>
                      <c:pt idx="16">
                        <c:v>14231455.320907829</c:v>
                      </c:pt>
                      <c:pt idx="17">
                        <c:v>14330044.622974437</c:v>
                      </c:pt>
                      <c:pt idx="18">
                        <c:v>12992333.894872839</c:v>
                      </c:pt>
                      <c:pt idx="19">
                        <c:v>15336679.70720786</c:v>
                      </c:pt>
                      <c:pt idx="20">
                        <c:v>12360221.299850056</c:v>
                      </c:pt>
                      <c:pt idx="21">
                        <c:v>14214792.086736089</c:v>
                      </c:pt>
                      <c:pt idx="22">
                        <c:v>14553171.228743574</c:v>
                      </c:pt>
                      <c:pt idx="23">
                        <c:v>14332627.265548304</c:v>
                      </c:pt>
                      <c:pt idx="24">
                        <c:v>14286464.028515045</c:v>
                      </c:pt>
                      <c:pt idx="25">
                        <c:v>14506484.970859598</c:v>
                      </c:pt>
                      <c:pt idx="26">
                        <c:v>14352940.494500743</c:v>
                      </c:pt>
                      <c:pt idx="27">
                        <c:v>14351953.109081656</c:v>
                      </c:pt>
                      <c:pt idx="28">
                        <c:v>14677112.834575212</c:v>
                      </c:pt>
                      <c:pt idx="29">
                        <c:v>14756216.3059298</c:v>
                      </c:pt>
                      <c:pt idx="30">
                        <c:v>14277892.833995016</c:v>
                      </c:pt>
                      <c:pt idx="31">
                        <c:v>14210476.601449201</c:v>
                      </c:pt>
                      <c:pt idx="32">
                        <c:v>13673458.354458315</c:v>
                      </c:pt>
                      <c:pt idx="33">
                        <c:v>13654296.374913713</c:v>
                      </c:pt>
                      <c:pt idx="34">
                        <c:v>13185579.010808479</c:v>
                      </c:pt>
                      <c:pt idx="35">
                        <c:v>13027967.464371519</c:v>
                      </c:pt>
                      <c:pt idx="36">
                        <c:v>13192694.253123255</c:v>
                      </c:pt>
                      <c:pt idx="37">
                        <c:v>15044977.841065409</c:v>
                      </c:pt>
                      <c:pt idx="38">
                        <c:v>13814095.561195461</c:v>
                      </c:pt>
                      <c:pt idx="39">
                        <c:v>14145871.22041394</c:v>
                      </c:pt>
                      <c:pt idx="40">
                        <c:v>15655312.839622688</c:v>
                      </c:pt>
                      <c:pt idx="41">
                        <c:v>13220607.21893836</c:v>
                      </c:pt>
                      <c:pt idx="42">
                        <c:v>15116104.178419312</c:v>
                      </c:pt>
                      <c:pt idx="43">
                        <c:v>13119623.842380874</c:v>
                      </c:pt>
                      <c:pt idx="44">
                        <c:v>14480171.273203105</c:v>
                      </c:pt>
                      <c:pt idx="45">
                        <c:v>14133461.159500701</c:v>
                      </c:pt>
                      <c:pt idx="46">
                        <c:v>13053561.403991615</c:v>
                      </c:pt>
                      <c:pt idx="47">
                        <c:v>12141685.816082332</c:v>
                      </c:pt>
                      <c:pt idx="48">
                        <c:v>12932992.156989686</c:v>
                      </c:pt>
                      <c:pt idx="49">
                        <c:v>13819059.141278984</c:v>
                      </c:pt>
                      <c:pt idx="50">
                        <c:v>15333376.570027057</c:v>
                      </c:pt>
                      <c:pt idx="51">
                        <c:v>12361083.390579019</c:v>
                      </c:pt>
                      <c:pt idx="52">
                        <c:v>14183361.498240711</c:v>
                      </c:pt>
                      <c:pt idx="53">
                        <c:v>14034863.401012411</c:v>
                      </c:pt>
                      <c:pt idx="54">
                        <c:v>14345609.952980002</c:v>
                      </c:pt>
                      <c:pt idx="55">
                        <c:v>13650607.700689578</c:v>
                      </c:pt>
                      <c:pt idx="56">
                        <c:v>13171495.619711606</c:v>
                      </c:pt>
                      <c:pt idx="57">
                        <c:v>12784567.242633902</c:v>
                      </c:pt>
                      <c:pt idx="58">
                        <c:v>13919955.509902706</c:v>
                      </c:pt>
                      <c:pt idx="59">
                        <c:v>13584766.59816535</c:v>
                      </c:pt>
                      <c:pt idx="60">
                        <c:v>13353002.235009672</c:v>
                      </c:pt>
                      <c:pt idx="61">
                        <c:v>13804149.887683669</c:v>
                      </c:pt>
                      <c:pt idx="62">
                        <c:v>13646832.581775133</c:v>
                      </c:pt>
                      <c:pt idx="63">
                        <c:v>13683259.562004309</c:v>
                      </c:pt>
                      <c:pt idx="64">
                        <c:v>13503668.219015373</c:v>
                      </c:pt>
                      <c:pt idx="65">
                        <c:v>13058558.479099214</c:v>
                      </c:pt>
                      <c:pt idx="66">
                        <c:v>13530801.488298118</c:v>
                      </c:pt>
                      <c:pt idx="67">
                        <c:v>13501708.768165557</c:v>
                      </c:pt>
                      <c:pt idx="68">
                        <c:v>14946081.324307835</c:v>
                      </c:pt>
                      <c:pt idx="69">
                        <c:v>13674582.015815342</c:v>
                      </c:pt>
                      <c:pt idx="70">
                        <c:v>14226322.473621264</c:v>
                      </c:pt>
                      <c:pt idx="71">
                        <c:v>13247378.145022055</c:v>
                      </c:pt>
                      <c:pt idx="72">
                        <c:v>12624694.865473649</c:v>
                      </c:pt>
                      <c:pt idx="73">
                        <c:v>13712782.083863679</c:v>
                      </c:pt>
                      <c:pt idx="74">
                        <c:v>13683439.882326063</c:v>
                      </c:pt>
                      <c:pt idx="75">
                        <c:v>14144838.626648912</c:v>
                      </c:pt>
                      <c:pt idx="76">
                        <c:v>12796734.427957965</c:v>
                      </c:pt>
                      <c:pt idx="77">
                        <c:v>14149511.628252452</c:v>
                      </c:pt>
                      <c:pt idx="78">
                        <c:v>15025316.704618221</c:v>
                      </c:pt>
                      <c:pt idx="79">
                        <c:v>13537182.090918019</c:v>
                      </c:pt>
                      <c:pt idx="80">
                        <c:v>13069500.361905748</c:v>
                      </c:pt>
                      <c:pt idx="81">
                        <c:v>13323524.408102907</c:v>
                      </c:pt>
                      <c:pt idx="82">
                        <c:v>13641064.707178652</c:v>
                      </c:pt>
                      <c:pt idx="83">
                        <c:v>15009688.341840785</c:v>
                      </c:pt>
                      <c:pt idx="84">
                        <c:v>14366454.345179683</c:v>
                      </c:pt>
                      <c:pt idx="85">
                        <c:v>12449893.602661854</c:v>
                      </c:pt>
                      <c:pt idx="86">
                        <c:v>13662052.385765074</c:v>
                      </c:pt>
                      <c:pt idx="87">
                        <c:v>13973263.568408519</c:v>
                      </c:pt>
                      <c:pt idx="88">
                        <c:v>13842031.681967057</c:v>
                      </c:pt>
                      <c:pt idx="89">
                        <c:v>14800372.943579094</c:v>
                      </c:pt>
                      <c:pt idx="90">
                        <c:v>13857897.627258029</c:v>
                      </c:pt>
                      <c:pt idx="91">
                        <c:v>14458364.031146619</c:v>
                      </c:pt>
                      <c:pt idx="92">
                        <c:v>14377176.991219083</c:v>
                      </c:pt>
                      <c:pt idx="93">
                        <c:v>12446442.845495855</c:v>
                      </c:pt>
                      <c:pt idx="94">
                        <c:v>13421773.651324572</c:v>
                      </c:pt>
                      <c:pt idx="95">
                        <c:v>13584963.662650799</c:v>
                      </c:pt>
                      <c:pt idx="96">
                        <c:v>12495188.922544325</c:v>
                      </c:pt>
                      <c:pt idx="97">
                        <c:v>13640485.149882717</c:v>
                      </c:pt>
                      <c:pt idx="98">
                        <c:v>14295824.154931305</c:v>
                      </c:pt>
                      <c:pt idx="99">
                        <c:v>14326935.324699966</c:v>
                      </c:pt>
                      <c:pt idx="100">
                        <c:v>14311063.061820455</c:v>
                      </c:pt>
                      <c:pt idx="101">
                        <c:v>13120017.523707518</c:v>
                      </c:pt>
                      <c:pt idx="102">
                        <c:v>14974958.495208945</c:v>
                      </c:pt>
                      <c:pt idx="103">
                        <c:v>13518391.520637294</c:v>
                      </c:pt>
                      <c:pt idx="104">
                        <c:v>12085153.608215561</c:v>
                      </c:pt>
                      <c:pt idx="105">
                        <c:v>13025512.837730139</c:v>
                      </c:pt>
                      <c:pt idx="106">
                        <c:v>14480978.933930269</c:v>
                      </c:pt>
                      <c:pt idx="107">
                        <c:v>13621696.609867083</c:v>
                      </c:pt>
                      <c:pt idx="108">
                        <c:v>13993394.43414503</c:v>
                      </c:pt>
                      <c:pt idx="109">
                        <c:v>13843486.684442913</c:v>
                      </c:pt>
                      <c:pt idx="110">
                        <c:v>14467497.186459769</c:v>
                      </c:pt>
                      <c:pt idx="111">
                        <c:v>14514931.851386055</c:v>
                      </c:pt>
                      <c:pt idx="112">
                        <c:v>13428650.553884182</c:v>
                      </c:pt>
                      <c:pt idx="113">
                        <c:v>14060865.470298458</c:v>
                      </c:pt>
                      <c:pt idx="114">
                        <c:v>14389525.06158771</c:v>
                      </c:pt>
                      <c:pt idx="115">
                        <c:v>15082136.183925042</c:v>
                      </c:pt>
                      <c:pt idx="116">
                        <c:v>13422974.76271789</c:v>
                      </c:pt>
                      <c:pt idx="117">
                        <c:v>14414202.174741933</c:v>
                      </c:pt>
                      <c:pt idx="118">
                        <c:v>14208991.556395618</c:v>
                      </c:pt>
                      <c:pt idx="119">
                        <c:v>14349168.799854012</c:v>
                      </c:pt>
                      <c:pt idx="120">
                        <c:v>12337752.198455103</c:v>
                      </c:pt>
                      <c:pt idx="121">
                        <c:v>13082737.058054268</c:v>
                      </c:pt>
                      <c:pt idx="122">
                        <c:v>13940752.941241059</c:v>
                      </c:pt>
                      <c:pt idx="123">
                        <c:v>13730579.018991487</c:v>
                      </c:pt>
                      <c:pt idx="124">
                        <c:v>13412409.764954356</c:v>
                      </c:pt>
                      <c:pt idx="125">
                        <c:v>13568425.588097781</c:v>
                      </c:pt>
                      <c:pt idx="126">
                        <c:v>13151229.739875207</c:v>
                      </c:pt>
                      <c:pt idx="127">
                        <c:v>13962143.190492891</c:v>
                      </c:pt>
                      <c:pt idx="128">
                        <c:v>13988995.112623248</c:v>
                      </c:pt>
                      <c:pt idx="129">
                        <c:v>14267783.569008978</c:v>
                      </c:pt>
                      <c:pt idx="130">
                        <c:v>13612103.09697092</c:v>
                      </c:pt>
                      <c:pt idx="131">
                        <c:v>14142513.49416106</c:v>
                      </c:pt>
                      <c:pt idx="132">
                        <c:v>13484404.242564103</c:v>
                      </c:pt>
                      <c:pt idx="133">
                        <c:v>12626811.731648339</c:v>
                      </c:pt>
                      <c:pt idx="134">
                        <c:v>14052971.063578453</c:v>
                      </c:pt>
                      <c:pt idx="135">
                        <c:v>13596461.969027467</c:v>
                      </c:pt>
                      <c:pt idx="136">
                        <c:v>13980998.915395033</c:v>
                      </c:pt>
                      <c:pt idx="137">
                        <c:v>13426506.065462522</c:v>
                      </c:pt>
                      <c:pt idx="138">
                        <c:v>14082353.219364718</c:v>
                      </c:pt>
                      <c:pt idx="139">
                        <c:v>13715817.141161185</c:v>
                      </c:pt>
                      <c:pt idx="140">
                        <c:v>13630084.21035536</c:v>
                      </c:pt>
                      <c:pt idx="141">
                        <c:v>14567609.859134806</c:v>
                      </c:pt>
                      <c:pt idx="142">
                        <c:v>14540997.426278189</c:v>
                      </c:pt>
                      <c:pt idx="143">
                        <c:v>13783400.986609144</c:v>
                      </c:pt>
                      <c:pt idx="144">
                        <c:v>13183245.645954838</c:v>
                      </c:pt>
                      <c:pt idx="145">
                        <c:v>14644488.927034112</c:v>
                      </c:pt>
                      <c:pt idx="146">
                        <c:v>14179101.054659605</c:v>
                      </c:pt>
                      <c:pt idx="147">
                        <c:v>14345360.081621813</c:v>
                      </c:pt>
                      <c:pt idx="148">
                        <c:v>14904039.011428777</c:v>
                      </c:pt>
                      <c:pt idx="149">
                        <c:v>14402319.651853412</c:v>
                      </c:pt>
                      <c:pt idx="150">
                        <c:v>14571066.538445387</c:v>
                      </c:pt>
                      <c:pt idx="151">
                        <c:v>14404044.494030479</c:v>
                      </c:pt>
                      <c:pt idx="152">
                        <c:v>15665431.918470409</c:v>
                      </c:pt>
                      <c:pt idx="153">
                        <c:v>15401278.570838893</c:v>
                      </c:pt>
                      <c:pt idx="154">
                        <c:v>13828118.695764286</c:v>
                      </c:pt>
                      <c:pt idx="155">
                        <c:v>14355242.875333009</c:v>
                      </c:pt>
                      <c:pt idx="156">
                        <c:v>14943189.604840834</c:v>
                      </c:pt>
                      <c:pt idx="157">
                        <c:v>14636707.200401593</c:v>
                      </c:pt>
                      <c:pt idx="158">
                        <c:v>13919663.098123763</c:v>
                      </c:pt>
                      <c:pt idx="159">
                        <c:v>14012131.425750805</c:v>
                      </c:pt>
                      <c:pt idx="160">
                        <c:v>13557768.579079019</c:v>
                      </c:pt>
                      <c:pt idx="161">
                        <c:v>14273706.663147079</c:v>
                      </c:pt>
                      <c:pt idx="162">
                        <c:v>13812258.67357539</c:v>
                      </c:pt>
                      <c:pt idx="163">
                        <c:v>13486475.908814151</c:v>
                      </c:pt>
                      <c:pt idx="164">
                        <c:v>13218678.153971288</c:v>
                      </c:pt>
                      <c:pt idx="165">
                        <c:v>13847468.968959114</c:v>
                      </c:pt>
                      <c:pt idx="166">
                        <c:v>13214340.445262192</c:v>
                      </c:pt>
                      <c:pt idx="167">
                        <c:v>13953542.734654827</c:v>
                      </c:pt>
                      <c:pt idx="168">
                        <c:v>14582154.558441784</c:v>
                      </c:pt>
                      <c:pt idx="169">
                        <c:v>14801894.820184497</c:v>
                      </c:pt>
                      <c:pt idx="170">
                        <c:v>13393152.092816332</c:v>
                      </c:pt>
                      <c:pt idx="171">
                        <c:v>14267604.617287038</c:v>
                      </c:pt>
                      <c:pt idx="172">
                        <c:v>13115824.632137623</c:v>
                      </c:pt>
                      <c:pt idx="173">
                        <c:v>13026980.473156821</c:v>
                      </c:pt>
                      <c:pt idx="174">
                        <c:v>12412559.317480363</c:v>
                      </c:pt>
                      <c:pt idx="175">
                        <c:v>13719887.988130862</c:v>
                      </c:pt>
                      <c:pt idx="176">
                        <c:v>13343440.462856937</c:v>
                      </c:pt>
                      <c:pt idx="177">
                        <c:v>13477255.501624798</c:v>
                      </c:pt>
                      <c:pt idx="178">
                        <c:v>12351831.333060231</c:v>
                      </c:pt>
                      <c:pt idx="179">
                        <c:v>14788696.256132845</c:v>
                      </c:pt>
                      <c:pt idx="180">
                        <c:v>14086387.077536117</c:v>
                      </c:pt>
                      <c:pt idx="181">
                        <c:v>13390705.934907567</c:v>
                      </c:pt>
                      <c:pt idx="182">
                        <c:v>13588535.942582035</c:v>
                      </c:pt>
                      <c:pt idx="183">
                        <c:v>14644155.231619252</c:v>
                      </c:pt>
                      <c:pt idx="184">
                        <c:v>14084249.299876804</c:v>
                      </c:pt>
                      <c:pt idx="185">
                        <c:v>13547117.406459227</c:v>
                      </c:pt>
                      <c:pt idx="186">
                        <c:v>13571488.65895942</c:v>
                      </c:pt>
                      <c:pt idx="187">
                        <c:v>13253243.579876622</c:v>
                      </c:pt>
                      <c:pt idx="188">
                        <c:v>14412864.475237772</c:v>
                      </c:pt>
                      <c:pt idx="189">
                        <c:v>14610054.685955428</c:v>
                      </c:pt>
                      <c:pt idx="190">
                        <c:v>12946250.658245299</c:v>
                      </c:pt>
                      <c:pt idx="191">
                        <c:v>12595485.326766647</c:v>
                      </c:pt>
                      <c:pt idx="192">
                        <c:v>13269764.383900912</c:v>
                      </c:pt>
                      <c:pt idx="193">
                        <c:v>13016803.359024523</c:v>
                      </c:pt>
                      <c:pt idx="194">
                        <c:v>13521382.137719238</c:v>
                      </c:pt>
                      <c:pt idx="195">
                        <c:v>11960794.942133442</c:v>
                      </c:pt>
                      <c:pt idx="196">
                        <c:v>14033059.780668648</c:v>
                      </c:pt>
                      <c:pt idx="197">
                        <c:v>13625162.045124896</c:v>
                      </c:pt>
                      <c:pt idx="198">
                        <c:v>13168449.312672064</c:v>
                      </c:pt>
                      <c:pt idx="199">
                        <c:v>12360078.117128696</c:v>
                      </c:pt>
                      <c:pt idx="200">
                        <c:v>13254446.81489894</c:v>
                      </c:pt>
                      <c:pt idx="201">
                        <c:v>13098196.54103601</c:v>
                      </c:pt>
                      <c:pt idx="202">
                        <c:v>13029982.97561405</c:v>
                      </c:pt>
                      <c:pt idx="203">
                        <c:v>13799767.707256759</c:v>
                      </c:pt>
                      <c:pt idx="204">
                        <c:v>14516662.009285763</c:v>
                      </c:pt>
                      <c:pt idx="205">
                        <c:v>13883280.251609189</c:v>
                      </c:pt>
                      <c:pt idx="206">
                        <c:v>14249630.34434573</c:v>
                      </c:pt>
                      <c:pt idx="207">
                        <c:v>13057480.548546756</c:v>
                      </c:pt>
                      <c:pt idx="208">
                        <c:v>13198402.95611969</c:v>
                      </c:pt>
                      <c:pt idx="209">
                        <c:v>12846565.841814522</c:v>
                      </c:pt>
                      <c:pt idx="210">
                        <c:v>14577546.033941561</c:v>
                      </c:pt>
                      <c:pt idx="211">
                        <c:v>13372624.852438103</c:v>
                      </c:pt>
                      <c:pt idx="212">
                        <c:v>13516963.931639379</c:v>
                      </c:pt>
                      <c:pt idx="213">
                        <c:v>14164660.667582121</c:v>
                      </c:pt>
                      <c:pt idx="214">
                        <c:v>12957032.493216943</c:v>
                      </c:pt>
                      <c:pt idx="215">
                        <c:v>13546821.065504799</c:v>
                      </c:pt>
                      <c:pt idx="216">
                        <c:v>13858186.994854806</c:v>
                      </c:pt>
                      <c:pt idx="217">
                        <c:v>13606784.136814347</c:v>
                      </c:pt>
                      <c:pt idx="218">
                        <c:v>14134379.349518301</c:v>
                      </c:pt>
                      <c:pt idx="219">
                        <c:v>12286235.70754642</c:v>
                      </c:pt>
                      <c:pt idx="220">
                        <c:v>14475295.058516797</c:v>
                      </c:pt>
                      <c:pt idx="221">
                        <c:v>14251172.325864654</c:v>
                      </c:pt>
                      <c:pt idx="222">
                        <c:v>12960318.662930021</c:v>
                      </c:pt>
                      <c:pt idx="223">
                        <c:v>13341369.132660028</c:v>
                      </c:pt>
                      <c:pt idx="224">
                        <c:v>14971714.847626956</c:v>
                      </c:pt>
                      <c:pt idx="225">
                        <c:v>13884340.952497898</c:v>
                      </c:pt>
                      <c:pt idx="226">
                        <c:v>13364065.538965076</c:v>
                      </c:pt>
                      <c:pt idx="227">
                        <c:v>13692712.774389721</c:v>
                      </c:pt>
                      <c:pt idx="228">
                        <c:v>13349689.545318639</c:v>
                      </c:pt>
                      <c:pt idx="229">
                        <c:v>13577771.929213434</c:v>
                      </c:pt>
                      <c:pt idx="230">
                        <c:v>13991997.50212926</c:v>
                      </c:pt>
                      <c:pt idx="231">
                        <c:v>13577908.914059799</c:v>
                      </c:pt>
                      <c:pt idx="232">
                        <c:v>13376461.08631251</c:v>
                      </c:pt>
                      <c:pt idx="233">
                        <c:v>14692360.204740336</c:v>
                      </c:pt>
                      <c:pt idx="234">
                        <c:v>14563141.300045785</c:v>
                      </c:pt>
                      <c:pt idx="235">
                        <c:v>15164229.953539805</c:v>
                      </c:pt>
                      <c:pt idx="236">
                        <c:v>14485769.610222355</c:v>
                      </c:pt>
                      <c:pt idx="237">
                        <c:v>14114287.787613504</c:v>
                      </c:pt>
                      <c:pt idx="238">
                        <c:v>14312985.843642123</c:v>
                      </c:pt>
                      <c:pt idx="239">
                        <c:v>14640134.473937139</c:v>
                      </c:pt>
                      <c:pt idx="240">
                        <c:v>13950005.309441628</c:v>
                      </c:pt>
                      <c:pt idx="241">
                        <c:v>12777037.307585666</c:v>
                      </c:pt>
                      <c:pt idx="242">
                        <c:v>13900821.977011271</c:v>
                      </c:pt>
                      <c:pt idx="243">
                        <c:v>13532349.365895422</c:v>
                      </c:pt>
                      <c:pt idx="244">
                        <c:v>13008349.360852953</c:v>
                      </c:pt>
                      <c:pt idx="245">
                        <c:v>13533551.678345641</c:v>
                      </c:pt>
                      <c:pt idx="246">
                        <c:v>12436980.24374417</c:v>
                      </c:pt>
                      <c:pt idx="247">
                        <c:v>12426534.461042972</c:v>
                      </c:pt>
                      <c:pt idx="248">
                        <c:v>14490478.836192712</c:v>
                      </c:pt>
                      <c:pt idx="249">
                        <c:v>13904964.659645231</c:v>
                      </c:pt>
                      <c:pt idx="250">
                        <c:v>13494722.137992449</c:v>
                      </c:pt>
                      <c:pt idx="251">
                        <c:v>13541375.894547496</c:v>
                      </c:pt>
                      <c:pt idx="252">
                        <c:v>12575575.435318956</c:v>
                      </c:pt>
                      <c:pt idx="253">
                        <c:v>13754541.137184232</c:v>
                      </c:pt>
                      <c:pt idx="254">
                        <c:v>13982047.652659545</c:v>
                      </c:pt>
                      <c:pt idx="255">
                        <c:v>14368861.934903134</c:v>
                      </c:pt>
                      <c:pt idx="256">
                        <c:v>13410310.906915981</c:v>
                      </c:pt>
                      <c:pt idx="257">
                        <c:v>13583047.898414044</c:v>
                      </c:pt>
                      <c:pt idx="258">
                        <c:v>14162760.725319717</c:v>
                      </c:pt>
                      <c:pt idx="259">
                        <c:v>14004320.728148676</c:v>
                      </c:pt>
                      <c:pt idx="260">
                        <c:v>13564331.128805388</c:v>
                      </c:pt>
                      <c:pt idx="261">
                        <c:v>14076602.815951172</c:v>
                      </c:pt>
                      <c:pt idx="262">
                        <c:v>14021373.895510901</c:v>
                      </c:pt>
                      <c:pt idx="263">
                        <c:v>13007852.866300356</c:v>
                      </c:pt>
                      <c:pt idx="264">
                        <c:v>13863990.189636936</c:v>
                      </c:pt>
                      <c:pt idx="265">
                        <c:v>13688776.999130415</c:v>
                      </c:pt>
                      <c:pt idx="266">
                        <c:v>13757848.936513677</c:v>
                      </c:pt>
                      <c:pt idx="267">
                        <c:v>14151215.710093122</c:v>
                      </c:pt>
                      <c:pt idx="268">
                        <c:v>13270751.916956309</c:v>
                      </c:pt>
                      <c:pt idx="269">
                        <c:v>15152655.326883802</c:v>
                      </c:pt>
                      <c:pt idx="270">
                        <c:v>14000576.349936141</c:v>
                      </c:pt>
                      <c:pt idx="271">
                        <c:v>12866383.146761799</c:v>
                      </c:pt>
                      <c:pt idx="272">
                        <c:v>15031478.812665559</c:v>
                      </c:pt>
                      <c:pt idx="273">
                        <c:v>14280716.496928114</c:v>
                      </c:pt>
                      <c:pt idx="274">
                        <c:v>12481349.586648114</c:v>
                      </c:pt>
                      <c:pt idx="275">
                        <c:v>12712792.060606629</c:v>
                      </c:pt>
                      <c:pt idx="276">
                        <c:v>16143735.560793675</c:v>
                      </c:pt>
                      <c:pt idx="277">
                        <c:v>13760809.833947958</c:v>
                      </c:pt>
                      <c:pt idx="278">
                        <c:v>13764527.789008947</c:v>
                      </c:pt>
                      <c:pt idx="279">
                        <c:v>13538030.390533311</c:v>
                      </c:pt>
                      <c:pt idx="280">
                        <c:v>15083267.65634324</c:v>
                      </c:pt>
                      <c:pt idx="281">
                        <c:v>13788648.216241511</c:v>
                      </c:pt>
                      <c:pt idx="282">
                        <c:v>13045176.368450666</c:v>
                      </c:pt>
                      <c:pt idx="283">
                        <c:v>13621482.212159121</c:v>
                      </c:pt>
                      <c:pt idx="284">
                        <c:v>13947964.801848643</c:v>
                      </c:pt>
                      <c:pt idx="285">
                        <c:v>13688658.445264656</c:v>
                      </c:pt>
                      <c:pt idx="286">
                        <c:v>12911032.87228992</c:v>
                      </c:pt>
                      <c:pt idx="287">
                        <c:v>13980627.247188335</c:v>
                      </c:pt>
                      <c:pt idx="288">
                        <c:v>12759364.896222739</c:v>
                      </c:pt>
                      <c:pt idx="289">
                        <c:v>14247050.218656735</c:v>
                      </c:pt>
                      <c:pt idx="290">
                        <c:v>14344963.105539272</c:v>
                      </c:pt>
                      <c:pt idx="291">
                        <c:v>13740389.641698798</c:v>
                      </c:pt>
                      <c:pt idx="292">
                        <c:v>13494806.069606856</c:v>
                      </c:pt>
                      <c:pt idx="293">
                        <c:v>13346440.648168096</c:v>
                      </c:pt>
                      <c:pt idx="294">
                        <c:v>13897842.339194177</c:v>
                      </c:pt>
                      <c:pt idx="295">
                        <c:v>14104811.224335704</c:v>
                      </c:pt>
                      <c:pt idx="296">
                        <c:v>13298856.533841448</c:v>
                      </c:pt>
                      <c:pt idx="297">
                        <c:v>13868540.249725355</c:v>
                      </c:pt>
                      <c:pt idx="298">
                        <c:v>14107423.05517162</c:v>
                      </c:pt>
                      <c:pt idx="299">
                        <c:v>13277669.591189638</c:v>
                      </c:pt>
                      <c:pt idx="300">
                        <c:v>13467670.667736109</c:v>
                      </c:pt>
                      <c:pt idx="301">
                        <c:v>13127995.56877869</c:v>
                      </c:pt>
                      <c:pt idx="302">
                        <c:v>14684928.077003004</c:v>
                      </c:pt>
                      <c:pt idx="303">
                        <c:v>13834536.89176253</c:v>
                      </c:pt>
                      <c:pt idx="304">
                        <c:v>13531647.649216292</c:v>
                      </c:pt>
                      <c:pt idx="305">
                        <c:v>14573029.599584397</c:v>
                      </c:pt>
                      <c:pt idx="306">
                        <c:v>13779633.757582149</c:v>
                      </c:pt>
                      <c:pt idx="307">
                        <c:v>14552465.180178573</c:v>
                      </c:pt>
                      <c:pt idx="308">
                        <c:v>13042768.659685152</c:v>
                      </c:pt>
                      <c:pt idx="309">
                        <c:v>13717065.733253514</c:v>
                      </c:pt>
                      <c:pt idx="310">
                        <c:v>14552383.308188966</c:v>
                      </c:pt>
                      <c:pt idx="311">
                        <c:v>13988776.155820839</c:v>
                      </c:pt>
                      <c:pt idx="312">
                        <c:v>14046309.391948</c:v>
                      </c:pt>
                      <c:pt idx="313">
                        <c:v>15003706.668706166</c:v>
                      </c:pt>
                      <c:pt idx="314">
                        <c:v>14235680.207368508</c:v>
                      </c:pt>
                      <c:pt idx="315">
                        <c:v>13357577.431772837</c:v>
                      </c:pt>
                      <c:pt idx="316">
                        <c:v>13794015.816255458</c:v>
                      </c:pt>
                      <c:pt idx="317">
                        <c:v>14327354.401528105</c:v>
                      </c:pt>
                      <c:pt idx="318">
                        <c:v>14426751.803510269</c:v>
                      </c:pt>
                      <c:pt idx="319">
                        <c:v>14143150.305923255</c:v>
                      </c:pt>
                      <c:pt idx="320">
                        <c:v>12997862.787346767</c:v>
                      </c:pt>
                      <c:pt idx="321">
                        <c:v>13616685.392850693</c:v>
                      </c:pt>
                      <c:pt idx="322">
                        <c:v>13788971.143751923</c:v>
                      </c:pt>
                      <c:pt idx="323">
                        <c:v>11920322.036135005</c:v>
                      </c:pt>
                      <c:pt idx="324">
                        <c:v>13491866.25064343</c:v>
                      </c:pt>
                      <c:pt idx="325">
                        <c:v>13829538.406652898</c:v>
                      </c:pt>
                      <c:pt idx="326">
                        <c:v>13806325.378870785</c:v>
                      </c:pt>
                      <c:pt idx="327">
                        <c:v>14160168.779750481</c:v>
                      </c:pt>
                      <c:pt idx="328">
                        <c:v>13453835.681227289</c:v>
                      </c:pt>
                      <c:pt idx="329">
                        <c:v>13007927.615253489</c:v>
                      </c:pt>
                      <c:pt idx="330">
                        <c:v>14648794.512046093</c:v>
                      </c:pt>
                      <c:pt idx="331">
                        <c:v>14185983.938464647</c:v>
                      </c:pt>
                      <c:pt idx="332">
                        <c:v>13255661.964121224</c:v>
                      </c:pt>
                      <c:pt idx="333">
                        <c:v>13846110.990475005</c:v>
                      </c:pt>
                      <c:pt idx="334">
                        <c:v>14023910.4815281</c:v>
                      </c:pt>
                      <c:pt idx="335">
                        <c:v>13632777.829035772</c:v>
                      </c:pt>
                      <c:pt idx="336">
                        <c:v>12565369.361574061</c:v>
                      </c:pt>
                      <c:pt idx="337">
                        <c:v>13809958.664807662</c:v>
                      </c:pt>
                      <c:pt idx="338">
                        <c:v>13853724.394605439</c:v>
                      </c:pt>
                      <c:pt idx="339">
                        <c:v>13029561.316264</c:v>
                      </c:pt>
                      <c:pt idx="340">
                        <c:v>13782139.267291194</c:v>
                      </c:pt>
                      <c:pt idx="341">
                        <c:v>13768954.730904849</c:v>
                      </c:pt>
                      <c:pt idx="342">
                        <c:v>14941625.606066378</c:v>
                      </c:pt>
                      <c:pt idx="343">
                        <c:v>13619403.753789287</c:v>
                      </c:pt>
                      <c:pt idx="344">
                        <c:v>13137201.808564765</c:v>
                      </c:pt>
                      <c:pt idx="345">
                        <c:v>14166871.910526065</c:v>
                      </c:pt>
                      <c:pt idx="346">
                        <c:v>14585418.320267219</c:v>
                      </c:pt>
                      <c:pt idx="347">
                        <c:v>13902509.998811644</c:v>
                      </c:pt>
                      <c:pt idx="348">
                        <c:v>13393793.177656466</c:v>
                      </c:pt>
                      <c:pt idx="349">
                        <c:v>13813337.466327393</c:v>
                      </c:pt>
                      <c:pt idx="350">
                        <c:v>14457404.010132082</c:v>
                      </c:pt>
                      <c:pt idx="351">
                        <c:v>13246841.529526263</c:v>
                      </c:pt>
                      <c:pt idx="352">
                        <c:v>14373582.527507992</c:v>
                      </c:pt>
                      <c:pt idx="353">
                        <c:v>13364918.417110769</c:v>
                      </c:pt>
                      <c:pt idx="354">
                        <c:v>13512533.865442464</c:v>
                      </c:pt>
                      <c:pt idx="355">
                        <c:v>14858077.910291661</c:v>
                      </c:pt>
                      <c:pt idx="356">
                        <c:v>14538562.0062354</c:v>
                      </c:pt>
                      <c:pt idx="357">
                        <c:v>13893626.388910197</c:v>
                      </c:pt>
                      <c:pt idx="358">
                        <c:v>14390591.015532155</c:v>
                      </c:pt>
                      <c:pt idx="359">
                        <c:v>12743236.935068341</c:v>
                      </c:pt>
                      <c:pt idx="360">
                        <c:v>13565419.792227831</c:v>
                      </c:pt>
                      <c:pt idx="361">
                        <c:v>13273266.959040923</c:v>
                      </c:pt>
                      <c:pt idx="362">
                        <c:v>13683969.665971542</c:v>
                      </c:pt>
                      <c:pt idx="363">
                        <c:v>13487393.562803047</c:v>
                      </c:pt>
                      <c:pt idx="364">
                        <c:v>12895637.388476251</c:v>
                      </c:pt>
                      <c:pt idx="365">
                        <c:v>13550998.750412086</c:v>
                      </c:pt>
                      <c:pt idx="366">
                        <c:v>14054132.516378101</c:v>
                      </c:pt>
                      <c:pt idx="367">
                        <c:v>13767559.320774844</c:v>
                      </c:pt>
                      <c:pt idx="368">
                        <c:v>13683999.731721293</c:v>
                      </c:pt>
                      <c:pt idx="369">
                        <c:v>14363272.953257706</c:v>
                      </c:pt>
                      <c:pt idx="370">
                        <c:v>14091836.013741508</c:v>
                      </c:pt>
                      <c:pt idx="371">
                        <c:v>14446500.286666868</c:v>
                      </c:pt>
                      <c:pt idx="372">
                        <c:v>14167971.492390586</c:v>
                      </c:pt>
                      <c:pt idx="373">
                        <c:v>14240921.98343006</c:v>
                      </c:pt>
                      <c:pt idx="374">
                        <c:v>14115576.150666161</c:v>
                      </c:pt>
                      <c:pt idx="375">
                        <c:v>14467087.724748345</c:v>
                      </c:pt>
                      <c:pt idx="376">
                        <c:v>13990426.709976692</c:v>
                      </c:pt>
                      <c:pt idx="377">
                        <c:v>14382555.518420933</c:v>
                      </c:pt>
                      <c:pt idx="378">
                        <c:v>14856469.964596381</c:v>
                      </c:pt>
                      <c:pt idx="379">
                        <c:v>14337562.667422554</c:v>
                      </c:pt>
                      <c:pt idx="380">
                        <c:v>13352023.94003409</c:v>
                      </c:pt>
                      <c:pt idx="381">
                        <c:v>14852171.603135385</c:v>
                      </c:pt>
                      <c:pt idx="382">
                        <c:v>14623610.267472185</c:v>
                      </c:pt>
                      <c:pt idx="383">
                        <c:v>13892029.349959997</c:v>
                      </c:pt>
                      <c:pt idx="384">
                        <c:v>14482084.554673227</c:v>
                      </c:pt>
                      <c:pt idx="385">
                        <c:v>13667188.964748356</c:v>
                      </c:pt>
                      <c:pt idx="386">
                        <c:v>12713502.51212946</c:v>
                      </c:pt>
                      <c:pt idx="387">
                        <c:v>13170941.921957785</c:v>
                      </c:pt>
                      <c:pt idx="388">
                        <c:v>14624277.857859075</c:v>
                      </c:pt>
                      <c:pt idx="389">
                        <c:v>14109283.519110834</c:v>
                      </c:pt>
                      <c:pt idx="390">
                        <c:v>13541331.547810866</c:v>
                      </c:pt>
                      <c:pt idx="391">
                        <c:v>14025909.30687204</c:v>
                      </c:pt>
                      <c:pt idx="392">
                        <c:v>13660440.790201234</c:v>
                      </c:pt>
                      <c:pt idx="393">
                        <c:v>13411593.050404394</c:v>
                      </c:pt>
                      <c:pt idx="394">
                        <c:v>15328204.218876507</c:v>
                      </c:pt>
                      <c:pt idx="395">
                        <c:v>13797276.07315463</c:v>
                      </c:pt>
                      <c:pt idx="396">
                        <c:v>14099002.633225217</c:v>
                      </c:pt>
                      <c:pt idx="397">
                        <c:v>12587283.100527899</c:v>
                      </c:pt>
                      <c:pt idx="398">
                        <c:v>13099268.376732567</c:v>
                      </c:pt>
                      <c:pt idx="399">
                        <c:v>13624054.561978161</c:v>
                      </c:pt>
                      <c:pt idx="400">
                        <c:v>13518702.133280488</c:v>
                      </c:pt>
                      <c:pt idx="401">
                        <c:v>13887810.752616765</c:v>
                      </c:pt>
                      <c:pt idx="402">
                        <c:v>12158093.851634411</c:v>
                      </c:pt>
                      <c:pt idx="403">
                        <c:v>13610008.086519707</c:v>
                      </c:pt>
                      <c:pt idx="404">
                        <c:v>15037426.400605174</c:v>
                      </c:pt>
                      <c:pt idx="405">
                        <c:v>15146062.26289032</c:v>
                      </c:pt>
                      <c:pt idx="406">
                        <c:v>14119886.137548063</c:v>
                      </c:pt>
                      <c:pt idx="407">
                        <c:v>13642070.16774114</c:v>
                      </c:pt>
                      <c:pt idx="408">
                        <c:v>12587048.240899455</c:v>
                      </c:pt>
                      <c:pt idx="409">
                        <c:v>13860657.724379646</c:v>
                      </c:pt>
                      <c:pt idx="410">
                        <c:v>13228177.973067619</c:v>
                      </c:pt>
                      <c:pt idx="411">
                        <c:v>13533016.509054331</c:v>
                      </c:pt>
                      <c:pt idx="412">
                        <c:v>14781516.583529217</c:v>
                      </c:pt>
                      <c:pt idx="413">
                        <c:v>13946171.24502058</c:v>
                      </c:pt>
                      <c:pt idx="414">
                        <c:v>15070028.336638641</c:v>
                      </c:pt>
                      <c:pt idx="415">
                        <c:v>13867184.914528267</c:v>
                      </c:pt>
                      <c:pt idx="416">
                        <c:v>13983700.924995411</c:v>
                      </c:pt>
                      <c:pt idx="417">
                        <c:v>13443168.191269903</c:v>
                      </c:pt>
                      <c:pt idx="418">
                        <c:v>13070279.498258803</c:v>
                      </c:pt>
                      <c:pt idx="419">
                        <c:v>14617449.938756729</c:v>
                      </c:pt>
                      <c:pt idx="420">
                        <c:v>12195702.659560138</c:v>
                      </c:pt>
                      <c:pt idx="421">
                        <c:v>14111029.80849042</c:v>
                      </c:pt>
                      <c:pt idx="422">
                        <c:v>13612666.806567589</c:v>
                      </c:pt>
                      <c:pt idx="423">
                        <c:v>14089266.23258755</c:v>
                      </c:pt>
                      <c:pt idx="424">
                        <c:v>13832740.69470368</c:v>
                      </c:pt>
                      <c:pt idx="425">
                        <c:v>14420819.655037927</c:v>
                      </c:pt>
                      <c:pt idx="426">
                        <c:v>12765089.074474122</c:v>
                      </c:pt>
                      <c:pt idx="427">
                        <c:v>11948931.138182534</c:v>
                      </c:pt>
                      <c:pt idx="428">
                        <c:v>12958424.494493755</c:v>
                      </c:pt>
                      <c:pt idx="429">
                        <c:v>13185765.115366098</c:v>
                      </c:pt>
                      <c:pt idx="430">
                        <c:v>14770247.247987842</c:v>
                      </c:pt>
                      <c:pt idx="431">
                        <c:v>13290208.204279618</c:v>
                      </c:pt>
                      <c:pt idx="432">
                        <c:v>14512844.490006497</c:v>
                      </c:pt>
                      <c:pt idx="433">
                        <c:v>13394960.826840967</c:v>
                      </c:pt>
                      <c:pt idx="434">
                        <c:v>14187438.14517669</c:v>
                      </c:pt>
                      <c:pt idx="435">
                        <c:v>13553863.922643291</c:v>
                      </c:pt>
                      <c:pt idx="436">
                        <c:v>13860530.230690693</c:v>
                      </c:pt>
                      <c:pt idx="437">
                        <c:v>12962746.423092665</c:v>
                      </c:pt>
                      <c:pt idx="438">
                        <c:v>12068247.908810724</c:v>
                      </c:pt>
                      <c:pt idx="439">
                        <c:v>13587765.049501466</c:v>
                      </c:pt>
                      <c:pt idx="440">
                        <c:v>13632040.405411441</c:v>
                      </c:pt>
                      <c:pt idx="441">
                        <c:v>15168769.113549257</c:v>
                      </c:pt>
                      <c:pt idx="442">
                        <c:v>15372977.91081934</c:v>
                      </c:pt>
                      <c:pt idx="443">
                        <c:v>12933118.553735936</c:v>
                      </c:pt>
                      <c:pt idx="444">
                        <c:v>13518507.27557515</c:v>
                      </c:pt>
                      <c:pt idx="445">
                        <c:v>14439662.5459156</c:v>
                      </c:pt>
                      <c:pt idx="446">
                        <c:v>12013870.490642712</c:v>
                      </c:pt>
                      <c:pt idx="447">
                        <c:v>13992623.717784591</c:v>
                      </c:pt>
                      <c:pt idx="448">
                        <c:v>15047447.918555787</c:v>
                      </c:pt>
                      <c:pt idx="449">
                        <c:v>14454267.383826086</c:v>
                      </c:pt>
                      <c:pt idx="450">
                        <c:v>13606381.946250234</c:v>
                      </c:pt>
                      <c:pt idx="451">
                        <c:v>13943943.025459578</c:v>
                      </c:pt>
                      <c:pt idx="452">
                        <c:v>13181256.369625216</c:v>
                      </c:pt>
                      <c:pt idx="453">
                        <c:v>13537487.613196662</c:v>
                      </c:pt>
                      <c:pt idx="454">
                        <c:v>14174454.905002045</c:v>
                      </c:pt>
                      <c:pt idx="455">
                        <c:v>13539853.26477042</c:v>
                      </c:pt>
                      <c:pt idx="456">
                        <c:v>12912059.460738769</c:v>
                      </c:pt>
                      <c:pt idx="457">
                        <c:v>13928040.719897192</c:v>
                      </c:pt>
                      <c:pt idx="458">
                        <c:v>14351104.096380606</c:v>
                      </c:pt>
                      <c:pt idx="459">
                        <c:v>14102981.742580129</c:v>
                      </c:pt>
                      <c:pt idx="460">
                        <c:v>12797825.985178843</c:v>
                      </c:pt>
                      <c:pt idx="461">
                        <c:v>15054946.677798467</c:v>
                      </c:pt>
                      <c:pt idx="462">
                        <c:v>14545311.475795573</c:v>
                      </c:pt>
                      <c:pt idx="463">
                        <c:v>13254933.463869501</c:v>
                      </c:pt>
                      <c:pt idx="464">
                        <c:v>14060616.183430582</c:v>
                      </c:pt>
                      <c:pt idx="465">
                        <c:v>14316546.983236028</c:v>
                      </c:pt>
                      <c:pt idx="466">
                        <c:v>13196387.209302334</c:v>
                      </c:pt>
                      <c:pt idx="467">
                        <c:v>13612048.525187541</c:v>
                      </c:pt>
                      <c:pt idx="468">
                        <c:v>13744616.559807621</c:v>
                      </c:pt>
                      <c:pt idx="469">
                        <c:v>14491957.844267698</c:v>
                      </c:pt>
                      <c:pt idx="470">
                        <c:v>13328186.500070745</c:v>
                      </c:pt>
                      <c:pt idx="471">
                        <c:v>13511440.3550523</c:v>
                      </c:pt>
                      <c:pt idx="472">
                        <c:v>11394227.375503697</c:v>
                      </c:pt>
                      <c:pt idx="473">
                        <c:v>13910749.02936276</c:v>
                      </c:pt>
                      <c:pt idx="474">
                        <c:v>14022366.313649228</c:v>
                      </c:pt>
                      <c:pt idx="475">
                        <c:v>13733839.571820546</c:v>
                      </c:pt>
                      <c:pt idx="476">
                        <c:v>14082986.511986841</c:v>
                      </c:pt>
                      <c:pt idx="477">
                        <c:v>13678097.342483027</c:v>
                      </c:pt>
                      <c:pt idx="478">
                        <c:v>13308419.63919919</c:v>
                      </c:pt>
                      <c:pt idx="479">
                        <c:v>12496361.329739345</c:v>
                      </c:pt>
                      <c:pt idx="480">
                        <c:v>13952732.734150723</c:v>
                      </c:pt>
                      <c:pt idx="481">
                        <c:v>14860455.653917359</c:v>
                      </c:pt>
                      <c:pt idx="482">
                        <c:v>13998513.44379553</c:v>
                      </c:pt>
                      <c:pt idx="483">
                        <c:v>15153600.85183158</c:v>
                      </c:pt>
                      <c:pt idx="484">
                        <c:v>12935725.13045275</c:v>
                      </c:pt>
                      <c:pt idx="485">
                        <c:v>14319090.775638735</c:v>
                      </c:pt>
                      <c:pt idx="486">
                        <c:v>14763092.510567006</c:v>
                      </c:pt>
                      <c:pt idx="487">
                        <c:v>13479650.640178662</c:v>
                      </c:pt>
                      <c:pt idx="488">
                        <c:v>13004400.560483037</c:v>
                      </c:pt>
                      <c:pt idx="489">
                        <c:v>13148164.052634655</c:v>
                      </c:pt>
                      <c:pt idx="490">
                        <c:v>12754838.569722362</c:v>
                      </c:pt>
                      <c:pt idx="491">
                        <c:v>13535160.650251457</c:v>
                      </c:pt>
                      <c:pt idx="492">
                        <c:v>14014447.701737238</c:v>
                      </c:pt>
                      <c:pt idx="493">
                        <c:v>13186959.006434251</c:v>
                      </c:pt>
                      <c:pt idx="494">
                        <c:v>13920703.160272034</c:v>
                      </c:pt>
                      <c:pt idx="495">
                        <c:v>14091354.848795207</c:v>
                      </c:pt>
                      <c:pt idx="496">
                        <c:v>14035630.386506082</c:v>
                      </c:pt>
                      <c:pt idx="497">
                        <c:v>13825335.419273432</c:v>
                      </c:pt>
                      <c:pt idx="498">
                        <c:v>14320372.474539833</c:v>
                      </c:pt>
                      <c:pt idx="499">
                        <c:v>13886163.362770148</c:v>
                      </c:pt>
                      <c:pt idx="500">
                        <c:v>12108057.224090319</c:v>
                      </c:pt>
                      <c:pt idx="501">
                        <c:v>13329334.473144079</c:v>
                      </c:pt>
                      <c:pt idx="502">
                        <c:v>14161056.531936957</c:v>
                      </c:pt>
                      <c:pt idx="503">
                        <c:v>12061151.98964542</c:v>
                      </c:pt>
                      <c:pt idx="504">
                        <c:v>12864832.012523953</c:v>
                      </c:pt>
                      <c:pt idx="505">
                        <c:v>15084308.346319521</c:v>
                      </c:pt>
                      <c:pt idx="506">
                        <c:v>13841909.420368725</c:v>
                      </c:pt>
                      <c:pt idx="507">
                        <c:v>15070239.601485392</c:v>
                      </c:pt>
                      <c:pt idx="508">
                        <c:v>14309660.348468496</c:v>
                      </c:pt>
                      <c:pt idx="509">
                        <c:v>14128740.444464719</c:v>
                      </c:pt>
                      <c:pt idx="510">
                        <c:v>14828768.092016276</c:v>
                      </c:pt>
                      <c:pt idx="511">
                        <c:v>11560779.8301006</c:v>
                      </c:pt>
                      <c:pt idx="512">
                        <c:v>12844676.082687438</c:v>
                      </c:pt>
                      <c:pt idx="513">
                        <c:v>13925530.229032438</c:v>
                      </c:pt>
                      <c:pt idx="514">
                        <c:v>14054279.864114953</c:v>
                      </c:pt>
                      <c:pt idx="515">
                        <c:v>13301917.40952141</c:v>
                      </c:pt>
                      <c:pt idx="516">
                        <c:v>14673532.728384009</c:v>
                      </c:pt>
                      <c:pt idx="517">
                        <c:v>13676069.527804293</c:v>
                      </c:pt>
                      <c:pt idx="518">
                        <c:v>13309805.602607023</c:v>
                      </c:pt>
                      <c:pt idx="519">
                        <c:v>13163893.776935657</c:v>
                      </c:pt>
                      <c:pt idx="520">
                        <c:v>14753926.819064829</c:v>
                      </c:pt>
                      <c:pt idx="521">
                        <c:v>14258301.390033793</c:v>
                      </c:pt>
                      <c:pt idx="522">
                        <c:v>14782015.411779024</c:v>
                      </c:pt>
                      <c:pt idx="523">
                        <c:v>13721452.813206024</c:v>
                      </c:pt>
                      <c:pt idx="524">
                        <c:v>13949763.611878779</c:v>
                      </c:pt>
                      <c:pt idx="525">
                        <c:v>13049610.895241315</c:v>
                      </c:pt>
                      <c:pt idx="526">
                        <c:v>13538933.503899142</c:v>
                      </c:pt>
                      <c:pt idx="527">
                        <c:v>13996877.92746976</c:v>
                      </c:pt>
                      <c:pt idx="528">
                        <c:v>12731790.822640117</c:v>
                      </c:pt>
                      <c:pt idx="529">
                        <c:v>12318248.780494854</c:v>
                      </c:pt>
                      <c:pt idx="530">
                        <c:v>13435247.578281788</c:v>
                      </c:pt>
                      <c:pt idx="531">
                        <c:v>14545629.678909045</c:v>
                      </c:pt>
                      <c:pt idx="532">
                        <c:v>14477351.291879749</c:v>
                      </c:pt>
                      <c:pt idx="533">
                        <c:v>14505497.863352273</c:v>
                      </c:pt>
                      <c:pt idx="534">
                        <c:v>12815801.653717123</c:v>
                      </c:pt>
                      <c:pt idx="535">
                        <c:v>13869404.913096623</c:v>
                      </c:pt>
                      <c:pt idx="536">
                        <c:v>14464273.652278664</c:v>
                      </c:pt>
                      <c:pt idx="537">
                        <c:v>14139494.015438505</c:v>
                      </c:pt>
                      <c:pt idx="538">
                        <c:v>13130077.153588451</c:v>
                      </c:pt>
                      <c:pt idx="539">
                        <c:v>13410656.826461188</c:v>
                      </c:pt>
                      <c:pt idx="540">
                        <c:v>13021677.262028171</c:v>
                      </c:pt>
                      <c:pt idx="541">
                        <c:v>14682252.681073966</c:v>
                      </c:pt>
                      <c:pt idx="542">
                        <c:v>14714723.667381544</c:v>
                      </c:pt>
                      <c:pt idx="543">
                        <c:v>14058684.215320725</c:v>
                      </c:pt>
                      <c:pt idx="544">
                        <c:v>13953803.086064424</c:v>
                      </c:pt>
                      <c:pt idx="545">
                        <c:v>12884741.926567968</c:v>
                      </c:pt>
                      <c:pt idx="546">
                        <c:v>14292780.985463785</c:v>
                      </c:pt>
                      <c:pt idx="547">
                        <c:v>13589300.81357234</c:v>
                      </c:pt>
                      <c:pt idx="548">
                        <c:v>13459775.827770185</c:v>
                      </c:pt>
                      <c:pt idx="549">
                        <c:v>13869532.632171413</c:v>
                      </c:pt>
                      <c:pt idx="550">
                        <c:v>11228705.270878594</c:v>
                      </c:pt>
                      <c:pt idx="551">
                        <c:v>13194333.759136861</c:v>
                      </c:pt>
                      <c:pt idx="552">
                        <c:v>14447965.073575288</c:v>
                      </c:pt>
                      <c:pt idx="553">
                        <c:v>13659120.804398272</c:v>
                      </c:pt>
                      <c:pt idx="554">
                        <c:v>12930051.336225979</c:v>
                      </c:pt>
                      <c:pt idx="555">
                        <c:v>13351923.589888956</c:v>
                      </c:pt>
                      <c:pt idx="556">
                        <c:v>13022520.390684541</c:v>
                      </c:pt>
                      <c:pt idx="557">
                        <c:v>13646208.086001147</c:v>
                      </c:pt>
                      <c:pt idx="558">
                        <c:v>13689072.431283941</c:v>
                      </c:pt>
                      <c:pt idx="559">
                        <c:v>13424900.694807019</c:v>
                      </c:pt>
                      <c:pt idx="560">
                        <c:v>12063776.430477848</c:v>
                      </c:pt>
                      <c:pt idx="561">
                        <c:v>14686381.478886748</c:v>
                      </c:pt>
                      <c:pt idx="562">
                        <c:v>12749850.038848724</c:v>
                      </c:pt>
                      <c:pt idx="563">
                        <c:v>13072029.208995136</c:v>
                      </c:pt>
                      <c:pt idx="564">
                        <c:v>13548004.971068183</c:v>
                      </c:pt>
                      <c:pt idx="565">
                        <c:v>13561074.040930925</c:v>
                      </c:pt>
                      <c:pt idx="566">
                        <c:v>13237775.413950656</c:v>
                      </c:pt>
                      <c:pt idx="567">
                        <c:v>13902961.111210492</c:v>
                      </c:pt>
                      <c:pt idx="568">
                        <c:v>13659962.919900464</c:v>
                      </c:pt>
                      <c:pt idx="569">
                        <c:v>12178857.885764271</c:v>
                      </c:pt>
                      <c:pt idx="570">
                        <c:v>13883673.228451509</c:v>
                      </c:pt>
                      <c:pt idx="571">
                        <c:v>14656094.798962917</c:v>
                      </c:pt>
                      <c:pt idx="572">
                        <c:v>13888209.019498486</c:v>
                      </c:pt>
                      <c:pt idx="573">
                        <c:v>14033253.56689574</c:v>
                      </c:pt>
                      <c:pt idx="574">
                        <c:v>13104563.044593038</c:v>
                      </c:pt>
                      <c:pt idx="575">
                        <c:v>14484445.577968525</c:v>
                      </c:pt>
                      <c:pt idx="576">
                        <c:v>13599844.04910413</c:v>
                      </c:pt>
                      <c:pt idx="577">
                        <c:v>13775107.419905992</c:v>
                      </c:pt>
                      <c:pt idx="578">
                        <c:v>13632162.773225795</c:v>
                      </c:pt>
                      <c:pt idx="579">
                        <c:v>13560202.757508961</c:v>
                      </c:pt>
                      <c:pt idx="580">
                        <c:v>13547328.82043506</c:v>
                      </c:pt>
                      <c:pt idx="581">
                        <c:v>14091887.693368232</c:v>
                      </c:pt>
                      <c:pt idx="582">
                        <c:v>15416728.589015773</c:v>
                      </c:pt>
                      <c:pt idx="583">
                        <c:v>13716722.084938651</c:v>
                      </c:pt>
                      <c:pt idx="584">
                        <c:v>13707754.937101096</c:v>
                      </c:pt>
                      <c:pt idx="585">
                        <c:v>13556352.0425891</c:v>
                      </c:pt>
                      <c:pt idx="586">
                        <c:v>15121918.094465265</c:v>
                      </c:pt>
                      <c:pt idx="587">
                        <c:v>13692125.941131162</c:v>
                      </c:pt>
                      <c:pt idx="588">
                        <c:v>13624835.137867993</c:v>
                      </c:pt>
                      <c:pt idx="589">
                        <c:v>14108064.136759467</c:v>
                      </c:pt>
                      <c:pt idx="590">
                        <c:v>13468331.994700059</c:v>
                      </c:pt>
                      <c:pt idx="591">
                        <c:v>13605669.259615254</c:v>
                      </c:pt>
                      <c:pt idx="592">
                        <c:v>13632989.102473237</c:v>
                      </c:pt>
                      <c:pt idx="593">
                        <c:v>13776103.925578717</c:v>
                      </c:pt>
                      <c:pt idx="594">
                        <c:v>13948500.932020793</c:v>
                      </c:pt>
                      <c:pt idx="595">
                        <c:v>14009770.133526573</c:v>
                      </c:pt>
                      <c:pt idx="596">
                        <c:v>13337324.115146779</c:v>
                      </c:pt>
                      <c:pt idx="597">
                        <c:v>13525301.892988503</c:v>
                      </c:pt>
                      <c:pt idx="598">
                        <c:v>14127090.258379128</c:v>
                      </c:pt>
                      <c:pt idx="599">
                        <c:v>14159172.239042215</c:v>
                      </c:pt>
                      <c:pt idx="600">
                        <c:v>13781166.302256467</c:v>
                      </c:pt>
                      <c:pt idx="601">
                        <c:v>14146805.455074331</c:v>
                      </c:pt>
                      <c:pt idx="602">
                        <c:v>15539149.943771413</c:v>
                      </c:pt>
                      <c:pt idx="603">
                        <c:v>13723868.165729208</c:v>
                      </c:pt>
                      <c:pt idx="604">
                        <c:v>13476511.368894197</c:v>
                      </c:pt>
                      <c:pt idx="605">
                        <c:v>13086229.107114244</c:v>
                      </c:pt>
                      <c:pt idx="606">
                        <c:v>12759344.712159723</c:v>
                      </c:pt>
                      <c:pt idx="607">
                        <c:v>13024033.770031309</c:v>
                      </c:pt>
                      <c:pt idx="608">
                        <c:v>13108637.783748988</c:v>
                      </c:pt>
                      <c:pt idx="609">
                        <c:v>14820940.560632665</c:v>
                      </c:pt>
                      <c:pt idx="610">
                        <c:v>15336644.320667369</c:v>
                      </c:pt>
                      <c:pt idx="611">
                        <c:v>12414173.517721783</c:v>
                      </c:pt>
                      <c:pt idx="612">
                        <c:v>14798291.159090172</c:v>
                      </c:pt>
                      <c:pt idx="613">
                        <c:v>13177014.617987022</c:v>
                      </c:pt>
                      <c:pt idx="614">
                        <c:v>14049984.461732179</c:v>
                      </c:pt>
                      <c:pt idx="615">
                        <c:v>14902430.952887267</c:v>
                      </c:pt>
                      <c:pt idx="616">
                        <c:v>13845191.581646761</c:v>
                      </c:pt>
                      <c:pt idx="617">
                        <c:v>14446104.762368521</c:v>
                      </c:pt>
                      <c:pt idx="618">
                        <c:v>12884555.857256137</c:v>
                      </c:pt>
                      <c:pt idx="619">
                        <c:v>13923866.624092819</c:v>
                      </c:pt>
                      <c:pt idx="620">
                        <c:v>13938385.084908731</c:v>
                      </c:pt>
                      <c:pt idx="621">
                        <c:v>12423899.198520374</c:v>
                      </c:pt>
                      <c:pt idx="622">
                        <c:v>14723422.742038259</c:v>
                      </c:pt>
                      <c:pt idx="623">
                        <c:v>12096903.268198691</c:v>
                      </c:pt>
                      <c:pt idx="624">
                        <c:v>13852958.234284893</c:v>
                      </c:pt>
                      <c:pt idx="625">
                        <c:v>13401211.247146452</c:v>
                      </c:pt>
                      <c:pt idx="626">
                        <c:v>14005267.234548373</c:v>
                      </c:pt>
                      <c:pt idx="627">
                        <c:v>13684420.051616108</c:v>
                      </c:pt>
                      <c:pt idx="628">
                        <c:v>13192284.574713273</c:v>
                      </c:pt>
                      <c:pt idx="629">
                        <c:v>15277927.477270981</c:v>
                      </c:pt>
                      <c:pt idx="630">
                        <c:v>14319590.895021114</c:v>
                      </c:pt>
                      <c:pt idx="631">
                        <c:v>15173704.067666916</c:v>
                      </c:pt>
                      <c:pt idx="632">
                        <c:v>13520511.957997326</c:v>
                      </c:pt>
                      <c:pt idx="633">
                        <c:v>14753622.327674095</c:v>
                      </c:pt>
                      <c:pt idx="634">
                        <c:v>14324317.529777752</c:v>
                      </c:pt>
                      <c:pt idx="635">
                        <c:v>14395904.8082873</c:v>
                      </c:pt>
                      <c:pt idx="636">
                        <c:v>13714998.862124948</c:v>
                      </c:pt>
                      <c:pt idx="637">
                        <c:v>12810907.679027075</c:v>
                      </c:pt>
                      <c:pt idx="638">
                        <c:v>13562491.647864185</c:v>
                      </c:pt>
                      <c:pt idx="639">
                        <c:v>13971819.564646248</c:v>
                      </c:pt>
                      <c:pt idx="640">
                        <c:v>13264242.454930205</c:v>
                      </c:pt>
                      <c:pt idx="641">
                        <c:v>13374887.134488296</c:v>
                      </c:pt>
                      <c:pt idx="642">
                        <c:v>13841366.244604085</c:v>
                      </c:pt>
                      <c:pt idx="643">
                        <c:v>13773463.575156003</c:v>
                      </c:pt>
                      <c:pt idx="644">
                        <c:v>11503677.469314653</c:v>
                      </c:pt>
                      <c:pt idx="645">
                        <c:v>13942380.880894167</c:v>
                      </c:pt>
                      <c:pt idx="646">
                        <c:v>14713612.767267805</c:v>
                      </c:pt>
                      <c:pt idx="647">
                        <c:v>14265728.80088958</c:v>
                      </c:pt>
                      <c:pt idx="648">
                        <c:v>14565048.620777898</c:v>
                      </c:pt>
                      <c:pt idx="649">
                        <c:v>13481111.550748646</c:v>
                      </c:pt>
                      <c:pt idx="650">
                        <c:v>13631696.552716104</c:v>
                      </c:pt>
                      <c:pt idx="651">
                        <c:v>14397445.541330708</c:v>
                      </c:pt>
                      <c:pt idx="652">
                        <c:v>13252509.78346917</c:v>
                      </c:pt>
                      <c:pt idx="653">
                        <c:v>14213022.971844554</c:v>
                      </c:pt>
                      <c:pt idx="654">
                        <c:v>13434266.515220612</c:v>
                      </c:pt>
                      <c:pt idx="655">
                        <c:v>13361769.494048182</c:v>
                      </c:pt>
                      <c:pt idx="656">
                        <c:v>12953773.522310557</c:v>
                      </c:pt>
                      <c:pt idx="657">
                        <c:v>13191182.396225655</c:v>
                      </c:pt>
                      <c:pt idx="658">
                        <c:v>11687153.970637051</c:v>
                      </c:pt>
                      <c:pt idx="659">
                        <c:v>14816722.426966175</c:v>
                      </c:pt>
                      <c:pt idx="660">
                        <c:v>14276266.273789303</c:v>
                      </c:pt>
                      <c:pt idx="661">
                        <c:v>14218146.708753446</c:v>
                      </c:pt>
                      <c:pt idx="662">
                        <c:v>14217361.341879532</c:v>
                      </c:pt>
                      <c:pt idx="663">
                        <c:v>13050906.631551482</c:v>
                      </c:pt>
                      <c:pt idx="664">
                        <c:v>14514645.079859816</c:v>
                      </c:pt>
                      <c:pt idx="665">
                        <c:v>12125976.749796847</c:v>
                      </c:pt>
                      <c:pt idx="666">
                        <c:v>13115425.246167907</c:v>
                      </c:pt>
                      <c:pt idx="667">
                        <c:v>13289566.488987468</c:v>
                      </c:pt>
                      <c:pt idx="668">
                        <c:v>13133282.240904473</c:v>
                      </c:pt>
                      <c:pt idx="669">
                        <c:v>14721367.105345046</c:v>
                      </c:pt>
                      <c:pt idx="670">
                        <c:v>13303298.922714682</c:v>
                      </c:pt>
                      <c:pt idx="671">
                        <c:v>13657011.488363462</c:v>
                      </c:pt>
                      <c:pt idx="672">
                        <c:v>13914898.487203743</c:v>
                      </c:pt>
                      <c:pt idx="673">
                        <c:v>14410130.211037545</c:v>
                      </c:pt>
                      <c:pt idx="674">
                        <c:v>13679553.663732033</c:v>
                      </c:pt>
                      <c:pt idx="675">
                        <c:v>14038532.537428487</c:v>
                      </c:pt>
                      <c:pt idx="676">
                        <c:v>13584492.072241822</c:v>
                      </c:pt>
                      <c:pt idx="677">
                        <c:v>14201133.021614213</c:v>
                      </c:pt>
                      <c:pt idx="678">
                        <c:v>14126820.588839268</c:v>
                      </c:pt>
                      <c:pt idx="679">
                        <c:v>13822403.831453213</c:v>
                      </c:pt>
                      <c:pt idx="680">
                        <c:v>13353436.022118758</c:v>
                      </c:pt>
                      <c:pt idx="681">
                        <c:v>12138442.145235274</c:v>
                      </c:pt>
                      <c:pt idx="682">
                        <c:v>13540021.806281261</c:v>
                      </c:pt>
                      <c:pt idx="683">
                        <c:v>14393593.314307345</c:v>
                      </c:pt>
                      <c:pt idx="684">
                        <c:v>14337137.217181923</c:v>
                      </c:pt>
                      <c:pt idx="685">
                        <c:v>13260988.450056937</c:v>
                      </c:pt>
                      <c:pt idx="686">
                        <c:v>14866998.615177352</c:v>
                      </c:pt>
                      <c:pt idx="687">
                        <c:v>12694840.877383132</c:v>
                      </c:pt>
                      <c:pt idx="688">
                        <c:v>14171698.59186163</c:v>
                      </c:pt>
                      <c:pt idx="689">
                        <c:v>14435341.009859392</c:v>
                      </c:pt>
                      <c:pt idx="690">
                        <c:v>14108356.709885001</c:v>
                      </c:pt>
                      <c:pt idx="691">
                        <c:v>13088274.230175486</c:v>
                      </c:pt>
                      <c:pt idx="692">
                        <c:v>13789593.887319496</c:v>
                      </c:pt>
                      <c:pt idx="693">
                        <c:v>13315528.188274963</c:v>
                      </c:pt>
                      <c:pt idx="694">
                        <c:v>12711244.19543721</c:v>
                      </c:pt>
                      <c:pt idx="695">
                        <c:v>14330389.745195871</c:v>
                      </c:pt>
                      <c:pt idx="696">
                        <c:v>14959804.328404937</c:v>
                      </c:pt>
                      <c:pt idx="697">
                        <c:v>13971930.61343855</c:v>
                      </c:pt>
                      <c:pt idx="698">
                        <c:v>13041421.937050547</c:v>
                      </c:pt>
                      <c:pt idx="699">
                        <c:v>14050869.981015665</c:v>
                      </c:pt>
                      <c:pt idx="700">
                        <c:v>14305339.899187999</c:v>
                      </c:pt>
                      <c:pt idx="701">
                        <c:v>14044798.782724703</c:v>
                      </c:pt>
                      <c:pt idx="702">
                        <c:v>13388086.463859396</c:v>
                      </c:pt>
                      <c:pt idx="703">
                        <c:v>13938890.67153433</c:v>
                      </c:pt>
                      <c:pt idx="704">
                        <c:v>14109802.393195426</c:v>
                      </c:pt>
                      <c:pt idx="705">
                        <c:v>15289443.515219172</c:v>
                      </c:pt>
                      <c:pt idx="706">
                        <c:v>14181803.893971287</c:v>
                      </c:pt>
                      <c:pt idx="707">
                        <c:v>13907071.67767046</c:v>
                      </c:pt>
                      <c:pt idx="708">
                        <c:v>13965459.850838974</c:v>
                      </c:pt>
                      <c:pt idx="709">
                        <c:v>13098929.048515288</c:v>
                      </c:pt>
                      <c:pt idx="710">
                        <c:v>13987181.184879424</c:v>
                      </c:pt>
                      <c:pt idx="711">
                        <c:v>12820677.733490089</c:v>
                      </c:pt>
                      <c:pt idx="712">
                        <c:v>14154579.393654095</c:v>
                      </c:pt>
                      <c:pt idx="713">
                        <c:v>14085305.781162485</c:v>
                      </c:pt>
                      <c:pt idx="714">
                        <c:v>14371744.224887099</c:v>
                      </c:pt>
                      <c:pt idx="715">
                        <c:v>14693081.136183573</c:v>
                      </c:pt>
                      <c:pt idx="716">
                        <c:v>13662830.236011688</c:v>
                      </c:pt>
                      <c:pt idx="717">
                        <c:v>14257987.78217876</c:v>
                      </c:pt>
                      <c:pt idx="718">
                        <c:v>14295714.790212004</c:v>
                      </c:pt>
                      <c:pt idx="719">
                        <c:v>14166649.139897401</c:v>
                      </c:pt>
                      <c:pt idx="720">
                        <c:v>14698186.24488957</c:v>
                      </c:pt>
                      <c:pt idx="721">
                        <c:v>14034175.546611207</c:v>
                      </c:pt>
                      <c:pt idx="722">
                        <c:v>14329156.187692912</c:v>
                      </c:pt>
                      <c:pt idx="723">
                        <c:v>13568108.713492006</c:v>
                      </c:pt>
                      <c:pt idx="724">
                        <c:v>14710228.806061029</c:v>
                      </c:pt>
                      <c:pt idx="725">
                        <c:v>13937585.127782384</c:v>
                      </c:pt>
                      <c:pt idx="726">
                        <c:v>13769864.885129698</c:v>
                      </c:pt>
                      <c:pt idx="727">
                        <c:v>13974222.227508629</c:v>
                      </c:pt>
                      <c:pt idx="728">
                        <c:v>14711656.043330159</c:v>
                      </c:pt>
                      <c:pt idx="729">
                        <c:v>14065701.333866572</c:v>
                      </c:pt>
                      <c:pt idx="730">
                        <c:v>13508964.187491512</c:v>
                      </c:pt>
                      <c:pt idx="731">
                        <c:v>14216530.74782778</c:v>
                      </c:pt>
                      <c:pt idx="732">
                        <c:v>13643195.798811167</c:v>
                      </c:pt>
                      <c:pt idx="733">
                        <c:v>13112247.233313236</c:v>
                      </c:pt>
                      <c:pt idx="734">
                        <c:v>13439240.8957585</c:v>
                      </c:pt>
                      <c:pt idx="735">
                        <c:v>14863478.239533089</c:v>
                      </c:pt>
                      <c:pt idx="736">
                        <c:v>14818019.946593603</c:v>
                      </c:pt>
                      <c:pt idx="737">
                        <c:v>12177645.954064894</c:v>
                      </c:pt>
                      <c:pt idx="738">
                        <c:v>14212833.99448326</c:v>
                      </c:pt>
                      <c:pt idx="739">
                        <c:v>14005049.823264943</c:v>
                      </c:pt>
                      <c:pt idx="740">
                        <c:v>13295192.1575399</c:v>
                      </c:pt>
                      <c:pt idx="741">
                        <c:v>14631709.936269326</c:v>
                      </c:pt>
                      <c:pt idx="742">
                        <c:v>14398031.059845941</c:v>
                      </c:pt>
                      <c:pt idx="743">
                        <c:v>13825161.512097858</c:v>
                      </c:pt>
                      <c:pt idx="744">
                        <c:v>14401838.865487812</c:v>
                      </c:pt>
                      <c:pt idx="745">
                        <c:v>13606822.672007311</c:v>
                      </c:pt>
                      <c:pt idx="746">
                        <c:v>14398775.567169733</c:v>
                      </c:pt>
                      <c:pt idx="747">
                        <c:v>14995663.020689119</c:v>
                      </c:pt>
                      <c:pt idx="748">
                        <c:v>14480846.826320097</c:v>
                      </c:pt>
                      <c:pt idx="749">
                        <c:v>12821612.644658025</c:v>
                      </c:pt>
                      <c:pt idx="750">
                        <c:v>13915788.727346921</c:v>
                      </c:pt>
                      <c:pt idx="751">
                        <c:v>14595458.270113835</c:v>
                      </c:pt>
                      <c:pt idx="752">
                        <c:v>13275081.457919594</c:v>
                      </c:pt>
                      <c:pt idx="753">
                        <c:v>13400028.385763129</c:v>
                      </c:pt>
                      <c:pt idx="754">
                        <c:v>14696547.540498627</c:v>
                      </c:pt>
                      <c:pt idx="755">
                        <c:v>13389556.41387875</c:v>
                      </c:pt>
                      <c:pt idx="756">
                        <c:v>15068662.855135752</c:v>
                      </c:pt>
                      <c:pt idx="757">
                        <c:v>13470921.587163918</c:v>
                      </c:pt>
                      <c:pt idx="758">
                        <c:v>13188355.004748637</c:v>
                      </c:pt>
                      <c:pt idx="759">
                        <c:v>11158501.511880787</c:v>
                      </c:pt>
                      <c:pt idx="760">
                        <c:v>13363497.131969184</c:v>
                      </c:pt>
                      <c:pt idx="761">
                        <c:v>12021019.2503103</c:v>
                      </c:pt>
                      <c:pt idx="762">
                        <c:v>14352073.6479709</c:v>
                      </c:pt>
                      <c:pt idx="763">
                        <c:v>13384102.251081413</c:v>
                      </c:pt>
                      <c:pt idx="764">
                        <c:v>13129018.862446364</c:v>
                      </c:pt>
                      <c:pt idx="765">
                        <c:v>13012435.29103834</c:v>
                      </c:pt>
                      <c:pt idx="766">
                        <c:v>13576995.612691307</c:v>
                      </c:pt>
                      <c:pt idx="767">
                        <c:v>13939886.841805216</c:v>
                      </c:pt>
                      <c:pt idx="768">
                        <c:v>13626770.421620836</c:v>
                      </c:pt>
                      <c:pt idx="769">
                        <c:v>13801447.584571771</c:v>
                      </c:pt>
                      <c:pt idx="770">
                        <c:v>13299584.777640359</c:v>
                      </c:pt>
                      <c:pt idx="771">
                        <c:v>14420134.468511483</c:v>
                      </c:pt>
                      <c:pt idx="772">
                        <c:v>11540230.998042196</c:v>
                      </c:pt>
                      <c:pt idx="773">
                        <c:v>13621284.693731781</c:v>
                      </c:pt>
                      <c:pt idx="774">
                        <c:v>13454979.712984636</c:v>
                      </c:pt>
                      <c:pt idx="775">
                        <c:v>12102668.823627267</c:v>
                      </c:pt>
                      <c:pt idx="776">
                        <c:v>14255197.462609505</c:v>
                      </c:pt>
                      <c:pt idx="777">
                        <c:v>13851267.730080053</c:v>
                      </c:pt>
                      <c:pt idx="778">
                        <c:v>14107540.986827761</c:v>
                      </c:pt>
                      <c:pt idx="779">
                        <c:v>13132156.372166827</c:v>
                      </c:pt>
                      <c:pt idx="780">
                        <c:v>13834793.860005802</c:v>
                      </c:pt>
                      <c:pt idx="781">
                        <c:v>14820515.516095677</c:v>
                      </c:pt>
                      <c:pt idx="782">
                        <c:v>14188124.987071216</c:v>
                      </c:pt>
                      <c:pt idx="783">
                        <c:v>13388300.197390543</c:v>
                      </c:pt>
                      <c:pt idx="784">
                        <c:v>14620175.512816928</c:v>
                      </c:pt>
                      <c:pt idx="785">
                        <c:v>14015472.720098248</c:v>
                      </c:pt>
                      <c:pt idx="786">
                        <c:v>13285574.324764956</c:v>
                      </c:pt>
                      <c:pt idx="787">
                        <c:v>13657376.669549432</c:v>
                      </c:pt>
                      <c:pt idx="788">
                        <c:v>12380345.217630956</c:v>
                      </c:pt>
                      <c:pt idx="789">
                        <c:v>12910650.049658019</c:v>
                      </c:pt>
                      <c:pt idx="790">
                        <c:v>13651984.937641595</c:v>
                      </c:pt>
                      <c:pt idx="791">
                        <c:v>13028712.888779972</c:v>
                      </c:pt>
                      <c:pt idx="792">
                        <c:v>13138010.113520227</c:v>
                      </c:pt>
                      <c:pt idx="793">
                        <c:v>13781318.014797624</c:v>
                      </c:pt>
                      <c:pt idx="794">
                        <c:v>13517414.737199787</c:v>
                      </c:pt>
                      <c:pt idx="795">
                        <c:v>13398378.203208661</c:v>
                      </c:pt>
                      <c:pt idx="796">
                        <c:v>13784354.520374445</c:v>
                      </c:pt>
                      <c:pt idx="797">
                        <c:v>11698253.07184932</c:v>
                      </c:pt>
                      <c:pt idx="798">
                        <c:v>13113594.773304729</c:v>
                      </c:pt>
                      <c:pt idx="799">
                        <c:v>12813657.214444621</c:v>
                      </c:pt>
                      <c:pt idx="800">
                        <c:v>13594153.150001908</c:v>
                      </c:pt>
                      <c:pt idx="801">
                        <c:v>13796399.500925427</c:v>
                      </c:pt>
                      <c:pt idx="802">
                        <c:v>13630291.366304008</c:v>
                      </c:pt>
                      <c:pt idx="803">
                        <c:v>12956866.157958649</c:v>
                      </c:pt>
                      <c:pt idx="804">
                        <c:v>14085934.893522386</c:v>
                      </c:pt>
                      <c:pt idx="805">
                        <c:v>13947134.778552374</c:v>
                      </c:pt>
                      <c:pt idx="806">
                        <c:v>14818667.164751511</c:v>
                      </c:pt>
                      <c:pt idx="807">
                        <c:v>14702197.455949038</c:v>
                      </c:pt>
                      <c:pt idx="808">
                        <c:v>13352256.166758414</c:v>
                      </c:pt>
                      <c:pt idx="809">
                        <c:v>13477286.418633366</c:v>
                      </c:pt>
                      <c:pt idx="810">
                        <c:v>12750909.12262034</c:v>
                      </c:pt>
                      <c:pt idx="811">
                        <c:v>13667435.591750596</c:v>
                      </c:pt>
                      <c:pt idx="812">
                        <c:v>14408654.938622747</c:v>
                      </c:pt>
                      <c:pt idx="813">
                        <c:v>13675643.476814486</c:v>
                      </c:pt>
                      <c:pt idx="814">
                        <c:v>14603098.510776512</c:v>
                      </c:pt>
                      <c:pt idx="815">
                        <c:v>12942694.396779824</c:v>
                      </c:pt>
                      <c:pt idx="816">
                        <c:v>14162590.033677297</c:v>
                      </c:pt>
                      <c:pt idx="817">
                        <c:v>14337640.674476357</c:v>
                      </c:pt>
                      <c:pt idx="818">
                        <c:v>14707330.564124545</c:v>
                      </c:pt>
                      <c:pt idx="819">
                        <c:v>14237063.913345074</c:v>
                      </c:pt>
                      <c:pt idx="820">
                        <c:v>14877281.395305244</c:v>
                      </c:pt>
                      <c:pt idx="821">
                        <c:v>13638808.149900543</c:v>
                      </c:pt>
                      <c:pt idx="822">
                        <c:v>13941423.468452821</c:v>
                      </c:pt>
                      <c:pt idx="823">
                        <c:v>12372605.041620761</c:v>
                      </c:pt>
                      <c:pt idx="824">
                        <c:v>12807936.304174954</c:v>
                      </c:pt>
                      <c:pt idx="825">
                        <c:v>14408237.354407234</c:v>
                      </c:pt>
                      <c:pt idx="826">
                        <c:v>13463949.03580695</c:v>
                      </c:pt>
                      <c:pt idx="827">
                        <c:v>13089373.308251008</c:v>
                      </c:pt>
                      <c:pt idx="828">
                        <c:v>13684428.571006441</c:v>
                      </c:pt>
                      <c:pt idx="829">
                        <c:v>13249854.126535924</c:v>
                      </c:pt>
                      <c:pt idx="830">
                        <c:v>13429938.30196831</c:v>
                      </c:pt>
                      <c:pt idx="831">
                        <c:v>14009594.978359289</c:v>
                      </c:pt>
                      <c:pt idx="832">
                        <c:v>14036764.054101687</c:v>
                      </c:pt>
                      <c:pt idx="833">
                        <c:v>14108918.681465479</c:v>
                      </c:pt>
                      <c:pt idx="834">
                        <c:v>12869161.128873345</c:v>
                      </c:pt>
                      <c:pt idx="835">
                        <c:v>12866742.47363387</c:v>
                      </c:pt>
                      <c:pt idx="836">
                        <c:v>14052848.684228145</c:v>
                      </c:pt>
                      <c:pt idx="837">
                        <c:v>13822352.480233524</c:v>
                      </c:pt>
                      <c:pt idx="838">
                        <c:v>14410772.060830459</c:v>
                      </c:pt>
                      <c:pt idx="839">
                        <c:v>14036326.868088828</c:v>
                      </c:pt>
                      <c:pt idx="840">
                        <c:v>14423768.710493157</c:v>
                      </c:pt>
                      <c:pt idx="841">
                        <c:v>12370154.885117669</c:v>
                      </c:pt>
                      <c:pt idx="842">
                        <c:v>14151907.606448131</c:v>
                      </c:pt>
                      <c:pt idx="843">
                        <c:v>14379500.506321697</c:v>
                      </c:pt>
                      <c:pt idx="844">
                        <c:v>13795219.060739914</c:v>
                      </c:pt>
                      <c:pt idx="845">
                        <c:v>13222800.81824917</c:v>
                      </c:pt>
                      <c:pt idx="846">
                        <c:v>12386169.629669871</c:v>
                      </c:pt>
                      <c:pt idx="847">
                        <c:v>14052915.198942656</c:v>
                      </c:pt>
                      <c:pt idx="848">
                        <c:v>12234883.333351456</c:v>
                      </c:pt>
                      <c:pt idx="849">
                        <c:v>14346999.037681194</c:v>
                      </c:pt>
                      <c:pt idx="850">
                        <c:v>14477993.163237495</c:v>
                      </c:pt>
                      <c:pt idx="851">
                        <c:v>12960609.662125615</c:v>
                      </c:pt>
                      <c:pt idx="852">
                        <c:v>14232566.45474714</c:v>
                      </c:pt>
                      <c:pt idx="853">
                        <c:v>15114869.587042028</c:v>
                      </c:pt>
                      <c:pt idx="854">
                        <c:v>14884673.216710504</c:v>
                      </c:pt>
                      <c:pt idx="855">
                        <c:v>12492174.244408118</c:v>
                      </c:pt>
                      <c:pt idx="856">
                        <c:v>13878080.703316865</c:v>
                      </c:pt>
                      <c:pt idx="857">
                        <c:v>12039553.486905547</c:v>
                      </c:pt>
                      <c:pt idx="858">
                        <c:v>13872403.383009879</c:v>
                      </c:pt>
                      <c:pt idx="859">
                        <c:v>15159834.424361195</c:v>
                      </c:pt>
                      <c:pt idx="860">
                        <c:v>14228242.672443319</c:v>
                      </c:pt>
                      <c:pt idx="861">
                        <c:v>12201763.637986727</c:v>
                      </c:pt>
                      <c:pt idx="862">
                        <c:v>14196301.309623294</c:v>
                      </c:pt>
                      <c:pt idx="863">
                        <c:v>13106926.398861412</c:v>
                      </c:pt>
                      <c:pt idx="864">
                        <c:v>12777895.350906115</c:v>
                      </c:pt>
                      <c:pt idx="865">
                        <c:v>14359782.668088183</c:v>
                      </c:pt>
                      <c:pt idx="866">
                        <c:v>13805730.552985018</c:v>
                      </c:pt>
                      <c:pt idx="867">
                        <c:v>14481584.699099388</c:v>
                      </c:pt>
                      <c:pt idx="868">
                        <c:v>14167365.952505771</c:v>
                      </c:pt>
                      <c:pt idx="869">
                        <c:v>13824933.304058107</c:v>
                      </c:pt>
                      <c:pt idx="870">
                        <c:v>14072265.966609538</c:v>
                      </c:pt>
                      <c:pt idx="871">
                        <c:v>13134054.000973633</c:v>
                      </c:pt>
                      <c:pt idx="872">
                        <c:v>13783079.232592002</c:v>
                      </c:pt>
                      <c:pt idx="873">
                        <c:v>13827938.986852322</c:v>
                      </c:pt>
                      <c:pt idx="874">
                        <c:v>14789941.10663661</c:v>
                      </c:pt>
                      <c:pt idx="875">
                        <c:v>13745398.33389065</c:v>
                      </c:pt>
                      <c:pt idx="876">
                        <c:v>13060499.306221562</c:v>
                      </c:pt>
                      <c:pt idx="877">
                        <c:v>15878864.466927152</c:v>
                      </c:pt>
                      <c:pt idx="878">
                        <c:v>13524742.976474633</c:v>
                      </c:pt>
                      <c:pt idx="879">
                        <c:v>13498262.828904526</c:v>
                      </c:pt>
                      <c:pt idx="880">
                        <c:v>13618173.196954625</c:v>
                      </c:pt>
                      <c:pt idx="881">
                        <c:v>14766962.218130765</c:v>
                      </c:pt>
                      <c:pt idx="882">
                        <c:v>13985708.994981669</c:v>
                      </c:pt>
                      <c:pt idx="883">
                        <c:v>13443996.306483019</c:v>
                      </c:pt>
                      <c:pt idx="884">
                        <c:v>14075631.778620815</c:v>
                      </c:pt>
                      <c:pt idx="885">
                        <c:v>13871522.866718354</c:v>
                      </c:pt>
                      <c:pt idx="886">
                        <c:v>14701438.904562587</c:v>
                      </c:pt>
                      <c:pt idx="887">
                        <c:v>14070535.446822317</c:v>
                      </c:pt>
                      <c:pt idx="888">
                        <c:v>13931986.668077698</c:v>
                      </c:pt>
                      <c:pt idx="889">
                        <c:v>14822152.018169826</c:v>
                      </c:pt>
                      <c:pt idx="890">
                        <c:v>13391312.654493047</c:v>
                      </c:pt>
                      <c:pt idx="891">
                        <c:v>12828691.947356818</c:v>
                      </c:pt>
                      <c:pt idx="892">
                        <c:v>12625697.933348604</c:v>
                      </c:pt>
                      <c:pt idx="893">
                        <c:v>14841572.26293603</c:v>
                      </c:pt>
                      <c:pt idx="894">
                        <c:v>14181741.785516063</c:v>
                      </c:pt>
                      <c:pt idx="895">
                        <c:v>13757383.116771664</c:v>
                      </c:pt>
                      <c:pt idx="896">
                        <c:v>14146738.849822391</c:v>
                      </c:pt>
                      <c:pt idx="897">
                        <c:v>13265506.113220325</c:v>
                      </c:pt>
                      <c:pt idx="898">
                        <c:v>12877603.362180112</c:v>
                      </c:pt>
                      <c:pt idx="899">
                        <c:v>14160928.72919742</c:v>
                      </c:pt>
                      <c:pt idx="900">
                        <c:v>14310001.749853652</c:v>
                      </c:pt>
                      <c:pt idx="901">
                        <c:v>13873074.447528094</c:v>
                      </c:pt>
                      <c:pt idx="902">
                        <c:v>13885832.30339903</c:v>
                      </c:pt>
                      <c:pt idx="903">
                        <c:v>13337077.58195675</c:v>
                      </c:pt>
                      <c:pt idx="904">
                        <c:v>14417296.481708182</c:v>
                      </c:pt>
                      <c:pt idx="905">
                        <c:v>13001078.43390579</c:v>
                      </c:pt>
                      <c:pt idx="906">
                        <c:v>13814718.297328988</c:v>
                      </c:pt>
                      <c:pt idx="907">
                        <c:v>14279667.017609825</c:v>
                      </c:pt>
                      <c:pt idx="908">
                        <c:v>13617028.251383558</c:v>
                      </c:pt>
                      <c:pt idx="909">
                        <c:v>13823256.67764678</c:v>
                      </c:pt>
                      <c:pt idx="910">
                        <c:v>12126308.054271821</c:v>
                      </c:pt>
                      <c:pt idx="911">
                        <c:v>13605172.823806314</c:v>
                      </c:pt>
                      <c:pt idx="912">
                        <c:v>14348287.935338004</c:v>
                      </c:pt>
                      <c:pt idx="913">
                        <c:v>14255546.975625148</c:v>
                      </c:pt>
                      <c:pt idx="914">
                        <c:v>13076649.294548705</c:v>
                      </c:pt>
                      <c:pt idx="915">
                        <c:v>12622031.108394256</c:v>
                      </c:pt>
                      <c:pt idx="916">
                        <c:v>12952851.45295706</c:v>
                      </c:pt>
                      <c:pt idx="917">
                        <c:v>12717609.717240442</c:v>
                      </c:pt>
                      <c:pt idx="918">
                        <c:v>13222639.922859471</c:v>
                      </c:pt>
                      <c:pt idx="919">
                        <c:v>13940171.30998959</c:v>
                      </c:pt>
                      <c:pt idx="920">
                        <c:v>12973773.355791602</c:v>
                      </c:pt>
                      <c:pt idx="921">
                        <c:v>14081311.252616301</c:v>
                      </c:pt>
                      <c:pt idx="922">
                        <c:v>14394748.294750337</c:v>
                      </c:pt>
                      <c:pt idx="923">
                        <c:v>14365443.354122704</c:v>
                      </c:pt>
                      <c:pt idx="924">
                        <c:v>14443423.379309073</c:v>
                      </c:pt>
                      <c:pt idx="925">
                        <c:v>13162725.582603956</c:v>
                      </c:pt>
                      <c:pt idx="926">
                        <c:v>13673495.38234194</c:v>
                      </c:pt>
                      <c:pt idx="927">
                        <c:v>12739860.445412336</c:v>
                      </c:pt>
                      <c:pt idx="928">
                        <c:v>12264487.532772115</c:v>
                      </c:pt>
                      <c:pt idx="929">
                        <c:v>12468089.398233641</c:v>
                      </c:pt>
                      <c:pt idx="930">
                        <c:v>13580936.218990589</c:v>
                      </c:pt>
                      <c:pt idx="931">
                        <c:v>13978949.25895598</c:v>
                      </c:pt>
                      <c:pt idx="932">
                        <c:v>14100664.895124383</c:v>
                      </c:pt>
                      <c:pt idx="933">
                        <c:v>13647073.793616414</c:v>
                      </c:pt>
                      <c:pt idx="934">
                        <c:v>13073710.314139506</c:v>
                      </c:pt>
                      <c:pt idx="935">
                        <c:v>14463306.802993523</c:v>
                      </c:pt>
                      <c:pt idx="936">
                        <c:v>13824777.845182881</c:v>
                      </c:pt>
                      <c:pt idx="937">
                        <c:v>13972015.540068151</c:v>
                      </c:pt>
                      <c:pt idx="938">
                        <c:v>13231034.728808044</c:v>
                      </c:pt>
                      <c:pt idx="939">
                        <c:v>14564907.461246574</c:v>
                      </c:pt>
                      <c:pt idx="940">
                        <c:v>12951304.199613439</c:v>
                      </c:pt>
                      <c:pt idx="941">
                        <c:v>13161687.923424248</c:v>
                      </c:pt>
                      <c:pt idx="942">
                        <c:v>14229094.67156817</c:v>
                      </c:pt>
                      <c:pt idx="943">
                        <c:v>13867699.145874245</c:v>
                      </c:pt>
                      <c:pt idx="944">
                        <c:v>13604705.591483548</c:v>
                      </c:pt>
                      <c:pt idx="945">
                        <c:v>12972177.650345104</c:v>
                      </c:pt>
                      <c:pt idx="946">
                        <c:v>12985174.275209926</c:v>
                      </c:pt>
                      <c:pt idx="947">
                        <c:v>12702801.171436466</c:v>
                      </c:pt>
                      <c:pt idx="948">
                        <c:v>13669418.402071996</c:v>
                      </c:pt>
                      <c:pt idx="949">
                        <c:v>14005212.510270204</c:v>
                      </c:pt>
                      <c:pt idx="950">
                        <c:v>12838882.014088538</c:v>
                      </c:pt>
                      <c:pt idx="951">
                        <c:v>13074477.419594571</c:v>
                      </c:pt>
                      <c:pt idx="952">
                        <c:v>13221902.739542715</c:v>
                      </c:pt>
                      <c:pt idx="953">
                        <c:v>12750421.214077225</c:v>
                      </c:pt>
                      <c:pt idx="954">
                        <c:v>15013164.469263427</c:v>
                      </c:pt>
                      <c:pt idx="955">
                        <c:v>13146879.63621358</c:v>
                      </c:pt>
                      <c:pt idx="956">
                        <c:v>14587247.142221333</c:v>
                      </c:pt>
                      <c:pt idx="957">
                        <c:v>13738173.766957661</c:v>
                      </c:pt>
                      <c:pt idx="958">
                        <c:v>14455031.383155702</c:v>
                      </c:pt>
                      <c:pt idx="959">
                        <c:v>13503646.922078231</c:v>
                      </c:pt>
                      <c:pt idx="960">
                        <c:v>14464018.844146995</c:v>
                      </c:pt>
                      <c:pt idx="961">
                        <c:v>14033309.343851915</c:v>
                      </c:pt>
                      <c:pt idx="962">
                        <c:v>13611095.59162776</c:v>
                      </c:pt>
                      <c:pt idx="963">
                        <c:v>13357449.252725089</c:v>
                      </c:pt>
                      <c:pt idx="964">
                        <c:v>14230616.678904947</c:v>
                      </c:pt>
                      <c:pt idx="965">
                        <c:v>14230862.573383326</c:v>
                      </c:pt>
                      <c:pt idx="966">
                        <c:v>14087027.949657582</c:v>
                      </c:pt>
                      <c:pt idx="967">
                        <c:v>13925146.470564723</c:v>
                      </c:pt>
                      <c:pt idx="968">
                        <c:v>12398737.018004114</c:v>
                      </c:pt>
                      <c:pt idx="969">
                        <c:v>12165120.962189836</c:v>
                      </c:pt>
                      <c:pt idx="970">
                        <c:v>14251067.176113535</c:v>
                      </c:pt>
                      <c:pt idx="971">
                        <c:v>14535515.027579783</c:v>
                      </c:pt>
                      <c:pt idx="972">
                        <c:v>15092550.529510915</c:v>
                      </c:pt>
                      <c:pt idx="973">
                        <c:v>13359762.187881963</c:v>
                      </c:pt>
                      <c:pt idx="974">
                        <c:v>15171926.427286893</c:v>
                      </c:pt>
                      <c:pt idx="975">
                        <c:v>13858894.357902383</c:v>
                      </c:pt>
                      <c:pt idx="976">
                        <c:v>13985468.741302252</c:v>
                      </c:pt>
                      <c:pt idx="977">
                        <c:v>13401811.182362504</c:v>
                      </c:pt>
                      <c:pt idx="978">
                        <c:v>14526107.0444708</c:v>
                      </c:pt>
                      <c:pt idx="979">
                        <c:v>13852538.926336272</c:v>
                      </c:pt>
                      <c:pt idx="980">
                        <c:v>13932947.478101874</c:v>
                      </c:pt>
                      <c:pt idx="981">
                        <c:v>13853361.223822827</c:v>
                      </c:pt>
                      <c:pt idx="982">
                        <c:v>14952221.925415257</c:v>
                      </c:pt>
                      <c:pt idx="983">
                        <c:v>13658989.54188077</c:v>
                      </c:pt>
                      <c:pt idx="984">
                        <c:v>13966247.511312686</c:v>
                      </c:pt>
                      <c:pt idx="985">
                        <c:v>13305535.544766247</c:v>
                      </c:pt>
                      <c:pt idx="986">
                        <c:v>13964212.174910722</c:v>
                      </c:pt>
                      <c:pt idx="987">
                        <c:v>14306416.950707557</c:v>
                      </c:pt>
                      <c:pt idx="988">
                        <c:v>13459798.777376339</c:v>
                      </c:pt>
                      <c:pt idx="989">
                        <c:v>12163682.998591729</c:v>
                      </c:pt>
                      <c:pt idx="990">
                        <c:v>14823803.487471363</c:v>
                      </c:pt>
                      <c:pt idx="991">
                        <c:v>14022242.599549504</c:v>
                      </c:pt>
                      <c:pt idx="992">
                        <c:v>14055184.735911259</c:v>
                      </c:pt>
                      <c:pt idx="993">
                        <c:v>14766588.608299106</c:v>
                      </c:pt>
                      <c:pt idx="994">
                        <c:v>12624846.46810146</c:v>
                      </c:pt>
                      <c:pt idx="995">
                        <c:v>12938735.976486761</c:v>
                      </c:pt>
                      <c:pt idx="996">
                        <c:v>14027005.642253565</c:v>
                      </c:pt>
                      <c:pt idx="997">
                        <c:v>13460561.092813302</c:v>
                      </c:pt>
                      <c:pt idx="998">
                        <c:v>14274948.690921474</c:v>
                      </c:pt>
                      <c:pt idx="999">
                        <c:v>13570075.620334199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168B-40A0-96A2-5F155BD4D7B7}"/>
                  </c:ext>
                </c:extLst>
              </c15:ser>
            </c15:filteredScatterSeries>
          </c:ext>
        </c:extLst>
      </c:scatterChart>
      <c:valAx>
        <c:axId val="211206264"/>
        <c:scaling>
          <c:orientation val="minMax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sv-SE" b="1"/>
                  <a:t>incremental</a:t>
                </a:r>
                <a:r>
                  <a:rPr lang="sv-SE" b="1" baseline="0"/>
                  <a:t> QALYs</a:t>
                </a:r>
                <a:endParaRPr lang="sv-SE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11203520"/>
        <c:crosses val="autoZero"/>
        <c:crossBetween val="midCat"/>
        <c:majorUnit val="0.30000000000000004"/>
      </c:valAx>
      <c:valAx>
        <c:axId val="211203520"/>
        <c:scaling>
          <c:orientation val="minMax"/>
        </c:scaling>
        <c:delete val="0"/>
        <c:axPos val="l"/>
        <c:numFmt formatCode="&quot;₩&quot;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11206264"/>
        <c:crosses val="autoZero"/>
        <c:crossBetween val="midCat"/>
        <c:majorUnit val="100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CE</a:t>
            </a:r>
            <a:r>
              <a:rPr lang="en-US" altLang="ko-KR" baseline="0"/>
              <a:t> Acceptability Curve</a:t>
            </a:r>
            <a:endParaRPr lang="en-US" altLang="ko-K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0.13024349116600104"/>
          <c:y val="0.12184309758607767"/>
          <c:w val="0.76535198982028119"/>
          <c:h val="0.76202018024113316"/>
        </c:manualLayout>
      </c:layout>
      <c:scatterChart>
        <c:scatterStyle val="lineMarker"/>
        <c:varyColors val="0"/>
        <c:ser>
          <c:idx val="1"/>
          <c:order val="0"/>
          <c:tx>
            <c:strRef>
              <c:f>simulation!$N$6</c:f>
              <c:strCache>
                <c:ptCount val="1"/>
                <c:pt idx="0">
                  <c:v>SoC</c:v>
                </c:pt>
              </c:strCache>
            </c:strRef>
          </c:tx>
          <c:spPr>
            <a:ln w="25400" cap="rnd">
              <a:solidFill>
                <a:sysClr val="window" lastClr="FFFFFF">
                  <a:lumMod val="50000"/>
                  <a:alpha val="55000"/>
                </a:sysClr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ysClr val="window" lastClr="FFFFFF">
                  <a:lumMod val="50000"/>
                </a:sysClr>
              </a:solidFill>
              <a:ln w="3175">
                <a:noFill/>
              </a:ln>
              <a:effectLst/>
            </c:spPr>
          </c:marker>
          <c:xVal>
            <c:numRef>
              <c:f>simulation!$L$8:$L$306</c:f>
              <c:numCache>
                <c:formatCode>#,##0</c:formatCode>
                <c:ptCount val="299"/>
                <c:pt idx="0">
                  <c:v>10000000</c:v>
                </c:pt>
                <c:pt idx="1">
                  <c:v>15000000</c:v>
                </c:pt>
                <c:pt idx="2">
                  <c:v>20000000</c:v>
                </c:pt>
                <c:pt idx="3">
                  <c:v>25000000</c:v>
                </c:pt>
                <c:pt idx="4">
                  <c:v>30000000</c:v>
                </c:pt>
                <c:pt idx="5">
                  <c:v>35000000</c:v>
                </c:pt>
                <c:pt idx="6">
                  <c:v>40000000</c:v>
                </c:pt>
                <c:pt idx="7">
                  <c:v>45000000</c:v>
                </c:pt>
                <c:pt idx="8">
                  <c:v>50000000</c:v>
                </c:pt>
                <c:pt idx="9">
                  <c:v>55000000</c:v>
                </c:pt>
                <c:pt idx="10">
                  <c:v>60000000</c:v>
                </c:pt>
                <c:pt idx="11">
                  <c:v>65000000</c:v>
                </c:pt>
                <c:pt idx="12">
                  <c:v>70000000</c:v>
                </c:pt>
                <c:pt idx="13">
                  <c:v>75000000</c:v>
                </c:pt>
                <c:pt idx="14">
                  <c:v>80000000</c:v>
                </c:pt>
                <c:pt idx="15">
                  <c:v>85000000</c:v>
                </c:pt>
                <c:pt idx="16">
                  <c:v>90000000</c:v>
                </c:pt>
                <c:pt idx="17">
                  <c:v>95000000</c:v>
                </c:pt>
                <c:pt idx="18">
                  <c:v>100000000</c:v>
                </c:pt>
                <c:pt idx="19">
                  <c:v>105000000</c:v>
                </c:pt>
                <c:pt idx="20">
                  <c:v>110000000</c:v>
                </c:pt>
                <c:pt idx="21">
                  <c:v>115000000</c:v>
                </c:pt>
                <c:pt idx="22">
                  <c:v>120000000</c:v>
                </c:pt>
                <c:pt idx="23">
                  <c:v>125000000</c:v>
                </c:pt>
                <c:pt idx="24">
                  <c:v>130000000</c:v>
                </c:pt>
                <c:pt idx="25">
                  <c:v>135000000</c:v>
                </c:pt>
                <c:pt idx="26">
                  <c:v>140000000</c:v>
                </c:pt>
                <c:pt idx="27">
                  <c:v>145000000</c:v>
                </c:pt>
                <c:pt idx="28">
                  <c:v>150000000</c:v>
                </c:pt>
                <c:pt idx="29">
                  <c:v>155000000</c:v>
                </c:pt>
                <c:pt idx="30">
                  <c:v>160000000</c:v>
                </c:pt>
                <c:pt idx="31">
                  <c:v>165000000</c:v>
                </c:pt>
                <c:pt idx="32">
                  <c:v>170000000</c:v>
                </c:pt>
                <c:pt idx="33">
                  <c:v>175000000</c:v>
                </c:pt>
                <c:pt idx="34">
                  <c:v>180000000</c:v>
                </c:pt>
                <c:pt idx="35">
                  <c:v>185000000</c:v>
                </c:pt>
                <c:pt idx="36">
                  <c:v>190000000</c:v>
                </c:pt>
                <c:pt idx="37">
                  <c:v>195000000</c:v>
                </c:pt>
                <c:pt idx="38">
                  <c:v>200000000</c:v>
                </c:pt>
                <c:pt idx="39">
                  <c:v>205000000</c:v>
                </c:pt>
                <c:pt idx="40">
                  <c:v>210000000</c:v>
                </c:pt>
                <c:pt idx="41">
                  <c:v>215000000</c:v>
                </c:pt>
                <c:pt idx="42">
                  <c:v>220000000</c:v>
                </c:pt>
                <c:pt idx="43">
                  <c:v>225000000</c:v>
                </c:pt>
                <c:pt idx="44">
                  <c:v>230000000</c:v>
                </c:pt>
                <c:pt idx="45">
                  <c:v>235000000</c:v>
                </c:pt>
                <c:pt idx="46">
                  <c:v>240000000</c:v>
                </c:pt>
                <c:pt idx="47">
                  <c:v>245000000</c:v>
                </c:pt>
                <c:pt idx="48">
                  <c:v>250000000</c:v>
                </c:pt>
                <c:pt idx="49">
                  <c:v>255000000</c:v>
                </c:pt>
                <c:pt idx="50">
                  <c:v>260000000</c:v>
                </c:pt>
                <c:pt idx="51">
                  <c:v>265000000</c:v>
                </c:pt>
                <c:pt idx="52">
                  <c:v>270000000</c:v>
                </c:pt>
                <c:pt idx="53">
                  <c:v>275000000</c:v>
                </c:pt>
                <c:pt idx="54">
                  <c:v>280000000</c:v>
                </c:pt>
                <c:pt idx="55">
                  <c:v>285000000</c:v>
                </c:pt>
                <c:pt idx="56">
                  <c:v>290000000</c:v>
                </c:pt>
                <c:pt idx="57">
                  <c:v>295000000</c:v>
                </c:pt>
                <c:pt idx="58">
                  <c:v>300000000</c:v>
                </c:pt>
                <c:pt idx="59">
                  <c:v>305000000</c:v>
                </c:pt>
                <c:pt idx="60">
                  <c:v>310000000</c:v>
                </c:pt>
                <c:pt idx="61">
                  <c:v>315000000</c:v>
                </c:pt>
                <c:pt idx="62">
                  <c:v>320000000</c:v>
                </c:pt>
                <c:pt idx="63">
                  <c:v>325000000</c:v>
                </c:pt>
                <c:pt idx="64">
                  <c:v>330000000</c:v>
                </c:pt>
                <c:pt idx="65">
                  <c:v>335000000</c:v>
                </c:pt>
                <c:pt idx="66">
                  <c:v>340000000</c:v>
                </c:pt>
                <c:pt idx="67">
                  <c:v>345000000</c:v>
                </c:pt>
                <c:pt idx="68">
                  <c:v>350000000</c:v>
                </c:pt>
                <c:pt idx="69">
                  <c:v>355000000</c:v>
                </c:pt>
                <c:pt idx="70">
                  <c:v>360000000</c:v>
                </c:pt>
                <c:pt idx="71">
                  <c:v>365000000</c:v>
                </c:pt>
                <c:pt idx="72">
                  <c:v>370000000</c:v>
                </c:pt>
                <c:pt idx="73">
                  <c:v>375000000</c:v>
                </c:pt>
                <c:pt idx="74">
                  <c:v>380000000</c:v>
                </c:pt>
                <c:pt idx="75">
                  <c:v>385000000</c:v>
                </c:pt>
                <c:pt idx="76">
                  <c:v>390000000</c:v>
                </c:pt>
                <c:pt idx="77">
                  <c:v>395000000</c:v>
                </c:pt>
                <c:pt idx="78">
                  <c:v>400000000</c:v>
                </c:pt>
                <c:pt idx="79">
                  <c:v>405000000</c:v>
                </c:pt>
                <c:pt idx="80">
                  <c:v>410000000</c:v>
                </c:pt>
                <c:pt idx="81">
                  <c:v>415000000</c:v>
                </c:pt>
                <c:pt idx="82">
                  <c:v>420000000</c:v>
                </c:pt>
                <c:pt idx="83">
                  <c:v>425000000</c:v>
                </c:pt>
                <c:pt idx="84">
                  <c:v>430000000</c:v>
                </c:pt>
                <c:pt idx="85">
                  <c:v>435000000</c:v>
                </c:pt>
                <c:pt idx="86">
                  <c:v>440000000</c:v>
                </c:pt>
                <c:pt idx="87">
                  <c:v>445000000</c:v>
                </c:pt>
                <c:pt idx="88">
                  <c:v>450000000</c:v>
                </c:pt>
                <c:pt idx="89">
                  <c:v>455000000</c:v>
                </c:pt>
                <c:pt idx="90">
                  <c:v>460000000</c:v>
                </c:pt>
                <c:pt idx="91">
                  <c:v>465000000</c:v>
                </c:pt>
                <c:pt idx="92">
                  <c:v>470000000</c:v>
                </c:pt>
                <c:pt idx="93">
                  <c:v>475000000</c:v>
                </c:pt>
                <c:pt idx="94">
                  <c:v>480000000</c:v>
                </c:pt>
                <c:pt idx="95">
                  <c:v>485000000</c:v>
                </c:pt>
                <c:pt idx="96">
                  <c:v>490000000</c:v>
                </c:pt>
                <c:pt idx="97">
                  <c:v>495000000</c:v>
                </c:pt>
                <c:pt idx="98">
                  <c:v>500000000</c:v>
                </c:pt>
                <c:pt idx="99">
                  <c:v>505000000</c:v>
                </c:pt>
                <c:pt idx="100">
                  <c:v>510000000</c:v>
                </c:pt>
                <c:pt idx="101">
                  <c:v>515000000</c:v>
                </c:pt>
                <c:pt idx="102">
                  <c:v>520000000</c:v>
                </c:pt>
                <c:pt idx="103">
                  <c:v>525000000</c:v>
                </c:pt>
                <c:pt idx="104">
                  <c:v>530000000</c:v>
                </c:pt>
                <c:pt idx="105">
                  <c:v>535000000</c:v>
                </c:pt>
                <c:pt idx="106">
                  <c:v>540000000</c:v>
                </c:pt>
                <c:pt idx="107">
                  <c:v>545000000</c:v>
                </c:pt>
                <c:pt idx="108">
                  <c:v>550000000</c:v>
                </c:pt>
                <c:pt idx="109">
                  <c:v>555000000</c:v>
                </c:pt>
                <c:pt idx="110">
                  <c:v>560000000</c:v>
                </c:pt>
                <c:pt idx="111">
                  <c:v>565000000</c:v>
                </c:pt>
                <c:pt idx="112">
                  <c:v>570000000</c:v>
                </c:pt>
                <c:pt idx="113">
                  <c:v>575000000</c:v>
                </c:pt>
                <c:pt idx="114">
                  <c:v>580000000</c:v>
                </c:pt>
                <c:pt idx="115">
                  <c:v>585000000</c:v>
                </c:pt>
                <c:pt idx="116">
                  <c:v>590000000</c:v>
                </c:pt>
                <c:pt idx="117">
                  <c:v>595000000</c:v>
                </c:pt>
                <c:pt idx="118">
                  <c:v>600000000</c:v>
                </c:pt>
                <c:pt idx="119">
                  <c:v>605000000</c:v>
                </c:pt>
                <c:pt idx="120">
                  <c:v>610000000</c:v>
                </c:pt>
                <c:pt idx="121">
                  <c:v>615000000</c:v>
                </c:pt>
                <c:pt idx="122">
                  <c:v>620000000</c:v>
                </c:pt>
                <c:pt idx="123">
                  <c:v>625000000</c:v>
                </c:pt>
                <c:pt idx="124">
                  <c:v>630000000</c:v>
                </c:pt>
                <c:pt idx="125">
                  <c:v>635000000</c:v>
                </c:pt>
                <c:pt idx="126">
                  <c:v>640000000</c:v>
                </c:pt>
                <c:pt idx="127">
                  <c:v>645000000</c:v>
                </c:pt>
                <c:pt idx="128">
                  <c:v>650000000</c:v>
                </c:pt>
                <c:pt idx="129">
                  <c:v>655000000</c:v>
                </c:pt>
                <c:pt idx="130">
                  <c:v>660000000</c:v>
                </c:pt>
                <c:pt idx="131">
                  <c:v>665000000</c:v>
                </c:pt>
                <c:pt idx="132">
                  <c:v>670000000</c:v>
                </c:pt>
                <c:pt idx="133">
                  <c:v>675000000</c:v>
                </c:pt>
                <c:pt idx="134">
                  <c:v>680000000</c:v>
                </c:pt>
                <c:pt idx="135">
                  <c:v>685000000</c:v>
                </c:pt>
                <c:pt idx="136">
                  <c:v>690000000</c:v>
                </c:pt>
                <c:pt idx="137">
                  <c:v>695000000</c:v>
                </c:pt>
                <c:pt idx="138">
                  <c:v>700000000</c:v>
                </c:pt>
                <c:pt idx="139">
                  <c:v>705000000</c:v>
                </c:pt>
                <c:pt idx="140">
                  <c:v>710000000</c:v>
                </c:pt>
                <c:pt idx="141">
                  <c:v>715000000</c:v>
                </c:pt>
                <c:pt idx="142">
                  <c:v>720000000</c:v>
                </c:pt>
                <c:pt idx="143">
                  <c:v>725000000</c:v>
                </c:pt>
                <c:pt idx="144">
                  <c:v>730000000</c:v>
                </c:pt>
                <c:pt idx="145">
                  <c:v>735000000</c:v>
                </c:pt>
                <c:pt idx="146">
                  <c:v>740000000</c:v>
                </c:pt>
                <c:pt idx="147">
                  <c:v>745000000</c:v>
                </c:pt>
                <c:pt idx="148">
                  <c:v>750000000</c:v>
                </c:pt>
                <c:pt idx="149">
                  <c:v>755000000</c:v>
                </c:pt>
                <c:pt idx="150">
                  <c:v>760000000</c:v>
                </c:pt>
                <c:pt idx="151">
                  <c:v>765000000</c:v>
                </c:pt>
                <c:pt idx="152">
                  <c:v>770000000</c:v>
                </c:pt>
                <c:pt idx="153">
                  <c:v>775000000</c:v>
                </c:pt>
                <c:pt idx="154">
                  <c:v>780000000</c:v>
                </c:pt>
                <c:pt idx="155">
                  <c:v>785000000</c:v>
                </c:pt>
                <c:pt idx="156">
                  <c:v>790000000</c:v>
                </c:pt>
                <c:pt idx="157">
                  <c:v>795000000</c:v>
                </c:pt>
                <c:pt idx="158">
                  <c:v>800000000</c:v>
                </c:pt>
                <c:pt idx="159">
                  <c:v>805000000</c:v>
                </c:pt>
                <c:pt idx="160">
                  <c:v>810000000</c:v>
                </c:pt>
                <c:pt idx="161">
                  <c:v>815000000</c:v>
                </c:pt>
                <c:pt idx="162">
                  <c:v>820000000</c:v>
                </c:pt>
                <c:pt idx="163">
                  <c:v>825000000</c:v>
                </c:pt>
                <c:pt idx="164">
                  <c:v>830000000</c:v>
                </c:pt>
                <c:pt idx="165">
                  <c:v>835000000</c:v>
                </c:pt>
                <c:pt idx="166">
                  <c:v>840000000</c:v>
                </c:pt>
                <c:pt idx="167">
                  <c:v>845000000</c:v>
                </c:pt>
                <c:pt idx="168">
                  <c:v>850000000</c:v>
                </c:pt>
                <c:pt idx="169">
                  <c:v>855000000</c:v>
                </c:pt>
                <c:pt idx="170">
                  <c:v>860000000</c:v>
                </c:pt>
                <c:pt idx="171">
                  <c:v>865000000</c:v>
                </c:pt>
                <c:pt idx="172">
                  <c:v>870000000</c:v>
                </c:pt>
                <c:pt idx="173">
                  <c:v>875000000</c:v>
                </c:pt>
                <c:pt idx="174">
                  <c:v>880000000</c:v>
                </c:pt>
                <c:pt idx="175">
                  <c:v>885000000</c:v>
                </c:pt>
                <c:pt idx="176">
                  <c:v>890000000</c:v>
                </c:pt>
                <c:pt idx="177">
                  <c:v>895000000</c:v>
                </c:pt>
                <c:pt idx="178">
                  <c:v>900000000</c:v>
                </c:pt>
                <c:pt idx="179">
                  <c:v>905000000</c:v>
                </c:pt>
                <c:pt idx="180">
                  <c:v>910000000</c:v>
                </c:pt>
                <c:pt idx="181">
                  <c:v>915000000</c:v>
                </c:pt>
                <c:pt idx="182">
                  <c:v>920000000</c:v>
                </c:pt>
                <c:pt idx="183">
                  <c:v>925000000</c:v>
                </c:pt>
                <c:pt idx="184">
                  <c:v>930000000</c:v>
                </c:pt>
                <c:pt idx="185">
                  <c:v>935000000</c:v>
                </c:pt>
                <c:pt idx="186">
                  <c:v>940000000</c:v>
                </c:pt>
                <c:pt idx="187">
                  <c:v>945000000</c:v>
                </c:pt>
                <c:pt idx="188">
                  <c:v>950000000</c:v>
                </c:pt>
                <c:pt idx="189">
                  <c:v>955000000</c:v>
                </c:pt>
                <c:pt idx="190">
                  <c:v>960000000</c:v>
                </c:pt>
                <c:pt idx="191">
                  <c:v>965000000</c:v>
                </c:pt>
                <c:pt idx="192">
                  <c:v>970000000</c:v>
                </c:pt>
                <c:pt idx="193">
                  <c:v>975000000</c:v>
                </c:pt>
                <c:pt idx="194">
                  <c:v>980000000</c:v>
                </c:pt>
                <c:pt idx="195">
                  <c:v>985000000</c:v>
                </c:pt>
                <c:pt idx="196">
                  <c:v>990000000</c:v>
                </c:pt>
                <c:pt idx="197">
                  <c:v>995000000</c:v>
                </c:pt>
                <c:pt idx="198">
                  <c:v>1000000000</c:v>
                </c:pt>
                <c:pt idx="199">
                  <c:v>1005000000</c:v>
                </c:pt>
                <c:pt idx="200">
                  <c:v>1010000000</c:v>
                </c:pt>
                <c:pt idx="201">
                  <c:v>1015000000</c:v>
                </c:pt>
                <c:pt idx="202">
                  <c:v>1020000000</c:v>
                </c:pt>
                <c:pt idx="203">
                  <c:v>1025000000</c:v>
                </c:pt>
                <c:pt idx="204">
                  <c:v>1030000000</c:v>
                </c:pt>
                <c:pt idx="205">
                  <c:v>1035000000</c:v>
                </c:pt>
                <c:pt idx="206">
                  <c:v>1040000000</c:v>
                </c:pt>
                <c:pt idx="207">
                  <c:v>1045000000</c:v>
                </c:pt>
                <c:pt idx="208">
                  <c:v>1050000000</c:v>
                </c:pt>
                <c:pt idx="209">
                  <c:v>1055000000</c:v>
                </c:pt>
                <c:pt idx="210">
                  <c:v>1060000000</c:v>
                </c:pt>
                <c:pt idx="211">
                  <c:v>1065000000</c:v>
                </c:pt>
                <c:pt idx="212">
                  <c:v>1070000000</c:v>
                </c:pt>
                <c:pt idx="213">
                  <c:v>1075000000</c:v>
                </c:pt>
                <c:pt idx="214">
                  <c:v>1080000000</c:v>
                </c:pt>
                <c:pt idx="215">
                  <c:v>1085000000</c:v>
                </c:pt>
                <c:pt idx="216">
                  <c:v>1090000000</c:v>
                </c:pt>
                <c:pt idx="217">
                  <c:v>1095000000</c:v>
                </c:pt>
                <c:pt idx="218">
                  <c:v>1100000000</c:v>
                </c:pt>
                <c:pt idx="219">
                  <c:v>1105000000</c:v>
                </c:pt>
                <c:pt idx="220">
                  <c:v>1110000000</c:v>
                </c:pt>
                <c:pt idx="221">
                  <c:v>1115000000</c:v>
                </c:pt>
                <c:pt idx="222">
                  <c:v>1120000000</c:v>
                </c:pt>
                <c:pt idx="223">
                  <c:v>1125000000</c:v>
                </c:pt>
                <c:pt idx="224">
                  <c:v>1130000000</c:v>
                </c:pt>
                <c:pt idx="225">
                  <c:v>1135000000</c:v>
                </c:pt>
                <c:pt idx="226">
                  <c:v>1140000000</c:v>
                </c:pt>
                <c:pt idx="227">
                  <c:v>1145000000</c:v>
                </c:pt>
                <c:pt idx="228">
                  <c:v>1150000000</c:v>
                </c:pt>
                <c:pt idx="229">
                  <c:v>1155000000</c:v>
                </c:pt>
                <c:pt idx="230">
                  <c:v>1160000000</c:v>
                </c:pt>
                <c:pt idx="231">
                  <c:v>1165000000</c:v>
                </c:pt>
                <c:pt idx="232">
                  <c:v>1170000000</c:v>
                </c:pt>
                <c:pt idx="233">
                  <c:v>1175000000</c:v>
                </c:pt>
                <c:pt idx="234">
                  <c:v>1180000000</c:v>
                </c:pt>
                <c:pt idx="235">
                  <c:v>1185000000</c:v>
                </c:pt>
                <c:pt idx="236">
                  <c:v>1190000000</c:v>
                </c:pt>
                <c:pt idx="237">
                  <c:v>1195000000</c:v>
                </c:pt>
                <c:pt idx="238">
                  <c:v>1200000000</c:v>
                </c:pt>
                <c:pt idx="239">
                  <c:v>1205000000</c:v>
                </c:pt>
                <c:pt idx="240">
                  <c:v>1210000000</c:v>
                </c:pt>
                <c:pt idx="241">
                  <c:v>1215000000</c:v>
                </c:pt>
                <c:pt idx="242">
                  <c:v>1220000000</c:v>
                </c:pt>
                <c:pt idx="243">
                  <c:v>1225000000</c:v>
                </c:pt>
                <c:pt idx="244">
                  <c:v>1230000000</c:v>
                </c:pt>
                <c:pt idx="245">
                  <c:v>1235000000</c:v>
                </c:pt>
                <c:pt idx="246">
                  <c:v>1240000000</c:v>
                </c:pt>
                <c:pt idx="247">
                  <c:v>1245000000</c:v>
                </c:pt>
                <c:pt idx="248">
                  <c:v>1250000000</c:v>
                </c:pt>
                <c:pt idx="249">
                  <c:v>1255000000</c:v>
                </c:pt>
                <c:pt idx="250">
                  <c:v>1260000000</c:v>
                </c:pt>
                <c:pt idx="251">
                  <c:v>1265000000</c:v>
                </c:pt>
                <c:pt idx="252">
                  <c:v>1270000000</c:v>
                </c:pt>
                <c:pt idx="253">
                  <c:v>1275000000</c:v>
                </c:pt>
                <c:pt idx="254">
                  <c:v>1280000000</c:v>
                </c:pt>
                <c:pt idx="255">
                  <c:v>1285000000</c:v>
                </c:pt>
                <c:pt idx="256">
                  <c:v>1290000000</c:v>
                </c:pt>
                <c:pt idx="257">
                  <c:v>1295000000</c:v>
                </c:pt>
                <c:pt idx="258">
                  <c:v>1300000000</c:v>
                </c:pt>
                <c:pt idx="259">
                  <c:v>1305000000</c:v>
                </c:pt>
                <c:pt idx="260">
                  <c:v>1310000000</c:v>
                </c:pt>
                <c:pt idx="261">
                  <c:v>1315000000</c:v>
                </c:pt>
                <c:pt idx="262">
                  <c:v>1320000000</c:v>
                </c:pt>
                <c:pt idx="263">
                  <c:v>1325000000</c:v>
                </c:pt>
                <c:pt idx="264">
                  <c:v>1330000000</c:v>
                </c:pt>
                <c:pt idx="265">
                  <c:v>1335000000</c:v>
                </c:pt>
                <c:pt idx="266">
                  <c:v>1340000000</c:v>
                </c:pt>
                <c:pt idx="267">
                  <c:v>1345000000</c:v>
                </c:pt>
                <c:pt idx="268">
                  <c:v>1350000000</c:v>
                </c:pt>
                <c:pt idx="269">
                  <c:v>1355000000</c:v>
                </c:pt>
                <c:pt idx="270">
                  <c:v>1360000000</c:v>
                </c:pt>
                <c:pt idx="271">
                  <c:v>1365000000</c:v>
                </c:pt>
                <c:pt idx="272">
                  <c:v>1370000000</c:v>
                </c:pt>
                <c:pt idx="273">
                  <c:v>1375000000</c:v>
                </c:pt>
                <c:pt idx="274">
                  <c:v>1380000000</c:v>
                </c:pt>
                <c:pt idx="275">
                  <c:v>1385000000</c:v>
                </c:pt>
                <c:pt idx="276">
                  <c:v>1390000000</c:v>
                </c:pt>
                <c:pt idx="277">
                  <c:v>1395000000</c:v>
                </c:pt>
                <c:pt idx="278">
                  <c:v>1400000000</c:v>
                </c:pt>
                <c:pt idx="279">
                  <c:v>1405000000</c:v>
                </c:pt>
                <c:pt idx="280">
                  <c:v>1410000000</c:v>
                </c:pt>
                <c:pt idx="281">
                  <c:v>1415000000</c:v>
                </c:pt>
                <c:pt idx="282">
                  <c:v>1420000000</c:v>
                </c:pt>
                <c:pt idx="283">
                  <c:v>1425000000</c:v>
                </c:pt>
                <c:pt idx="284">
                  <c:v>1430000000</c:v>
                </c:pt>
                <c:pt idx="285">
                  <c:v>1435000000</c:v>
                </c:pt>
                <c:pt idx="286">
                  <c:v>1440000000</c:v>
                </c:pt>
                <c:pt idx="287">
                  <c:v>1445000000</c:v>
                </c:pt>
                <c:pt idx="288">
                  <c:v>1450000000</c:v>
                </c:pt>
                <c:pt idx="289">
                  <c:v>1455000000</c:v>
                </c:pt>
                <c:pt idx="290">
                  <c:v>1460000000</c:v>
                </c:pt>
                <c:pt idx="291">
                  <c:v>1465000000</c:v>
                </c:pt>
                <c:pt idx="292">
                  <c:v>1470000000</c:v>
                </c:pt>
                <c:pt idx="293">
                  <c:v>1475000000</c:v>
                </c:pt>
                <c:pt idx="294">
                  <c:v>1480000000</c:v>
                </c:pt>
                <c:pt idx="295">
                  <c:v>1485000000</c:v>
                </c:pt>
                <c:pt idx="296">
                  <c:v>1490000000</c:v>
                </c:pt>
                <c:pt idx="297">
                  <c:v>1495000000</c:v>
                </c:pt>
                <c:pt idx="298">
                  <c:v>1500000000</c:v>
                </c:pt>
              </c:numCache>
            </c:numRef>
          </c:xVal>
          <c:yVal>
            <c:numRef>
              <c:f>simulation!$N$8:$N$306</c:f>
              <c:numCache>
                <c:formatCode>0%</c:formatCode>
                <c:ptCount val="29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0.999</c:v>
                </c:pt>
                <c:pt idx="30">
                  <c:v>0.996</c:v>
                </c:pt>
                <c:pt idx="31">
                  <c:v>0.97</c:v>
                </c:pt>
                <c:pt idx="32">
                  <c:v>0.9</c:v>
                </c:pt>
                <c:pt idx="33">
                  <c:v>0.73899999999999999</c:v>
                </c:pt>
                <c:pt idx="34">
                  <c:v>0.51500000000000001</c:v>
                </c:pt>
                <c:pt idx="35">
                  <c:v>0.31299999999999994</c:v>
                </c:pt>
                <c:pt idx="36">
                  <c:v>0.18000000000000005</c:v>
                </c:pt>
                <c:pt idx="37">
                  <c:v>8.4999999999999964E-2</c:v>
                </c:pt>
                <c:pt idx="38">
                  <c:v>5.3000000000000047E-2</c:v>
                </c:pt>
                <c:pt idx="39">
                  <c:v>2.300000000000002E-2</c:v>
                </c:pt>
                <c:pt idx="40">
                  <c:v>8.0000000000000071E-3</c:v>
                </c:pt>
                <c:pt idx="41">
                  <c:v>5.0000000000000044E-3</c:v>
                </c:pt>
                <c:pt idx="42">
                  <c:v>2.0000000000000018E-3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FB-4211-89AF-8466ACFA80BD}"/>
            </c:ext>
          </c:extLst>
        </c:ser>
        <c:ser>
          <c:idx val="0"/>
          <c:order val="1"/>
          <c:tx>
            <c:strRef>
              <c:f>simulation!$M$6</c:f>
              <c:strCache>
                <c:ptCount val="1"/>
                <c:pt idx="0">
                  <c:v>LEC+SoC</c:v>
                </c:pt>
              </c:strCache>
            </c:strRef>
          </c:tx>
          <c:spPr>
            <a:ln w="19050" cap="rnd">
              <a:solidFill>
                <a:srgbClr val="4472C4">
                  <a:alpha val="53000"/>
                </a:srgbClr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4472C4"/>
              </a:solidFill>
              <a:ln w="9525">
                <a:noFill/>
              </a:ln>
              <a:effectLst/>
            </c:spPr>
          </c:marker>
          <c:xVal>
            <c:numRef>
              <c:f>simulation!$L$8:$L$306</c:f>
              <c:numCache>
                <c:formatCode>#,##0</c:formatCode>
                <c:ptCount val="299"/>
                <c:pt idx="0">
                  <c:v>10000000</c:v>
                </c:pt>
                <c:pt idx="1">
                  <c:v>15000000</c:v>
                </c:pt>
                <c:pt idx="2">
                  <c:v>20000000</c:v>
                </c:pt>
                <c:pt idx="3">
                  <c:v>25000000</c:v>
                </c:pt>
                <c:pt idx="4">
                  <c:v>30000000</c:v>
                </c:pt>
                <c:pt idx="5">
                  <c:v>35000000</c:v>
                </c:pt>
                <c:pt idx="6">
                  <c:v>40000000</c:v>
                </c:pt>
                <c:pt idx="7">
                  <c:v>45000000</c:v>
                </c:pt>
                <c:pt idx="8">
                  <c:v>50000000</c:v>
                </c:pt>
                <c:pt idx="9">
                  <c:v>55000000</c:v>
                </c:pt>
                <c:pt idx="10">
                  <c:v>60000000</c:v>
                </c:pt>
                <c:pt idx="11">
                  <c:v>65000000</c:v>
                </c:pt>
                <c:pt idx="12">
                  <c:v>70000000</c:v>
                </c:pt>
                <c:pt idx="13">
                  <c:v>75000000</c:v>
                </c:pt>
                <c:pt idx="14">
                  <c:v>80000000</c:v>
                </c:pt>
                <c:pt idx="15">
                  <c:v>85000000</c:v>
                </c:pt>
                <c:pt idx="16">
                  <c:v>90000000</c:v>
                </c:pt>
                <c:pt idx="17">
                  <c:v>95000000</c:v>
                </c:pt>
                <c:pt idx="18">
                  <c:v>100000000</c:v>
                </c:pt>
                <c:pt idx="19">
                  <c:v>105000000</c:v>
                </c:pt>
                <c:pt idx="20">
                  <c:v>110000000</c:v>
                </c:pt>
                <c:pt idx="21">
                  <c:v>115000000</c:v>
                </c:pt>
                <c:pt idx="22">
                  <c:v>120000000</c:v>
                </c:pt>
                <c:pt idx="23">
                  <c:v>125000000</c:v>
                </c:pt>
                <c:pt idx="24">
                  <c:v>130000000</c:v>
                </c:pt>
                <c:pt idx="25">
                  <c:v>135000000</c:v>
                </c:pt>
                <c:pt idx="26">
                  <c:v>140000000</c:v>
                </c:pt>
                <c:pt idx="27">
                  <c:v>145000000</c:v>
                </c:pt>
                <c:pt idx="28">
                  <c:v>150000000</c:v>
                </c:pt>
                <c:pt idx="29">
                  <c:v>155000000</c:v>
                </c:pt>
                <c:pt idx="30">
                  <c:v>160000000</c:v>
                </c:pt>
                <c:pt idx="31">
                  <c:v>165000000</c:v>
                </c:pt>
                <c:pt idx="32">
                  <c:v>170000000</c:v>
                </c:pt>
                <c:pt idx="33">
                  <c:v>175000000</c:v>
                </c:pt>
                <c:pt idx="34">
                  <c:v>180000000</c:v>
                </c:pt>
                <c:pt idx="35">
                  <c:v>185000000</c:v>
                </c:pt>
                <c:pt idx="36">
                  <c:v>190000000</c:v>
                </c:pt>
                <c:pt idx="37">
                  <c:v>195000000</c:v>
                </c:pt>
                <c:pt idx="38">
                  <c:v>200000000</c:v>
                </c:pt>
                <c:pt idx="39">
                  <c:v>205000000</c:v>
                </c:pt>
                <c:pt idx="40">
                  <c:v>210000000</c:v>
                </c:pt>
                <c:pt idx="41">
                  <c:v>215000000</c:v>
                </c:pt>
                <c:pt idx="42">
                  <c:v>220000000</c:v>
                </c:pt>
                <c:pt idx="43">
                  <c:v>225000000</c:v>
                </c:pt>
                <c:pt idx="44">
                  <c:v>230000000</c:v>
                </c:pt>
                <c:pt idx="45">
                  <c:v>235000000</c:v>
                </c:pt>
                <c:pt idx="46">
                  <c:v>240000000</c:v>
                </c:pt>
                <c:pt idx="47">
                  <c:v>245000000</c:v>
                </c:pt>
                <c:pt idx="48">
                  <c:v>250000000</c:v>
                </c:pt>
                <c:pt idx="49">
                  <c:v>255000000</c:v>
                </c:pt>
                <c:pt idx="50">
                  <c:v>260000000</c:v>
                </c:pt>
                <c:pt idx="51">
                  <c:v>265000000</c:v>
                </c:pt>
                <c:pt idx="52">
                  <c:v>270000000</c:v>
                </c:pt>
                <c:pt idx="53">
                  <c:v>275000000</c:v>
                </c:pt>
                <c:pt idx="54">
                  <c:v>280000000</c:v>
                </c:pt>
                <c:pt idx="55">
                  <c:v>285000000</c:v>
                </c:pt>
                <c:pt idx="56">
                  <c:v>290000000</c:v>
                </c:pt>
                <c:pt idx="57">
                  <c:v>295000000</c:v>
                </c:pt>
                <c:pt idx="58">
                  <c:v>300000000</c:v>
                </c:pt>
                <c:pt idx="59">
                  <c:v>305000000</c:v>
                </c:pt>
                <c:pt idx="60">
                  <c:v>310000000</c:v>
                </c:pt>
                <c:pt idx="61">
                  <c:v>315000000</c:v>
                </c:pt>
                <c:pt idx="62">
                  <c:v>320000000</c:v>
                </c:pt>
                <c:pt idx="63">
                  <c:v>325000000</c:v>
                </c:pt>
                <c:pt idx="64">
                  <c:v>330000000</c:v>
                </c:pt>
                <c:pt idx="65">
                  <c:v>335000000</c:v>
                </c:pt>
                <c:pt idx="66">
                  <c:v>340000000</c:v>
                </c:pt>
                <c:pt idx="67">
                  <c:v>345000000</c:v>
                </c:pt>
                <c:pt idx="68">
                  <c:v>350000000</c:v>
                </c:pt>
                <c:pt idx="69">
                  <c:v>355000000</c:v>
                </c:pt>
                <c:pt idx="70">
                  <c:v>360000000</c:v>
                </c:pt>
                <c:pt idx="71">
                  <c:v>365000000</c:v>
                </c:pt>
                <c:pt idx="72">
                  <c:v>370000000</c:v>
                </c:pt>
                <c:pt idx="73">
                  <c:v>375000000</c:v>
                </c:pt>
                <c:pt idx="74">
                  <c:v>380000000</c:v>
                </c:pt>
                <c:pt idx="75">
                  <c:v>385000000</c:v>
                </c:pt>
                <c:pt idx="76">
                  <c:v>390000000</c:v>
                </c:pt>
                <c:pt idx="77">
                  <c:v>395000000</c:v>
                </c:pt>
                <c:pt idx="78">
                  <c:v>400000000</c:v>
                </c:pt>
                <c:pt idx="79">
                  <c:v>405000000</c:v>
                </c:pt>
                <c:pt idx="80">
                  <c:v>410000000</c:v>
                </c:pt>
                <c:pt idx="81">
                  <c:v>415000000</c:v>
                </c:pt>
                <c:pt idx="82">
                  <c:v>420000000</c:v>
                </c:pt>
                <c:pt idx="83">
                  <c:v>425000000</c:v>
                </c:pt>
                <c:pt idx="84">
                  <c:v>430000000</c:v>
                </c:pt>
                <c:pt idx="85">
                  <c:v>435000000</c:v>
                </c:pt>
                <c:pt idx="86">
                  <c:v>440000000</c:v>
                </c:pt>
                <c:pt idx="87">
                  <c:v>445000000</c:v>
                </c:pt>
                <c:pt idx="88">
                  <c:v>450000000</c:v>
                </c:pt>
                <c:pt idx="89">
                  <c:v>455000000</c:v>
                </c:pt>
                <c:pt idx="90">
                  <c:v>460000000</c:v>
                </c:pt>
                <c:pt idx="91">
                  <c:v>465000000</c:v>
                </c:pt>
                <c:pt idx="92">
                  <c:v>470000000</c:v>
                </c:pt>
                <c:pt idx="93">
                  <c:v>475000000</c:v>
                </c:pt>
                <c:pt idx="94">
                  <c:v>480000000</c:v>
                </c:pt>
                <c:pt idx="95">
                  <c:v>485000000</c:v>
                </c:pt>
                <c:pt idx="96">
                  <c:v>490000000</c:v>
                </c:pt>
                <c:pt idx="97">
                  <c:v>495000000</c:v>
                </c:pt>
                <c:pt idx="98">
                  <c:v>500000000</c:v>
                </c:pt>
                <c:pt idx="99">
                  <c:v>505000000</c:v>
                </c:pt>
                <c:pt idx="100">
                  <c:v>510000000</c:v>
                </c:pt>
                <c:pt idx="101">
                  <c:v>515000000</c:v>
                </c:pt>
                <c:pt idx="102">
                  <c:v>520000000</c:v>
                </c:pt>
                <c:pt idx="103">
                  <c:v>525000000</c:v>
                </c:pt>
                <c:pt idx="104">
                  <c:v>530000000</c:v>
                </c:pt>
                <c:pt idx="105">
                  <c:v>535000000</c:v>
                </c:pt>
                <c:pt idx="106">
                  <c:v>540000000</c:v>
                </c:pt>
                <c:pt idx="107">
                  <c:v>545000000</c:v>
                </c:pt>
                <c:pt idx="108">
                  <c:v>550000000</c:v>
                </c:pt>
                <c:pt idx="109">
                  <c:v>555000000</c:v>
                </c:pt>
                <c:pt idx="110">
                  <c:v>560000000</c:v>
                </c:pt>
                <c:pt idx="111">
                  <c:v>565000000</c:v>
                </c:pt>
                <c:pt idx="112">
                  <c:v>570000000</c:v>
                </c:pt>
                <c:pt idx="113">
                  <c:v>575000000</c:v>
                </c:pt>
                <c:pt idx="114">
                  <c:v>580000000</c:v>
                </c:pt>
                <c:pt idx="115">
                  <c:v>585000000</c:v>
                </c:pt>
                <c:pt idx="116">
                  <c:v>590000000</c:v>
                </c:pt>
                <c:pt idx="117">
                  <c:v>595000000</c:v>
                </c:pt>
                <c:pt idx="118">
                  <c:v>600000000</c:v>
                </c:pt>
                <c:pt idx="119">
                  <c:v>605000000</c:v>
                </c:pt>
                <c:pt idx="120">
                  <c:v>610000000</c:v>
                </c:pt>
                <c:pt idx="121">
                  <c:v>615000000</c:v>
                </c:pt>
                <c:pt idx="122">
                  <c:v>620000000</c:v>
                </c:pt>
                <c:pt idx="123">
                  <c:v>625000000</c:v>
                </c:pt>
                <c:pt idx="124">
                  <c:v>630000000</c:v>
                </c:pt>
                <c:pt idx="125">
                  <c:v>635000000</c:v>
                </c:pt>
                <c:pt idx="126">
                  <c:v>640000000</c:v>
                </c:pt>
                <c:pt idx="127">
                  <c:v>645000000</c:v>
                </c:pt>
                <c:pt idx="128">
                  <c:v>650000000</c:v>
                </c:pt>
                <c:pt idx="129">
                  <c:v>655000000</c:v>
                </c:pt>
                <c:pt idx="130">
                  <c:v>660000000</c:v>
                </c:pt>
                <c:pt idx="131">
                  <c:v>665000000</c:v>
                </c:pt>
                <c:pt idx="132">
                  <c:v>670000000</c:v>
                </c:pt>
                <c:pt idx="133">
                  <c:v>675000000</c:v>
                </c:pt>
                <c:pt idx="134">
                  <c:v>680000000</c:v>
                </c:pt>
                <c:pt idx="135">
                  <c:v>685000000</c:v>
                </c:pt>
                <c:pt idx="136">
                  <c:v>690000000</c:v>
                </c:pt>
                <c:pt idx="137">
                  <c:v>695000000</c:v>
                </c:pt>
                <c:pt idx="138">
                  <c:v>700000000</c:v>
                </c:pt>
                <c:pt idx="139">
                  <c:v>705000000</c:v>
                </c:pt>
                <c:pt idx="140">
                  <c:v>710000000</c:v>
                </c:pt>
                <c:pt idx="141">
                  <c:v>715000000</c:v>
                </c:pt>
                <c:pt idx="142">
                  <c:v>720000000</c:v>
                </c:pt>
                <c:pt idx="143">
                  <c:v>725000000</c:v>
                </c:pt>
                <c:pt idx="144">
                  <c:v>730000000</c:v>
                </c:pt>
                <c:pt idx="145">
                  <c:v>735000000</c:v>
                </c:pt>
                <c:pt idx="146">
                  <c:v>740000000</c:v>
                </c:pt>
                <c:pt idx="147">
                  <c:v>745000000</c:v>
                </c:pt>
                <c:pt idx="148">
                  <c:v>750000000</c:v>
                </c:pt>
                <c:pt idx="149">
                  <c:v>755000000</c:v>
                </c:pt>
                <c:pt idx="150">
                  <c:v>760000000</c:v>
                </c:pt>
                <c:pt idx="151">
                  <c:v>765000000</c:v>
                </c:pt>
                <c:pt idx="152">
                  <c:v>770000000</c:v>
                </c:pt>
                <c:pt idx="153">
                  <c:v>775000000</c:v>
                </c:pt>
                <c:pt idx="154">
                  <c:v>780000000</c:v>
                </c:pt>
                <c:pt idx="155">
                  <c:v>785000000</c:v>
                </c:pt>
                <c:pt idx="156">
                  <c:v>790000000</c:v>
                </c:pt>
                <c:pt idx="157">
                  <c:v>795000000</c:v>
                </c:pt>
                <c:pt idx="158">
                  <c:v>800000000</c:v>
                </c:pt>
                <c:pt idx="159">
                  <c:v>805000000</c:v>
                </c:pt>
                <c:pt idx="160">
                  <c:v>810000000</c:v>
                </c:pt>
                <c:pt idx="161">
                  <c:v>815000000</c:v>
                </c:pt>
                <c:pt idx="162">
                  <c:v>820000000</c:v>
                </c:pt>
                <c:pt idx="163">
                  <c:v>825000000</c:v>
                </c:pt>
                <c:pt idx="164">
                  <c:v>830000000</c:v>
                </c:pt>
                <c:pt idx="165">
                  <c:v>835000000</c:v>
                </c:pt>
                <c:pt idx="166">
                  <c:v>840000000</c:v>
                </c:pt>
                <c:pt idx="167">
                  <c:v>845000000</c:v>
                </c:pt>
                <c:pt idx="168">
                  <c:v>850000000</c:v>
                </c:pt>
                <c:pt idx="169">
                  <c:v>855000000</c:v>
                </c:pt>
                <c:pt idx="170">
                  <c:v>860000000</c:v>
                </c:pt>
                <c:pt idx="171">
                  <c:v>865000000</c:v>
                </c:pt>
                <c:pt idx="172">
                  <c:v>870000000</c:v>
                </c:pt>
                <c:pt idx="173">
                  <c:v>875000000</c:v>
                </c:pt>
                <c:pt idx="174">
                  <c:v>880000000</c:v>
                </c:pt>
                <c:pt idx="175">
                  <c:v>885000000</c:v>
                </c:pt>
                <c:pt idx="176">
                  <c:v>890000000</c:v>
                </c:pt>
                <c:pt idx="177">
                  <c:v>895000000</c:v>
                </c:pt>
                <c:pt idx="178">
                  <c:v>900000000</c:v>
                </c:pt>
                <c:pt idx="179">
                  <c:v>905000000</c:v>
                </c:pt>
                <c:pt idx="180">
                  <c:v>910000000</c:v>
                </c:pt>
                <c:pt idx="181">
                  <c:v>915000000</c:v>
                </c:pt>
                <c:pt idx="182">
                  <c:v>920000000</c:v>
                </c:pt>
                <c:pt idx="183">
                  <c:v>925000000</c:v>
                </c:pt>
                <c:pt idx="184">
                  <c:v>930000000</c:v>
                </c:pt>
                <c:pt idx="185">
                  <c:v>935000000</c:v>
                </c:pt>
                <c:pt idx="186">
                  <c:v>940000000</c:v>
                </c:pt>
                <c:pt idx="187">
                  <c:v>945000000</c:v>
                </c:pt>
                <c:pt idx="188">
                  <c:v>950000000</c:v>
                </c:pt>
                <c:pt idx="189">
                  <c:v>955000000</c:v>
                </c:pt>
                <c:pt idx="190">
                  <c:v>960000000</c:v>
                </c:pt>
                <c:pt idx="191">
                  <c:v>965000000</c:v>
                </c:pt>
                <c:pt idx="192">
                  <c:v>970000000</c:v>
                </c:pt>
                <c:pt idx="193">
                  <c:v>975000000</c:v>
                </c:pt>
                <c:pt idx="194">
                  <c:v>980000000</c:v>
                </c:pt>
                <c:pt idx="195">
                  <c:v>985000000</c:v>
                </c:pt>
                <c:pt idx="196">
                  <c:v>990000000</c:v>
                </c:pt>
                <c:pt idx="197">
                  <c:v>995000000</c:v>
                </c:pt>
                <c:pt idx="198">
                  <c:v>1000000000</c:v>
                </c:pt>
                <c:pt idx="199">
                  <c:v>1005000000</c:v>
                </c:pt>
                <c:pt idx="200">
                  <c:v>1010000000</c:v>
                </c:pt>
                <c:pt idx="201">
                  <c:v>1015000000</c:v>
                </c:pt>
                <c:pt idx="202">
                  <c:v>1020000000</c:v>
                </c:pt>
                <c:pt idx="203">
                  <c:v>1025000000</c:v>
                </c:pt>
                <c:pt idx="204">
                  <c:v>1030000000</c:v>
                </c:pt>
                <c:pt idx="205">
                  <c:v>1035000000</c:v>
                </c:pt>
                <c:pt idx="206">
                  <c:v>1040000000</c:v>
                </c:pt>
                <c:pt idx="207">
                  <c:v>1045000000</c:v>
                </c:pt>
                <c:pt idx="208">
                  <c:v>1050000000</c:v>
                </c:pt>
                <c:pt idx="209">
                  <c:v>1055000000</c:v>
                </c:pt>
                <c:pt idx="210">
                  <c:v>1060000000</c:v>
                </c:pt>
                <c:pt idx="211">
                  <c:v>1065000000</c:v>
                </c:pt>
                <c:pt idx="212">
                  <c:v>1070000000</c:v>
                </c:pt>
                <c:pt idx="213">
                  <c:v>1075000000</c:v>
                </c:pt>
                <c:pt idx="214">
                  <c:v>1080000000</c:v>
                </c:pt>
                <c:pt idx="215">
                  <c:v>1085000000</c:v>
                </c:pt>
                <c:pt idx="216">
                  <c:v>1090000000</c:v>
                </c:pt>
                <c:pt idx="217">
                  <c:v>1095000000</c:v>
                </c:pt>
                <c:pt idx="218">
                  <c:v>1100000000</c:v>
                </c:pt>
                <c:pt idx="219">
                  <c:v>1105000000</c:v>
                </c:pt>
                <c:pt idx="220">
                  <c:v>1110000000</c:v>
                </c:pt>
                <c:pt idx="221">
                  <c:v>1115000000</c:v>
                </c:pt>
                <c:pt idx="222">
                  <c:v>1120000000</c:v>
                </c:pt>
                <c:pt idx="223">
                  <c:v>1125000000</c:v>
                </c:pt>
                <c:pt idx="224">
                  <c:v>1130000000</c:v>
                </c:pt>
                <c:pt idx="225">
                  <c:v>1135000000</c:v>
                </c:pt>
                <c:pt idx="226">
                  <c:v>1140000000</c:v>
                </c:pt>
                <c:pt idx="227">
                  <c:v>1145000000</c:v>
                </c:pt>
                <c:pt idx="228">
                  <c:v>1150000000</c:v>
                </c:pt>
                <c:pt idx="229">
                  <c:v>1155000000</c:v>
                </c:pt>
                <c:pt idx="230">
                  <c:v>1160000000</c:v>
                </c:pt>
                <c:pt idx="231">
                  <c:v>1165000000</c:v>
                </c:pt>
                <c:pt idx="232">
                  <c:v>1170000000</c:v>
                </c:pt>
                <c:pt idx="233">
                  <c:v>1175000000</c:v>
                </c:pt>
                <c:pt idx="234">
                  <c:v>1180000000</c:v>
                </c:pt>
                <c:pt idx="235">
                  <c:v>1185000000</c:v>
                </c:pt>
                <c:pt idx="236">
                  <c:v>1190000000</c:v>
                </c:pt>
                <c:pt idx="237">
                  <c:v>1195000000</c:v>
                </c:pt>
                <c:pt idx="238">
                  <c:v>1200000000</c:v>
                </c:pt>
                <c:pt idx="239">
                  <c:v>1205000000</c:v>
                </c:pt>
                <c:pt idx="240">
                  <c:v>1210000000</c:v>
                </c:pt>
                <c:pt idx="241">
                  <c:v>1215000000</c:v>
                </c:pt>
                <c:pt idx="242">
                  <c:v>1220000000</c:v>
                </c:pt>
                <c:pt idx="243">
                  <c:v>1225000000</c:v>
                </c:pt>
                <c:pt idx="244">
                  <c:v>1230000000</c:v>
                </c:pt>
                <c:pt idx="245">
                  <c:v>1235000000</c:v>
                </c:pt>
                <c:pt idx="246">
                  <c:v>1240000000</c:v>
                </c:pt>
                <c:pt idx="247">
                  <c:v>1245000000</c:v>
                </c:pt>
                <c:pt idx="248">
                  <c:v>1250000000</c:v>
                </c:pt>
                <c:pt idx="249">
                  <c:v>1255000000</c:v>
                </c:pt>
                <c:pt idx="250">
                  <c:v>1260000000</c:v>
                </c:pt>
                <c:pt idx="251">
                  <c:v>1265000000</c:v>
                </c:pt>
                <c:pt idx="252">
                  <c:v>1270000000</c:v>
                </c:pt>
                <c:pt idx="253">
                  <c:v>1275000000</c:v>
                </c:pt>
                <c:pt idx="254">
                  <c:v>1280000000</c:v>
                </c:pt>
                <c:pt idx="255">
                  <c:v>1285000000</c:v>
                </c:pt>
                <c:pt idx="256">
                  <c:v>1290000000</c:v>
                </c:pt>
                <c:pt idx="257">
                  <c:v>1295000000</c:v>
                </c:pt>
                <c:pt idx="258">
                  <c:v>1300000000</c:v>
                </c:pt>
                <c:pt idx="259">
                  <c:v>1305000000</c:v>
                </c:pt>
                <c:pt idx="260">
                  <c:v>1310000000</c:v>
                </c:pt>
                <c:pt idx="261">
                  <c:v>1315000000</c:v>
                </c:pt>
                <c:pt idx="262">
                  <c:v>1320000000</c:v>
                </c:pt>
                <c:pt idx="263">
                  <c:v>1325000000</c:v>
                </c:pt>
                <c:pt idx="264">
                  <c:v>1330000000</c:v>
                </c:pt>
                <c:pt idx="265">
                  <c:v>1335000000</c:v>
                </c:pt>
                <c:pt idx="266">
                  <c:v>1340000000</c:v>
                </c:pt>
                <c:pt idx="267">
                  <c:v>1345000000</c:v>
                </c:pt>
                <c:pt idx="268">
                  <c:v>1350000000</c:v>
                </c:pt>
                <c:pt idx="269">
                  <c:v>1355000000</c:v>
                </c:pt>
                <c:pt idx="270">
                  <c:v>1360000000</c:v>
                </c:pt>
                <c:pt idx="271">
                  <c:v>1365000000</c:v>
                </c:pt>
                <c:pt idx="272">
                  <c:v>1370000000</c:v>
                </c:pt>
                <c:pt idx="273">
                  <c:v>1375000000</c:v>
                </c:pt>
                <c:pt idx="274">
                  <c:v>1380000000</c:v>
                </c:pt>
                <c:pt idx="275">
                  <c:v>1385000000</c:v>
                </c:pt>
                <c:pt idx="276">
                  <c:v>1390000000</c:v>
                </c:pt>
                <c:pt idx="277">
                  <c:v>1395000000</c:v>
                </c:pt>
                <c:pt idx="278">
                  <c:v>1400000000</c:v>
                </c:pt>
                <c:pt idx="279">
                  <c:v>1405000000</c:v>
                </c:pt>
                <c:pt idx="280">
                  <c:v>1410000000</c:v>
                </c:pt>
                <c:pt idx="281">
                  <c:v>1415000000</c:v>
                </c:pt>
                <c:pt idx="282">
                  <c:v>1420000000</c:v>
                </c:pt>
                <c:pt idx="283">
                  <c:v>1425000000</c:v>
                </c:pt>
                <c:pt idx="284">
                  <c:v>1430000000</c:v>
                </c:pt>
                <c:pt idx="285">
                  <c:v>1435000000</c:v>
                </c:pt>
                <c:pt idx="286">
                  <c:v>1440000000</c:v>
                </c:pt>
                <c:pt idx="287">
                  <c:v>1445000000</c:v>
                </c:pt>
                <c:pt idx="288">
                  <c:v>1450000000</c:v>
                </c:pt>
                <c:pt idx="289">
                  <c:v>1455000000</c:v>
                </c:pt>
                <c:pt idx="290">
                  <c:v>1460000000</c:v>
                </c:pt>
                <c:pt idx="291">
                  <c:v>1465000000</c:v>
                </c:pt>
                <c:pt idx="292">
                  <c:v>1470000000</c:v>
                </c:pt>
                <c:pt idx="293">
                  <c:v>1475000000</c:v>
                </c:pt>
                <c:pt idx="294">
                  <c:v>1480000000</c:v>
                </c:pt>
                <c:pt idx="295">
                  <c:v>1485000000</c:v>
                </c:pt>
                <c:pt idx="296">
                  <c:v>1490000000</c:v>
                </c:pt>
                <c:pt idx="297">
                  <c:v>1495000000</c:v>
                </c:pt>
                <c:pt idx="298">
                  <c:v>1500000000</c:v>
                </c:pt>
              </c:numCache>
            </c:numRef>
          </c:xVal>
          <c:yVal>
            <c:numRef>
              <c:f>simulation!$M$8:$M$306</c:f>
              <c:numCache>
                <c:formatCode>0%</c:formatCode>
                <c:ptCount val="2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1E-3</c:v>
                </c:pt>
                <c:pt idx="30">
                  <c:v>4.0000000000000001E-3</c:v>
                </c:pt>
                <c:pt idx="31">
                  <c:v>0.03</c:v>
                </c:pt>
                <c:pt idx="32">
                  <c:v>0.1</c:v>
                </c:pt>
                <c:pt idx="33">
                  <c:v>0.26100000000000001</c:v>
                </c:pt>
                <c:pt idx="34">
                  <c:v>0.48499999999999999</c:v>
                </c:pt>
                <c:pt idx="35">
                  <c:v>0.68700000000000006</c:v>
                </c:pt>
                <c:pt idx="36">
                  <c:v>0.82</c:v>
                </c:pt>
                <c:pt idx="37">
                  <c:v>0.91500000000000004</c:v>
                </c:pt>
                <c:pt idx="38">
                  <c:v>0.94699999999999995</c:v>
                </c:pt>
                <c:pt idx="39">
                  <c:v>0.97699999999999998</c:v>
                </c:pt>
                <c:pt idx="40">
                  <c:v>0.99199999999999999</c:v>
                </c:pt>
                <c:pt idx="41">
                  <c:v>0.995</c:v>
                </c:pt>
                <c:pt idx="42">
                  <c:v>0.998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FB-4211-89AF-8466ACFA80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1316400"/>
        <c:axId val="532437600"/>
      </c:scatterChart>
      <c:valAx>
        <c:axId val="521316400"/>
        <c:scaling>
          <c:orientation val="minMax"/>
          <c:max val="6000000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Willingness-to-Pay</a:t>
                </a:r>
                <a:endParaRPr lang="ko-KR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#,##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32437600"/>
        <c:crosses val="autoZero"/>
        <c:crossBetween val="midCat"/>
        <c:dispUnits>
          <c:builtInUnit val="millions"/>
          <c:dispUnitsLbl>
            <c:layout>
              <c:manualLayout>
                <c:xMode val="edge"/>
                <c:yMode val="edge"/>
                <c:x val="0.90943828082700917"/>
                <c:y val="0.89552499717855893"/>
              </c:manualLayout>
            </c:layout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</c:dispUnitsLbl>
        </c:dispUnits>
      </c:valAx>
      <c:valAx>
        <c:axId val="532437600"/>
        <c:scaling>
          <c:orientation val="minMax"/>
          <c:max val="1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%Iterations</a:t>
                </a:r>
                <a:r>
                  <a:rPr lang="en-US" altLang="ko-KR" baseline="0"/>
                  <a:t> Cost-Effective</a:t>
                </a:r>
                <a:endParaRPr lang="ko-KR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21316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572468267964931"/>
          <c:y val="0.46994351676934909"/>
          <c:w val="0.21969683797411763"/>
          <c:h val="6.8071501124918124E-2"/>
        </c:manualLayout>
      </c:layout>
      <c:overlay val="0"/>
      <c:spPr>
        <a:solidFill>
          <a:sysClr val="window" lastClr="FFFFFF"/>
        </a:solidFill>
        <a:ln>
          <a:noFill/>
        </a:ln>
        <a:effectLst>
          <a:outerShdw blurRad="50800" dist="50800" dir="5400000" algn="ctr" rotWithShape="0">
            <a:sysClr val="window" lastClr="FFFFFF"/>
          </a:outerShdw>
        </a:effectLst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effectLst>
                <a:reflection stA="45000" endPos="6000" dist="50800" dir="5400000" sy="-100000" algn="bl" rotWithShape="0"/>
              </a:effectLst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9525" cap="rnd" cmpd="sng" algn="ctr">
      <a:noFill/>
      <a:beve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2"/>
          <c:order val="0"/>
          <c:tx>
            <c:strRef>
              <c:f>'One-way SA'!$C$31</c:f>
              <c:strCache>
                <c:ptCount val="1"/>
                <c:pt idx="0">
                  <c:v> Low parameter value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 cap="flat" cmpd="sng" algn="ctr">
                      <a:solidFill>
                        <a:schemeClr val="tx1"/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'One-way SA'!$F$32:$F$58</c:f>
              <c:strCache>
                <c:ptCount val="27"/>
                <c:pt idx="0">
                  <c:v>Treatment efficacy (95% CI)</c:v>
                </c:pt>
                <c:pt idx="1">
                  <c:v>Discount rate (0%-5%)</c:v>
                </c:pt>
                <c:pt idx="2">
                  <c:v>Patient Utility-Community-MCI (95% CI)</c:v>
                </c:pt>
                <c:pt idx="3">
                  <c:v>Patient Utility-Community-Severe (95% CI)</c:v>
                </c:pt>
                <c:pt idx="4">
                  <c:v>Patient Utility-Community-Mild (95% CI)</c:v>
                </c:pt>
                <c:pt idx="5">
                  <c:v>Discontinuation rate (10%-20%)</c:v>
                </c:pt>
                <c:pt idx="6">
                  <c:v>Patient Utility-Community-Moderate (95% CI)</c:v>
                </c:pt>
                <c:pt idx="7">
                  <c:v>Mortality HR - Severe (±20%)</c:v>
                </c:pt>
                <c:pt idx="8">
                  <c:v>Mortality HR - MCI (±20%)</c:v>
                </c:pt>
                <c:pt idx="9">
                  <c:v>Patient Utility-Institution-Severe (95% CI)</c:v>
                </c:pt>
                <c:pt idx="10">
                  <c:v>Institutionalization Risk - Mild (±20%)</c:v>
                </c:pt>
                <c:pt idx="11">
                  <c:v>Care costs-Institution-Severe (95% CI)</c:v>
                </c:pt>
                <c:pt idx="12">
                  <c:v>Patient Utility-Institution-Mild (95% CI)</c:v>
                </c:pt>
                <c:pt idx="13">
                  <c:v>Care costs-Community-Severe (95% CI)</c:v>
                </c:pt>
                <c:pt idx="14">
                  <c:v>Care costs-Community-MCI (95% CI)</c:v>
                </c:pt>
                <c:pt idx="15">
                  <c:v>Mortality HR - Moderate (±20%)</c:v>
                </c:pt>
                <c:pt idx="16">
                  <c:v>Mortality HR - Mild (±20%)</c:v>
                </c:pt>
                <c:pt idx="17">
                  <c:v>Care costs-Community-Mild (95% CI)</c:v>
                </c:pt>
                <c:pt idx="18">
                  <c:v>Patient Utility-Institution-Moderate (95% CI)</c:v>
                </c:pt>
                <c:pt idx="19">
                  <c:v>Institutionalization Risk - Moderate (±20%)</c:v>
                </c:pt>
                <c:pt idx="20">
                  <c:v>Institutionalization Risk - Severe (±20%)</c:v>
                </c:pt>
                <c:pt idx="21">
                  <c:v>Care costs-Community-Moderate (95% CI)</c:v>
                </c:pt>
                <c:pt idx="22">
                  <c:v>Patient Utility-Institution-MCI (95% CI)</c:v>
                </c:pt>
                <c:pt idx="23">
                  <c:v>Care costs-Institution-Mild (95% CI)</c:v>
                </c:pt>
                <c:pt idx="24">
                  <c:v>Care costs-Institution-Moderate (95% CI)</c:v>
                </c:pt>
                <c:pt idx="25">
                  <c:v>Care costs-Institution-MCI (95% CI)</c:v>
                </c:pt>
                <c:pt idx="26">
                  <c:v>Institutionalization Risk - MCI (±20%)</c:v>
                </c:pt>
              </c:strCache>
            </c:strRef>
          </c:cat>
          <c:val>
            <c:numRef>
              <c:f>'One-way SA'!$G$32:$G$58</c:f>
              <c:numCache>
                <c:formatCode>0.0%</c:formatCode>
                <c:ptCount val="27"/>
                <c:pt idx="0">
                  <c:v>-0.28171965856347203</c:v>
                </c:pt>
                <c:pt idx="1">
                  <c:v>-0.11105336184353548</c:v>
                </c:pt>
                <c:pt idx="2">
                  <c:v>8.3776475866135069E-2</c:v>
                </c:pt>
                <c:pt idx="3">
                  <c:v>-4.2564718709548963E-2</c:v>
                </c:pt>
                <c:pt idx="4">
                  <c:v>4.4840520606539078E-2</c:v>
                </c:pt>
                <c:pt idx="5">
                  <c:v>2.1643539800891991E-2</c:v>
                </c:pt>
                <c:pt idx="6">
                  <c:v>-3.1989371285054531E-2</c:v>
                </c:pt>
                <c:pt idx="7">
                  <c:v>-2.202995506148131E-2</c:v>
                </c:pt>
                <c:pt idx="8">
                  <c:v>-1.1361266999430833E-2</c:v>
                </c:pt>
                <c:pt idx="9">
                  <c:v>-5.5074314334219209E-3</c:v>
                </c:pt>
                <c:pt idx="10">
                  <c:v>-5.3672107476515291E-3</c:v>
                </c:pt>
                <c:pt idx="11">
                  <c:v>3.5603145724195451E-3</c:v>
                </c:pt>
                <c:pt idx="12">
                  <c:v>3.353692443269495E-3</c:v>
                </c:pt>
                <c:pt idx="13">
                  <c:v>3.1503376779695625E-3</c:v>
                </c:pt>
                <c:pt idx="14">
                  <c:v>-2.8817347937415091E-3</c:v>
                </c:pt>
                <c:pt idx="15">
                  <c:v>-2.6878288914675905E-3</c:v>
                </c:pt>
                <c:pt idx="16">
                  <c:v>2.694187192353906E-3</c:v>
                </c:pt>
                <c:pt idx="17">
                  <c:v>-2.1658454396286313E-3</c:v>
                </c:pt>
                <c:pt idx="18">
                  <c:v>-1.2869080063600844E-3</c:v>
                </c:pt>
                <c:pt idx="19">
                  <c:v>9.3595357809678258E-4</c:v>
                </c:pt>
                <c:pt idx="20">
                  <c:v>9.8119442518774451E-4</c:v>
                </c:pt>
                <c:pt idx="21">
                  <c:v>7.9156589957835282E-4</c:v>
                </c:pt>
                <c:pt idx="22">
                  <c:v>6.9347875372653017E-4</c:v>
                </c:pt>
                <c:pt idx="23">
                  <c:v>-4.8929592162443231E-4</c:v>
                </c:pt>
                <c:pt idx="24">
                  <c:v>1.3759640194260729E-4</c:v>
                </c:pt>
                <c:pt idx="25">
                  <c:v>-2.8542426801009999E-5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80-4829-BA6A-EC7A8992754D}"/>
            </c:ext>
          </c:extLst>
        </c:ser>
        <c:ser>
          <c:idx val="3"/>
          <c:order val="1"/>
          <c:tx>
            <c:strRef>
              <c:f>'One-way SA'!$D$31</c:f>
              <c:strCache>
                <c:ptCount val="1"/>
                <c:pt idx="0">
                  <c:v> High parameter value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 cap="flat" cmpd="sng" algn="ctr">
                      <a:solidFill>
                        <a:schemeClr val="tx1"/>
                      </a:solidFill>
                      <a:prstDash val="solid"/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'One-way SA'!$F$32:$F$58</c:f>
              <c:strCache>
                <c:ptCount val="27"/>
                <c:pt idx="0">
                  <c:v>Treatment efficacy (95% CI)</c:v>
                </c:pt>
                <c:pt idx="1">
                  <c:v>Discount rate (0%-5%)</c:v>
                </c:pt>
                <c:pt idx="2">
                  <c:v>Patient Utility-Community-MCI (95% CI)</c:v>
                </c:pt>
                <c:pt idx="3">
                  <c:v>Patient Utility-Community-Severe (95% CI)</c:v>
                </c:pt>
                <c:pt idx="4">
                  <c:v>Patient Utility-Community-Mild (95% CI)</c:v>
                </c:pt>
                <c:pt idx="5">
                  <c:v>Discontinuation rate (10%-20%)</c:v>
                </c:pt>
                <c:pt idx="6">
                  <c:v>Patient Utility-Community-Moderate (95% CI)</c:v>
                </c:pt>
                <c:pt idx="7">
                  <c:v>Mortality HR - Severe (±20%)</c:v>
                </c:pt>
                <c:pt idx="8">
                  <c:v>Mortality HR - MCI (±20%)</c:v>
                </c:pt>
                <c:pt idx="9">
                  <c:v>Patient Utility-Institution-Severe (95% CI)</c:v>
                </c:pt>
                <c:pt idx="10">
                  <c:v>Institutionalization Risk - Mild (±20%)</c:v>
                </c:pt>
                <c:pt idx="11">
                  <c:v>Care costs-Institution-Severe (95% CI)</c:v>
                </c:pt>
                <c:pt idx="12">
                  <c:v>Patient Utility-Institution-Mild (95% CI)</c:v>
                </c:pt>
                <c:pt idx="13">
                  <c:v>Care costs-Community-Severe (95% CI)</c:v>
                </c:pt>
                <c:pt idx="14">
                  <c:v>Care costs-Community-MCI (95% CI)</c:v>
                </c:pt>
                <c:pt idx="15">
                  <c:v>Mortality HR - Moderate (±20%)</c:v>
                </c:pt>
                <c:pt idx="16">
                  <c:v>Mortality HR - Mild (±20%)</c:v>
                </c:pt>
                <c:pt idx="17">
                  <c:v>Care costs-Community-Mild (95% CI)</c:v>
                </c:pt>
                <c:pt idx="18">
                  <c:v>Patient Utility-Institution-Moderate (95% CI)</c:v>
                </c:pt>
                <c:pt idx="19">
                  <c:v>Institutionalization Risk - Moderate (±20%)</c:v>
                </c:pt>
                <c:pt idx="20">
                  <c:v>Institutionalization Risk - Severe (±20%)</c:v>
                </c:pt>
                <c:pt idx="21">
                  <c:v>Care costs-Community-Moderate (95% CI)</c:v>
                </c:pt>
                <c:pt idx="22">
                  <c:v>Patient Utility-Institution-MCI (95% CI)</c:v>
                </c:pt>
                <c:pt idx="23">
                  <c:v>Care costs-Institution-Mild (95% CI)</c:v>
                </c:pt>
                <c:pt idx="24">
                  <c:v>Care costs-Institution-Moderate (95% CI)</c:v>
                </c:pt>
                <c:pt idx="25">
                  <c:v>Care costs-Institution-MCI (95% CI)</c:v>
                </c:pt>
                <c:pt idx="26">
                  <c:v>Institutionalization Risk - MCI (±20%)</c:v>
                </c:pt>
              </c:strCache>
            </c:strRef>
          </c:cat>
          <c:val>
            <c:numRef>
              <c:f>'One-way SA'!$H$32:$H$58</c:f>
              <c:numCache>
                <c:formatCode>0.0%</c:formatCode>
                <c:ptCount val="27"/>
                <c:pt idx="0">
                  <c:v>0.72312135225427954</c:v>
                </c:pt>
                <c:pt idx="1">
                  <c:v>1.2402181975338903E-2</c:v>
                </c:pt>
                <c:pt idx="2">
                  <c:v>-7.1753895798026893E-2</c:v>
                </c:pt>
                <c:pt idx="3">
                  <c:v>4.6525404110039352E-2</c:v>
                </c:pt>
                <c:pt idx="4">
                  <c:v>-4.1738677247799873E-2</c:v>
                </c:pt>
                <c:pt idx="5">
                  <c:v>-4.0492117227827626E-2</c:v>
                </c:pt>
                <c:pt idx="6">
                  <c:v>3.2856321212726643E-2</c:v>
                </c:pt>
                <c:pt idx="7">
                  <c:v>1.7625741950821113E-2</c:v>
                </c:pt>
                <c:pt idx="8">
                  <c:v>1.0603299484804565E-2</c:v>
                </c:pt>
                <c:pt idx="9">
                  <c:v>7.2947403580367817E-3</c:v>
                </c:pt>
                <c:pt idx="10">
                  <c:v>4.9926176042361138E-3</c:v>
                </c:pt>
                <c:pt idx="11">
                  <c:v>-3.5603143849712946E-3</c:v>
                </c:pt>
                <c:pt idx="12">
                  <c:v>-2.7273021790622468E-3</c:v>
                </c:pt>
                <c:pt idx="13">
                  <c:v>-3.150337490521312E-3</c:v>
                </c:pt>
                <c:pt idx="14">
                  <c:v>2.8817349811897596E-3</c:v>
                </c:pt>
                <c:pt idx="15">
                  <c:v>2.7112194302617793E-3</c:v>
                </c:pt>
                <c:pt idx="16">
                  <c:v>-2.5306146021591746E-3</c:v>
                </c:pt>
                <c:pt idx="17">
                  <c:v>2.1659008190338092E-3</c:v>
                </c:pt>
                <c:pt idx="18">
                  <c:v>9.5332800613760738E-4</c:v>
                </c:pt>
                <c:pt idx="19">
                  <c:v>-1.1317634154364552E-3</c:v>
                </c:pt>
                <c:pt idx="20">
                  <c:v>-9.1143160418820607E-4</c:v>
                </c:pt>
                <c:pt idx="21">
                  <c:v>-7.9156571213010265E-4</c:v>
                </c:pt>
                <c:pt idx="22">
                  <c:v>-5.9594333999573375E-4</c:v>
                </c:pt>
                <c:pt idx="23">
                  <c:v>4.8929610907268248E-4</c:v>
                </c:pt>
                <c:pt idx="24">
                  <c:v>-1.3759621449435709E-4</c:v>
                </c:pt>
                <c:pt idx="25">
                  <c:v>2.8542614249260206E-5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0-4829-BA6A-EC7A8992754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overlap val="100"/>
        <c:axId val="2086507648"/>
        <c:axId val="1836537152"/>
      </c:barChart>
      <c:catAx>
        <c:axId val="20865076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36537152"/>
        <c:crosses val="autoZero"/>
        <c:auto val="1"/>
        <c:lblAlgn val="ctr"/>
        <c:lblOffset val="100"/>
        <c:noMultiLvlLbl val="0"/>
      </c:catAx>
      <c:valAx>
        <c:axId val="18365371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2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 sz="2400" b="0" i="0" baseline="0">
                    <a:effectLst/>
                  </a:rPr>
                  <a:t>ICER variation from base case (%) </a:t>
                </a:r>
                <a:endParaRPr lang="ko-KR" altLang="ko-KR" sz="24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marL="0" marR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2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086507648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Drop" dropStyle="combo" dx="16" fmlaLink="control!$D$4" fmlaRange="control!$C$5:$C$6" noThreeD="1" sel="1" val="0"/>
</file>

<file path=xl/ctrlProps/ctrlProp2.xml><?xml version="1.0" encoding="utf-8"?>
<formControlPr xmlns="http://schemas.microsoft.com/office/spreadsheetml/2009/9/main" objectType="Drop" dropStyle="combo" dx="16" fmlaLink="control!$D$8" fmlaRange="control!$C$9:$C$12" noThreeD="1" sel="3" val="0"/>
</file>

<file path=xl/ctrlProps/ctrlProp3.xml><?xml version="1.0" encoding="utf-8"?>
<formControlPr xmlns="http://schemas.microsoft.com/office/spreadsheetml/2009/9/main" objectType="Drop" dropStyle="combo" dx="16" fmlaLink="control!$D$14" fmlaRange="control!$C$15:$C$18" noThreeD="1" sel="4" val="0"/>
</file>

<file path=xl/ctrlProps/ctrlProp4.xml><?xml version="1.0" encoding="utf-8"?>
<formControlPr xmlns="http://schemas.microsoft.com/office/spreadsheetml/2009/9/main" objectType="Drop" dropStyle="combo" dx="16" fmlaLink="control!$D$20" fmlaRange="control!$C$21:$C$22" noThreeD="1" sel="1" val="0"/>
</file>

<file path=xl/ctrlProps/ctrlProp5.xml><?xml version="1.0" encoding="utf-8"?>
<formControlPr xmlns="http://schemas.microsoft.com/office/spreadsheetml/2009/9/main" objectType="Drop" dropStyle="combo" dx="25" fmlaLink="control!$D$24" fmlaRange="control!$C$25:$C$29" noThreeD="1" sel="1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104775</xdr:colOff>
      <xdr:row>2</xdr:row>
      <xdr:rowOff>19050</xdr:rowOff>
    </xdr:from>
    <xdr:to>
      <xdr:col>12</xdr:col>
      <xdr:colOff>248804</xdr:colOff>
      <xdr:row>19</xdr:row>
      <xdr:rowOff>171968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600" y="561975"/>
          <a:ext cx="8268854" cy="371526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449580</xdr:colOff>
          <xdr:row>2</xdr:row>
          <xdr:rowOff>68580</xdr:rowOff>
        </xdr:from>
        <xdr:to>
          <xdr:col>1</xdr:col>
          <xdr:colOff>754380</xdr:colOff>
          <xdr:row>4</xdr:row>
          <xdr:rowOff>0</xdr:rowOff>
        </xdr:to>
        <xdr:sp macro="" textlink="">
          <xdr:nvSpPr>
            <xdr:cNvPr id="6145" name="Drop Dow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449580</xdr:colOff>
          <xdr:row>2</xdr:row>
          <xdr:rowOff>68580</xdr:rowOff>
        </xdr:from>
        <xdr:to>
          <xdr:col>4</xdr:col>
          <xdr:colOff>68580</xdr:colOff>
          <xdr:row>4</xdr:row>
          <xdr:rowOff>0</xdr:rowOff>
        </xdr:to>
        <xdr:sp macro="" textlink="">
          <xdr:nvSpPr>
            <xdr:cNvPr id="6146" name="Drop Dow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495300</xdr:colOff>
          <xdr:row>2</xdr:row>
          <xdr:rowOff>68580</xdr:rowOff>
        </xdr:from>
        <xdr:to>
          <xdr:col>6</xdr:col>
          <xdr:colOff>144780</xdr:colOff>
          <xdr:row>3</xdr:row>
          <xdr:rowOff>144780</xdr:rowOff>
        </xdr:to>
        <xdr:sp macro="" textlink="">
          <xdr:nvSpPr>
            <xdr:cNvPr id="6147" name="Drop Dow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563880</xdr:colOff>
          <xdr:row>2</xdr:row>
          <xdr:rowOff>38100</xdr:rowOff>
        </xdr:from>
        <xdr:to>
          <xdr:col>8</xdr:col>
          <xdr:colOff>228600</xdr:colOff>
          <xdr:row>3</xdr:row>
          <xdr:rowOff>114300</xdr:rowOff>
        </xdr:to>
        <xdr:sp macro="" textlink="">
          <xdr:nvSpPr>
            <xdr:cNvPr id="6148" name="Drop Dow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107398</xdr:colOff>
      <xdr:row>1</xdr:row>
      <xdr:rowOff>19878</xdr:rowOff>
    </xdr:from>
    <xdr:to>
      <xdr:col>13</xdr:col>
      <xdr:colOff>149363</xdr:colOff>
      <xdr:row>4</xdr:row>
      <xdr:rowOff>3313</xdr:rowOff>
    </xdr:to>
    <xdr:sp macro="[0]!PS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419548" y="77028"/>
          <a:ext cx="1426265" cy="402535"/>
        </a:xfrm>
        <a:prstGeom prst="round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sv-SE" sz="1400">
              <a:solidFill>
                <a:sysClr val="windowText" lastClr="000000"/>
              </a:solidFill>
            </a:rPr>
            <a:t>run PSA</a:t>
          </a:r>
        </a:p>
      </xdr:txBody>
    </xdr:sp>
    <xdr:clientData/>
  </xdr:twoCellAnchor>
  <xdr:twoCellAnchor>
    <xdr:from>
      <xdr:col>1</xdr:col>
      <xdr:colOff>145677</xdr:colOff>
      <xdr:row>20</xdr:row>
      <xdr:rowOff>44822</xdr:rowOff>
    </xdr:from>
    <xdr:to>
      <xdr:col>9</xdr:col>
      <xdr:colOff>100852</xdr:colOff>
      <xdr:row>57</xdr:row>
      <xdr:rowOff>22411</xdr:rowOff>
    </xdr:to>
    <xdr:graphicFrame macro="">
      <xdr:nvGraphicFramePr>
        <xdr:cNvPr id="3" name="Chart 6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579120</xdr:colOff>
          <xdr:row>2</xdr:row>
          <xdr:rowOff>30480</xdr:rowOff>
        </xdr:from>
        <xdr:to>
          <xdr:col>10</xdr:col>
          <xdr:colOff>236220</xdr:colOff>
          <xdr:row>3</xdr:row>
          <xdr:rowOff>106680</xdr:rowOff>
        </xdr:to>
        <xdr:sp macro="" textlink="">
          <xdr:nvSpPr>
            <xdr:cNvPr id="6150" name="Drop Dow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480498</xdr:colOff>
      <xdr:row>28</xdr:row>
      <xdr:rowOff>52211</xdr:rowOff>
    </xdr:from>
    <xdr:to>
      <xdr:col>24</xdr:col>
      <xdr:colOff>189846</xdr:colOff>
      <xdr:row>66</xdr:row>
      <xdr:rowOff>10660</xdr:rowOff>
    </xdr:to>
    <xdr:graphicFrame macro="">
      <xdr:nvGraphicFramePr>
        <xdr:cNvPr id="10" name="차트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0.03472</cdr:y>
    </cdr:from>
    <cdr:to>
      <cdr:x>0.35208</cdr:x>
      <cdr:y>0.10764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0" y="95250"/>
          <a:ext cx="1609725" cy="2000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sv-SE" sz="1000" b="1">
              <a:solidFill>
                <a:schemeClr val="bg1">
                  <a:lumMod val="50000"/>
                </a:schemeClr>
              </a:solidFill>
            </a:rPr>
            <a:t>incremental costs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75252</xdr:colOff>
      <xdr:row>44</xdr:row>
      <xdr:rowOff>79993</xdr:rowOff>
    </xdr:from>
    <xdr:to>
      <xdr:col>62</xdr:col>
      <xdr:colOff>339252</xdr:colOff>
      <xdr:row>109</xdr:row>
      <xdr:rowOff>33743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승연 신" id="{A70FA7B9-699C-4F68-B689-C22BE2723CCD}" userId="92a1740ce6db2f9c" providerId="Windows Live"/>
</personList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I103" dT="2023-05-30T03:21:08.48" personId="{A70FA7B9-699C-4F68-B689-C22BE2723CCD}" id="{D8CCBAC0-AB50-43F8-B6C3-286B22868CFF}">
    <text>100세 이상은 모두 1로 가정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Q35"/>
  <sheetViews>
    <sheetView workbookViewId="0">
      <selection activeCell="D46" sqref="D46"/>
    </sheetView>
  </sheetViews>
  <sheetFormatPr defaultColWidth="9" defaultRowHeight="17.399999999999999" x14ac:dyDescent="0.4"/>
  <cols>
    <col min="1" max="1" width="1.59765625" style="38" customWidth="1"/>
    <col min="2" max="3" width="9" style="38"/>
    <col min="4" max="4" width="15.8984375" style="38" customWidth="1"/>
    <col min="5" max="5" width="11.3984375" style="38" bestFit="1" customWidth="1"/>
    <col min="6" max="6" width="10.09765625" style="38" bestFit="1" customWidth="1"/>
    <col min="7" max="11" width="9" style="38"/>
    <col min="12" max="12" width="6.09765625" style="38" customWidth="1"/>
    <col min="13" max="16384" width="9" style="38"/>
  </cols>
  <sheetData>
    <row r="2" spans="2:17" ht="27.6" x14ac:dyDescent="0.4">
      <c r="B2" s="55"/>
      <c r="C2" s="55"/>
      <c r="D2" s="56" t="s">
        <v>85</v>
      </c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</row>
    <row r="28" spans="2:6" x14ac:dyDescent="0.4">
      <c r="D28" s="139"/>
      <c r="E28" s="139"/>
    </row>
    <row r="29" spans="2:6" x14ac:dyDescent="0.4">
      <c r="B29" s="138"/>
    </row>
    <row r="30" spans="2:6" x14ac:dyDescent="0.4">
      <c r="D30" s="139"/>
      <c r="E30" s="139"/>
      <c r="F30" s="140"/>
    </row>
    <row r="31" spans="2:6" x14ac:dyDescent="0.4">
      <c r="B31" s="138"/>
    </row>
    <row r="32" spans="2:6" x14ac:dyDescent="0.4">
      <c r="D32" s="139"/>
      <c r="E32" s="139"/>
      <c r="F32" s="140"/>
    </row>
    <row r="33" spans="2:6" x14ac:dyDescent="0.4">
      <c r="B33" s="139"/>
    </row>
    <row r="34" spans="2:6" x14ac:dyDescent="0.4">
      <c r="D34" s="139"/>
      <c r="E34" s="139"/>
      <c r="F34" s="140"/>
    </row>
    <row r="35" spans="2:6" x14ac:dyDescent="0.4">
      <c r="B35" s="139"/>
    </row>
  </sheetData>
  <phoneticPr fontId="1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2:Y61"/>
  <sheetViews>
    <sheetView tabSelected="1" zoomScale="115" zoomScaleNormal="115" workbookViewId="0">
      <pane xSplit="2" ySplit="5" topLeftCell="K10" activePane="bottomRight" state="frozen"/>
      <selection pane="topRight" activeCell="C1" sqref="C1"/>
      <selection pane="bottomLeft" activeCell="A6" sqref="A6"/>
      <selection pane="bottomRight" activeCell="X32" sqref="X32"/>
    </sheetView>
  </sheetViews>
  <sheetFormatPr defaultColWidth="9.09765625" defaultRowHeight="11.1" customHeight="1" x14ac:dyDescent="0.3"/>
  <cols>
    <col min="1" max="1" width="2.59765625" style="4" customWidth="1"/>
    <col min="2" max="2" width="26.09765625" style="4" customWidth="1"/>
    <col min="3" max="3" width="12.59765625" style="4" customWidth="1"/>
    <col min="4" max="6" width="9.09765625" style="4"/>
    <col min="7" max="7" width="0.59765625" style="4" customWidth="1"/>
    <col min="8" max="10" width="11.59765625" style="4" customWidth="1"/>
    <col min="11" max="11" width="7.09765625" style="4" bestFit="1" customWidth="1"/>
    <col min="12" max="12" width="10" style="4" bestFit="1" customWidth="1"/>
    <col min="13" max="13" width="9.09765625" style="4"/>
    <col min="14" max="14" width="10.09765625" style="4" customWidth="1"/>
    <col min="15" max="15" width="9.09765625" style="4"/>
    <col min="16" max="16" width="2.59765625" style="4" customWidth="1"/>
    <col min="17" max="17" width="0.59765625" style="4" customWidth="1"/>
    <col min="18" max="20" width="11.59765625" style="4" customWidth="1"/>
    <col min="21" max="23" width="9.09765625" style="4"/>
    <col min="24" max="24" width="10.09765625" style="4" customWidth="1"/>
    <col min="25" max="16384" width="9.09765625" style="4"/>
  </cols>
  <sheetData>
    <row r="2" spans="2:25" s="1" customFormat="1" ht="18.75" customHeight="1" x14ac:dyDescent="0.3">
      <c r="H2" s="24" t="s">
        <v>194</v>
      </c>
      <c r="I2" s="24"/>
      <c r="J2" s="24"/>
      <c r="R2" s="24" t="s">
        <v>195</v>
      </c>
      <c r="S2" s="24"/>
      <c r="T2" s="24"/>
    </row>
    <row r="3" spans="2:25" s="1" customFormat="1" ht="5.25" customHeight="1" x14ac:dyDescent="0.3"/>
    <row r="4" spans="2:25" s="1" customFormat="1" ht="11.1" customHeight="1" x14ac:dyDescent="0.3">
      <c r="B4" s="1" t="s">
        <v>241</v>
      </c>
      <c r="C4" s="3" t="s">
        <v>36</v>
      </c>
      <c r="H4" s="3" t="s">
        <v>37</v>
      </c>
      <c r="I4" s="3" t="s">
        <v>310</v>
      </c>
      <c r="J4" s="3" t="s">
        <v>312</v>
      </c>
      <c r="K4" s="3" t="s">
        <v>314</v>
      </c>
      <c r="L4" s="3" t="s">
        <v>39</v>
      </c>
      <c r="M4" s="3" t="s">
        <v>40</v>
      </c>
      <c r="N4" s="3" t="s">
        <v>41</v>
      </c>
      <c r="O4" s="3" t="s">
        <v>42</v>
      </c>
      <c r="R4" s="3" t="s">
        <v>37</v>
      </c>
      <c r="S4" s="3" t="s">
        <v>310</v>
      </c>
      <c r="T4" s="3" t="s">
        <v>312</v>
      </c>
      <c r="U4" s="3" t="s">
        <v>38</v>
      </c>
      <c r="V4" s="3" t="s">
        <v>39</v>
      </c>
      <c r="W4" s="3" t="s">
        <v>40</v>
      </c>
      <c r="X4" s="3" t="s">
        <v>41</v>
      </c>
      <c r="Y4" s="3" t="s">
        <v>42</v>
      </c>
    </row>
    <row r="5" spans="2:25" ht="4.5" customHeight="1" x14ac:dyDescent="0.3"/>
    <row r="6" spans="2:25" ht="18.75" customHeight="1" x14ac:dyDescent="0.3">
      <c r="B6" s="24" t="s">
        <v>43</v>
      </c>
      <c r="C6" s="24"/>
      <c r="D6" s="24"/>
      <c r="E6" s="24"/>
      <c r="F6" s="24"/>
      <c r="H6" s="24"/>
      <c r="I6" s="24"/>
      <c r="J6" s="24"/>
      <c r="K6" s="24"/>
      <c r="L6" s="24"/>
      <c r="M6" s="24"/>
      <c r="N6" s="24"/>
      <c r="O6" s="24"/>
      <c r="R6" s="24"/>
      <c r="S6" s="24"/>
      <c r="T6" s="24"/>
      <c r="U6" s="24"/>
      <c r="V6" s="24"/>
      <c r="W6" s="24"/>
      <c r="X6" s="24"/>
      <c r="Y6" s="24"/>
    </row>
    <row r="7" spans="2:25" ht="11.1" customHeight="1" x14ac:dyDescent="0.3">
      <c r="B7" s="25" t="s">
        <v>81</v>
      </c>
      <c r="C7" s="26">
        <f>IF(model_type=1,H7,O7)</f>
        <v>60</v>
      </c>
      <c r="D7" s="27"/>
      <c r="E7" s="28"/>
      <c r="F7" s="28"/>
      <c r="H7" s="26">
        <v>60</v>
      </c>
      <c r="I7" s="26"/>
      <c r="J7" s="26"/>
      <c r="K7" s="26"/>
      <c r="L7" s="29"/>
      <c r="M7" s="29"/>
      <c r="N7" s="26"/>
      <c r="O7" s="26"/>
      <c r="R7" s="26">
        <v>60</v>
      </c>
      <c r="S7" s="26"/>
      <c r="T7" s="26"/>
      <c r="U7" s="26"/>
      <c r="V7" s="29"/>
      <c r="W7" s="29"/>
      <c r="X7" s="26"/>
      <c r="Y7" s="26"/>
    </row>
    <row r="8" spans="2:25" ht="11.1" customHeight="1" x14ac:dyDescent="0.3">
      <c r="B8" s="30" t="s">
        <v>82</v>
      </c>
      <c r="C8" s="34">
        <f>IF(model_type=1,H8,O8)</f>
        <v>65</v>
      </c>
      <c r="D8" s="32"/>
      <c r="E8" s="32"/>
      <c r="F8" s="32"/>
      <c r="G8" s="33"/>
      <c r="H8" s="34">
        <v>65</v>
      </c>
      <c r="I8" s="34"/>
      <c r="J8" s="34"/>
      <c r="K8" s="34"/>
      <c r="L8" s="35"/>
      <c r="M8" s="35"/>
      <c r="N8" s="34"/>
      <c r="O8" s="34"/>
      <c r="Q8" s="33"/>
      <c r="R8" s="34">
        <v>65</v>
      </c>
      <c r="S8" s="34"/>
      <c r="T8" s="34"/>
      <c r="U8" s="34"/>
      <c r="V8" s="35"/>
      <c r="W8" s="35"/>
      <c r="X8" s="34"/>
      <c r="Y8" s="34"/>
    </row>
    <row r="9" spans="2:25" ht="11.1" customHeight="1" x14ac:dyDescent="0.3">
      <c r="B9" s="25" t="s">
        <v>83</v>
      </c>
      <c r="C9" s="26">
        <f>IF(model_type=1,H9,O9)</f>
        <v>71</v>
      </c>
      <c r="D9" s="28"/>
      <c r="E9" s="28"/>
      <c r="F9" s="28"/>
      <c r="G9" s="33"/>
      <c r="H9" s="26">
        <v>71</v>
      </c>
      <c r="I9" s="26"/>
      <c r="J9" s="26"/>
      <c r="K9" s="26"/>
      <c r="L9" s="29"/>
      <c r="M9" s="29"/>
      <c r="N9" s="26"/>
      <c r="O9" s="26"/>
      <c r="Q9" s="33"/>
      <c r="R9" s="26">
        <v>71</v>
      </c>
      <c r="S9" s="26"/>
      <c r="T9" s="26"/>
      <c r="U9" s="26"/>
      <c r="V9" s="29"/>
      <c r="W9" s="29"/>
      <c r="X9" s="26"/>
      <c r="Y9" s="26"/>
    </row>
    <row r="10" spans="2:25" ht="11.1" customHeight="1" x14ac:dyDescent="0.3">
      <c r="B10" s="36" t="s">
        <v>84</v>
      </c>
      <c r="C10" s="31">
        <f>IF(model_type=1,H10,O10)</f>
        <v>75</v>
      </c>
      <c r="D10" s="37"/>
      <c r="E10" s="37"/>
      <c r="F10" s="37"/>
      <c r="G10" s="33"/>
      <c r="H10" s="34">
        <v>75</v>
      </c>
      <c r="I10" s="34"/>
      <c r="J10" s="34"/>
      <c r="K10" s="34"/>
      <c r="L10" s="35"/>
      <c r="M10" s="35"/>
      <c r="N10" s="34"/>
      <c r="O10" s="34"/>
      <c r="Q10" s="33"/>
      <c r="R10" s="34">
        <v>75</v>
      </c>
      <c r="S10" s="34"/>
      <c r="T10" s="34"/>
      <c r="U10" s="34"/>
      <c r="V10" s="35"/>
      <c r="W10" s="35"/>
      <c r="X10" s="34"/>
      <c r="Y10" s="34"/>
    </row>
    <row r="11" spans="2:25" ht="3" customHeight="1" x14ac:dyDescent="0.4">
      <c r="O11" s="38"/>
      <c r="Y11" s="38"/>
    </row>
    <row r="12" spans="2:25" ht="18.75" customHeight="1" x14ac:dyDescent="0.3">
      <c r="B12" s="24" t="s">
        <v>44</v>
      </c>
      <c r="C12" s="24"/>
      <c r="D12" s="24"/>
      <c r="E12" s="24"/>
      <c r="F12" s="24"/>
      <c r="H12" s="24"/>
      <c r="I12" s="24"/>
      <c r="J12" s="24"/>
      <c r="K12" s="24"/>
      <c r="L12" s="24"/>
      <c r="M12" s="24"/>
      <c r="N12" s="24"/>
      <c r="O12" s="24"/>
      <c r="R12" s="24"/>
      <c r="S12" s="24"/>
      <c r="T12" s="24"/>
      <c r="U12" s="24"/>
      <c r="V12" s="24"/>
      <c r="W12" s="24"/>
      <c r="X12" s="24"/>
      <c r="Y12" s="24"/>
    </row>
    <row r="13" spans="2:25" ht="11.1" customHeight="1" x14ac:dyDescent="0.3">
      <c r="B13" s="25" t="s">
        <v>54</v>
      </c>
      <c r="C13" s="39">
        <f>IF(model_type=1,H13,R13)</f>
        <v>26870785</v>
      </c>
      <c r="D13" s="40" t="s">
        <v>53</v>
      </c>
      <c r="E13" s="41"/>
      <c r="F13" s="41"/>
      <c r="G13" s="42"/>
      <c r="H13" s="39">
        <f>'cost input'!J4</f>
        <v>26870785</v>
      </c>
      <c r="I13" s="39"/>
      <c r="J13" s="39"/>
      <c r="K13" s="39"/>
      <c r="L13" s="43"/>
      <c r="M13" s="43"/>
      <c r="N13" s="43"/>
      <c r="O13" s="39"/>
      <c r="Q13" s="42"/>
      <c r="R13" s="39">
        <f>'cost input'!J4</f>
        <v>26870785</v>
      </c>
      <c r="S13" s="39"/>
      <c r="T13" s="39"/>
      <c r="U13" s="39"/>
      <c r="V13" s="43"/>
      <c r="W13" s="43"/>
      <c r="X13" s="43"/>
      <c r="Y13" s="39"/>
    </row>
    <row r="14" spans="2:25" ht="11.1" customHeight="1" x14ac:dyDescent="0.3">
      <c r="B14" s="25" t="s">
        <v>216</v>
      </c>
      <c r="C14" s="39">
        <f>IF(model_type=1,H14,R14)</f>
        <v>1200000</v>
      </c>
      <c r="D14" s="40" t="s">
        <v>217</v>
      </c>
      <c r="E14" s="41"/>
      <c r="F14" s="41"/>
      <c r="G14" s="42"/>
      <c r="H14" s="39">
        <f>'cost input'!J8</f>
        <v>1200000</v>
      </c>
      <c r="I14" s="39"/>
      <c r="J14" s="39"/>
      <c r="K14" s="39"/>
      <c r="L14" s="43"/>
      <c r="M14" s="43"/>
      <c r="N14" s="43"/>
      <c r="O14" s="39"/>
      <c r="Q14" s="42"/>
      <c r="R14" s="39">
        <f>'cost input'!J8</f>
        <v>1200000</v>
      </c>
      <c r="S14" s="39"/>
      <c r="T14" s="39"/>
      <c r="U14" s="39"/>
      <c r="V14" s="43"/>
      <c r="W14" s="43"/>
      <c r="X14" s="43"/>
      <c r="Y14" s="39"/>
    </row>
    <row r="15" spans="2:25" ht="11.1" customHeight="1" x14ac:dyDescent="0.3">
      <c r="B15" s="25" t="s">
        <v>218</v>
      </c>
      <c r="C15" s="39">
        <f>IF(model_type=1,H15,R15)</f>
        <v>81848</v>
      </c>
      <c r="D15" s="40" t="s">
        <v>219</v>
      </c>
      <c r="E15" s="41"/>
      <c r="F15" s="41"/>
      <c r="G15" s="42"/>
      <c r="H15" s="39">
        <f>'cost input'!J7</f>
        <v>81848</v>
      </c>
      <c r="I15" s="39"/>
      <c r="J15" s="39"/>
      <c r="K15" s="39"/>
      <c r="L15" s="43"/>
      <c r="M15" s="43"/>
      <c r="N15" s="43"/>
      <c r="O15" s="39"/>
      <c r="Q15" s="42"/>
      <c r="R15" s="39">
        <f>'cost input'!J7</f>
        <v>81848</v>
      </c>
      <c r="S15" s="39"/>
      <c r="T15" s="39"/>
      <c r="U15" s="39"/>
      <c r="V15" s="43"/>
      <c r="W15" s="43"/>
      <c r="X15" s="43"/>
      <c r="Y15" s="39"/>
    </row>
    <row r="16" spans="2:25" ht="11.1" customHeight="1" x14ac:dyDescent="0.3">
      <c r="B16" s="25" t="s">
        <v>221</v>
      </c>
      <c r="C16" s="39">
        <f>IF(model_type=1,H16,R16)</f>
        <v>900000</v>
      </c>
      <c r="D16" s="40" t="s">
        <v>222</v>
      </c>
      <c r="E16" s="41"/>
      <c r="F16" s="41"/>
      <c r="G16" s="42"/>
      <c r="H16" s="39">
        <f>'cost input'!J9</f>
        <v>900000</v>
      </c>
      <c r="I16" s="39"/>
      <c r="J16" s="39"/>
      <c r="K16" s="39"/>
      <c r="L16" s="43"/>
      <c r="M16" s="43"/>
      <c r="N16" s="43"/>
      <c r="O16" s="39"/>
      <c r="Q16" s="42"/>
      <c r="R16" s="39">
        <f>'cost input'!J9</f>
        <v>900000</v>
      </c>
      <c r="S16" s="39"/>
      <c r="T16" s="39"/>
      <c r="U16" s="39"/>
      <c r="V16" s="43"/>
      <c r="W16" s="43"/>
      <c r="X16" s="43"/>
      <c r="Y16" s="39"/>
    </row>
    <row r="17" spans="2:25" ht="11.1" customHeight="1" x14ac:dyDescent="0.3">
      <c r="B17" s="44" t="s">
        <v>223</v>
      </c>
      <c r="C17" s="45">
        <f t="shared" ref="C17:C24" si="0">IF(perspective=1,IF(model_type=1,H17,O17),IF(model_type=1,R17,Y17))</f>
        <v>578155</v>
      </c>
      <c r="D17" s="46" t="s">
        <v>231</v>
      </c>
      <c r="E17" s="47"/>
      <c r="F17" s="47"/>
      <c r="G17" s="48"/>
      <c r="H17" s="45">
        <f>'cost input'!S4</f>
        <v>578155</v>
      </c>
      <c r="I17" s="47">
        <f>'cost input'!T4</f>
        <v>249</v>
      </c>
      <c r="J17" s="47">
        <f>'cost input'!U4</f>
        <v>1080823</v>
      </c>
      <c r="K17" s="47">
        <f>'cost input'!V4</f>
        <v>68632.329132363448</v>
      </c>
      <c r="L17" s="49">
        <f t="shared" ref="L17:L24" si="1">(H17/K17)^2</f>
        <v>70.962857750371114</v>
      </c>
      <c r="M17" s="49">
        <f t="shared" ref="M17:M24" si="2">(K17^2)/H17</f>
        <v>8147.2902632219111</v>
      </c>
      <c r="N17" s="49" t="s">
        <v>45</v>
      </c>
      <c r="O17" s="45">
        <f t="shared" ref="O17:O24" ca="1" si="3">GAMMAINV(RAND(),L17,M17)</f>
        <v>466537.71968999883</v>
      </c>
      <c r="Q17" s="48"/>
      <c r="R17" s="47">
        <f>'cost input'!S14</f>
        <v>2299435</v>
      </c>
      <c r="S17" s="47">
        <f>'cost input'!T14</f>
        <v>444</v>
      </c>
      <c r="T17" s="47">
        <f>'cost input'!U14</f>
        <v>5310213.1255324399</v>
      </c>
      <c r="U17" s="47">
        <f>'cost input'!V14</f>
        <v>252295.83945493164</v>
      </c>
      <c r="V17" s="49">
        <f t="shared" ref="V17:V24" si="4">(R17/U17)^2</f>
        <v>83.065770448658242</v>
      </c>
      <c r="W17" s="49">
        <f t="shared" ref="W17:W24" si="5">(U17^2)/R17</f>
        <v>27682.100431744602</v>
      </c>
      <c r="X17" s="49" t="s">
        <v>45</v>
      </c>
      <c r="Y17" s="45">
        <f t="shared" ref="Y17:Y24" ca="1" si="6">GAMMAINV(RAND(),V17,W17)</f>
        <v>2390199.2325737262</v>
      </c>
    </row>
    <row r="18" spans="2:25" ht="11.1" customHeight="1" x14ac:dyDescent="0.3">
      <c r="B18" s="25" t="s">
        <v>224</v>
      </c>
      <c r="C18" s="39">
        <f t="shared" si="0"/>
        <v>8225036</v>
      </c>
      <c r="D18" s="40" t="s">
        <v>232</v>
      </c>
      <c r="E18" s="41"/>
      <c r="F18" s="41"/>
      <c r="G18" s="42"/>
      <c r="H18" s="39">
        <f>'cost input'!S5</f>
        <v>8225036</v>
      </c>
      <c r="I18" s="50">
        <f>'cost input'!T5</f>
        <v>328</v>
      </c>
      <c r="J18" s="50">
        <f>'cost input'!U5</f>
        <v>5911589.926110995</v>
      </c>
      <c r="K18" s="50">
        <f>'cost input'!V5</f>
        <v>326911.6699079572</v>
      </c>
      <c r="L18" s="43">
        <f t="shared" si="1"/>
        <v>633.01611594162705</v>
      </c>
      <c r="M18" s="43">
        <f t="shared" si="2"/>
        <v>12993.406949466138</v>
      </c>
      <c r="N18" s="43" t="s">
        <v>45</v>
      </c>
      <c r="O18" s="39">
        <f t="shared" ca="1" si="3"/>
        <v>8699185.2646704521</v>
      </c>
      <c r="Q18" s="42"/>
      <c r="R18" s="50">
        <f>'cost input'!S15</f>
        <v>18866104</v>
      </c>
      <c r="S18" s="50">
        <f>'cost input'!T15</f>
        <v>403</v>
      </c>
      <c r="T18" s="50">
        <f>'cost input'!U15</f>
        <v>12052557.079488527</v>
      </c>
      <c r="U18" s="50">
        <f>'cost input'!V15</f>
        <v>601126.91053799761</v>
      </c>
      <c r="V18" s="43">
        <f t="shared" si="4"/>
        <v>984.99064905982016</v>
      </c>
      <c r="W18" s="43">
        <f t="shared" si="5"/>
        <v>19153.586907660308</v>
      </c>
      <c r="X18" s="43" t="s">
        <v>45</v>
      </c>
      <c r="Y18" s="39">
        <f t="shared" ca="1" si="6"/>
        <v>18699280.487739477</v>
      </c>
    </row>
    <row r="19" spans="2:25" ht="11.1" customHeight="1" x14ac:dyDescent="0.3">
      <c r="B19" s="44" t="s">
        <v>225</v>
      </c>
      <c r="C19" s="45">
        <f t="shared" si="0"/>
        <v>11904029</v>
      </c>
      <c r="D19" s="46" t="s">
        <v>233</v>
      </c>
      <c r="E19" s="47"/>
      <c r="F19" s="47"/>
      <c r="G19" s="42"/>
      <c r="H19" s="45">
        <f>'cost input'!S6</f>
        <v>11904029</v>
      </c>
      <c r="I19" s="47">
        <f>'cost input'!T6</f>
        <v>1629</v>
      </c>
      <c r="J19" s="47">
        <f>'cost input'!U6</f>
        <v>9512872.8203909043</v>
      </c>
      <c r="K19" s="47">
        <f>'cost input'!V6</f>
        <v>235767.79962941466</v>
      </c>
      <c r="L19" s="49">
        <f t="shared" si="1"/>
        <v>2549.288411371801</v>
      </c>
      <c r="M19" s="49">
        <f t="shared" si="2"/>
        <v>4669.5497248953125</v>
      </c>
      <c r="N19" s="49" t="s">
        <v>45</v>
      </c>
      <c r="O19" s="45">
        <f t="shared" ca="1" si="3"/>
        <v>11756490.240698131</v>
      </c>
      <c r="Q19" s="42"/>
      <c r="R19" s="47">
        <f>'cost input'!S16</f>
        <v>18915382</v>
      </c>
      <c r="S19" s="47">
        <f>'cost input'!T16</f>
        <v>1743</v>
      </c>
      <c r="T19" s="47">
        <f>'cost input'!U16</f>
        <v>13200919.036025371</v>
      </c>
      <c r="U19" s="47">
        <f>'cost input'!V16</f>
        <v>316286.08977168711</v>
      </c>
      <c r="V19" s="49">
        <f t="shared" si="4"/>
        <v>3576.5973344487202</v>
      </c>
      <c r="W19" s="49">
        <f t="shared" si="5"/>
        <v>5288.6529377552997</v>
      </c>
      <c r="X19" s="49" t="s">
        <v>45</v>
      </c>
      <c r="Y19" s="45">
        <f t="shared" ca="1" si="6"/>
        <v>18591399.017860003</v>
      </c>
    </row>
    <row r="20" spans="2:25" ht="11.1" customHeight="1" x14ac:dyDescent="0.3">
      <c r="B20" s="25" t="s">
        <v>226</v>
      </c>
      <c r="C20" s="39">
        <f t="shared" si="0"/>
        <v>12003497</v>
      </c>
      <c r="D20" s="40" t="s">
        <v>234</v>
      </c>
      <c r="E20" s="41"/>
      <c r="F20" s="41"/>
      <c r="G20" s="48"/>
      <c r="H20" s="39">
        <f>'cost input'!S7</f>
        <v>12003497</v>
      </c>
      <c r="I20" s="50">
        <f>'cost input'!T7</f>
        <v>227</v>
      </c>
      <c r="J20" s="50">
        <f>'cost input'!U7</f>
        <v>10607170.543586919</v>
      </c>
      <c r="K20" s="50">
        <f>'cost input'!V7</f>
        <v>705578.48901632312</v>
      </c>
      <c r="L20" s="43">
        <f t="shared" si="1"/>
        <v>289.41758317272314</v>
      </c>
      <c r="M20" s="43">
        <f t="shared" si="2"/>
        <v>41474.663938563703</v>
      </c>
      <c r="N20" s="43" t="s">
        <v>45</v>
      </c>
      <c r="O20" s="39">
        <f t="shared" ca="1" si="3"/>
        <v>11534364.476978613</v>
      </c>
      <c r="Q20" s="48"/>
      <c r="R20" s="50">
        <f>'cost input'!S17</f>
        <v>26334964</v>
      </c>
      <c r="S20" s="50">
        <f>'cost input'!T17</f>
        <v>263</v>
      </c>
      <c r="T20" s="50">
        <f>'cost input'!U17</f>
        <v>19194754.038542483</v>
      </c>
      <c r="U20" s="50">
        <f>'cost input'!V17</f>
        <v>1185855.8647920135</v>
      </c>
      <c r="V20" s="43">
        <f t="shared" si="4"/>
        <v>493.1756736348629</v>
      </c>
      <c r="W20" s="43">
        <f t="shared" si="5"/>
        <v>53398.748981073761</v>
      </c>
      <c r="X20" s="43" t="s">
        <v>45</v>
      </c>
      <c r="Y20" s="39">
        <f t="shared" ca="1" si="6"/>
        <v>25281391.021872673</v>
      </c>
    </row>
    <row r="21" spans="2:25" ht="11.1" customHeight="1" x14ac:dyDescent="0.3">
      <c r="B21" s="44" t="s">
        <v>227</v>
      </c>
      <c r="C21" s="45">
        <f t="shared" si="0"/>
        <v>578155</v>
      </c>
      <c r="D21" s="46" t="s">
        <v>235</v>
      </c>
      <c r="E21" s="47"/>
      <c r="F21" s="47"/>
      <c r="G21" s="48"/>
      <c r="H21" s="45">
        <f>'cost input'!S8</f>
        <v>578155</v>
      </c>
      <c r="I21" s="47">
        <f>'cost input'!T8</f>
        <v>249</v>
      </c>
      <c r="J21" s="47">
        <f>'cost input'!U8</f>
        <v>1080823</v>
      </c>
      <c r="K21" s="47">
        <f>'cost input'!V8</f>
        <v>68632.329132363448</v>
      </c>
      <c r="L21" s="49">
        <f t="shared" si="1"/>
        <v>70.962857750371114</v>
      </c>
      <c r="M21" s="49">
        <f t="shared" si="2"/>
        <v>8147.2902632219111</v>
      </c>
      <c r="N21" s="49" t="s">
        <v>45</v>
      </c>
      <c r="O21" s="45">
        <f t="shared" ca="1" si="3"/>
        <v>536053.77051600325</v>
      </c>
      <c r="Q21" s="48"/>
      <c r="R21" s="47">
        <f>'cost input'!S18</f>
        <v>720689</v>
      </c>
      <c r="S21" s="47">
        <f>'cost input'!T18</f>
        <v>314</v>
      </c>
      <c r="T21" s="47">
        <f>'cost input'!U18</f>
        <v>2730026.6535667744</v>
      </c>
      <c r="U21" s="47">
        <f>'cost input'!V18</f>
        <v>154310.22992043998</v>
      </c>
      <c r="V21" s="49">
        <f t="shared" si="4"/>
        <v>21.812545493124091</v>
      </c>
      <c r="W21" s="49">
        <f t="shared" si="5"/>
        <v>33040.114471150591</v>
      </c>
      <c r="X21" s="49" t="s">
        <v>45</v>
      </c>
      <c r="Y21" s="45">
        <f t="shared" ca="1" si="6"/>
        <v>736502.83910542913</v>
      </c>
    </row>
    <row r="22" spans="2:25" ht="11.1" customHeight="1" x14ac:dyDescent="0.3">
      <c r="B22" s="25" t="s">
        <v>228</v>
      </c>
      <c r="C22" s="39">
        <f t="shared" si="0"/>
        <v>8836416</v>
      </c>
      <c r="D22" s="40" t="s">
        <v>236</v>
      </c>
      <c r="E22" s="41"/>
      <c r="F22" s="41"/>
      <c r="G22" s="42"/>
      <c r="H22" s="39">
        <f>'cost input'!S9</f>
        <v>8836416</v>
      </c>
      <c r="I22" s="50">
        <f>'cost input'!T9</f>
        <v>256</v>
      </c>
      <c r="J22" s="50">
        <f>'cost input'!U9</f>
        <v>7069861.804257351</v>
      </c>
      <c r="K22" s="50">
        <f>'cost input'!V9</f>
        <v>442731.91964410356</v>
      </c>
      <c r="L22" s="43">
        <f t="shared" si="1"/>
        <v>398.35533498280563</v>
      </c>
      <c r="M22" s="43">
        <f t="shared" si="2"/>
        <v>22182.245909625912</v>
      </c>
      <c r="N22" s="43" t="s">
        <v>45</v>
      </c>
      <c r="O22" s="39">
        <f t="shared" ca="1" si="3"/>
        <v>9527343.4036983419</v>
      </c>
      <c r="Q22" s="42"/>
      <c r="R22" s="50">
        <f>'cost input'!S19</f>
        <v>9120316</v>
      </c>
      <c r="S22" s="50">
        <f>'cost input'!T19</f>
        <v>281</v>
      </c>
      <c r="T22" s="50">
        <f>'cost input'!U19</f>
        <v>7077840.191202186</v>
      </c>
      <c r="U22" s="50">
        <f>'cost input'!V19</f>
        <v>422981.85444108339</v>
      </c>
      <c r="V22" s="43">
        <f t="shared" si="4"/>
        <v>464.91793285814094</v>
      </c>
      <c r="W22" s="43">
        <f t="shared" si="5"/>
        <v>19617.044978092628</v>
      </c>
      <c r="X22" s="43" t="s">
        <v>45</v>
      </c>
      <c r="Y22" s="39">
        <f t="shared" ca="1" si="6"/>
        <v>9172902.4739545863</v>
      </c>
    </row>
    <row r="23" spans="2:25" ht="11.1" customHeight="1" x14ac:dyDescent="0.3">
      <c r="B23" s="44" t="s">
        <v>229</v>
      </c>
      <c r="C23" s="45">
        <f t="shared" si="0"/>
        <v>19655642</v>
      </c>
      <c r="D23" s="46" t="s">
        <v>237</v>
      </c>
      <c r="E23" s="47"/>
      <c r="F23" s="47"/>
      <c r="G23" s="42"/>
      <c r="H23" s="45">
        <f>'cost input'!S10</f>
        <v>19655642</v>
      </c>
      <c r="I23" s="47">
        <f>'cost input'!T10</f>
        <v>1429</v>
      </c>
      <c r="J23" s="47">
        <f>'cost input'!U10</f>
        <v>10306298.204890832</v>
      </c>
      <c r="K23" s="47">
        <f>'cost input'!V10</f>
        <v>272733.57204829785</v>
      </c>
      <c r="L23" s="49">
        <f t="shared" si="1"/>
        <v>5193.9440355751294</v>
      </c>
      <c r="M23" s="49">
        <f t="shared" si="2"/>
        <v>3784.3384267084266</v>
      </c>
      <c r="N23" s="49" t="s">
        <v>45</v>
      </c>
      <c r="O23" s="45">
        <f t="shared" ca="1" si="3"/>
        <v>19766241.967577618</v>
      </c>
      <c r="Q23" s="42"/>
      <c r="R23" s="47">
        <f>'cost input'!S20</f>
        <v>20142421</v>
      </c>
      <c r="S23" s="47">
        <f>'cost input'!T20</f>
        <v>1467</v>
      </c>
      <c r="T23" s="47">
        <f>'cost input'!U20</f>
        <v>10318534.989692675</v>
      </c>
      <c r="U23" s="47">
        <f>'cost input'!V20</f>
        <v>269495.2134592185</v>
      </c>
      <c r="V23" s="49">
        <f t="shared" si="4"/>
        <v>5586.2610394729491</v>
      </c>
      <c r="W23" s="49">
        <f t="shared" si="5"/>
        <v>3605.7070834449219</v>
      </c>
      <c r="X23" s="49" t="s">
        <v>45</v>
      </c>
      <c r="Y23" s="45">
        <f t="shared" ca="1" si="6"/>
        <v>20667550.247095365</v>
      </c>
    </row>
    <row r="24" spans="2:25" ht="11.1" customHeight="1" x14ac:dyDescent="0.3">
      <c r="B24" s="25" t="s">
        <v>230</v>
      </c>
      <c r="C24" s="39">
        <f t="shared" si="0"/>
        <v>22940134</v>
      </c>
      <c r="D24" s="40" t="s">
        <v>238</v>
      </c>
      <c r="E24" s="41"/>
      <c r="F24" s="41"/>
      <c r="G24" s="48"/>
      <c r="H24" s="39">
        <f>'cost input'!S11</f>
        <v>22940134</v>
      </c>
      <c r="I24" s="50">
        <f>'cost input'!T11</f>
        <v>220</v>
      </c>
      <c r="J24" s="50">
        <f>'cost input'!U11</f>
        <v>11728302.425609343</v>
      </c>
      <c r="K24" s="50">
        <f>'cost input'!V11</f>
        <v>792525.23341575894</v>
      </c>
      <c r="L24" s="43">
        <f t="shared" si="1"/>
        <v>837.84889915184499</v>
      </c>
      <c r="M24" s="43">
        <f t="shared" si="2"/>
        <v>27379.798461539202</v>
      </c>
      <c r="N24" s="43" t="s">
        <v>45</v>
      </c>
      <c r="O24" s="39">
        <f t="shared" ca="1" si="3"/>
        <v>24260482.443939067</v>
      </c>
      <c r="Q24" s="48"/>
      <c r="R24" s="50">
        <f>'cost input'!S21</f>
        <v>23814866</v>
      </c>
      <c r="S24" s="50">
        <f>'cost input'!T21</f>
        <v>232</v>
      </c>
      <c r="T24" s="50">
        <f>'cost input'!U21</f>
        <v>11769043.605860164</v>
      </c>
      <c r="U24" s="50">
        <f>'cost input'!V21</f>
        <v>774346.21885311266</v>
      </c>
      <c r="V24" s="43">
        <f t="shared" si="4"/>
        <v>945.85795406783905</v>
      </c>
      <c r="W24" s="43">
        <f t="shared" si="5"/>
        <v>25178.057548260513</v>
      </c>
      <c r="X24" s="43" t="s">
        <v>45</v>
      </c>
      <c r="Y24" s="39">
        <f t="shared" ca="1" si="6"/>
        <v>23682218.438919321</v>
      </c>
    </row>
    <row r="25" spans="2:25" ht="3" customHeight="1" x14ac:dyDescent="0.3">
      <c r="I25" s="4">
        <f>'cost input'!N74</f>
        <v>0</v>
      </c>
    </row>
    <row r="26" spans="2:25" ht="18.75" customHeight="1" x14ac:dyDescent="0.3">
      <c r="B26" s="24" t="s">
        <v>46</v>
      </c>
      <c r="C26" s="24"/>
      <c r="D26" s="24"/>
      <c r="E26" s="24"/>
      <c r="F26" s="24"/>
      <c r="H26" s="24"/>
      <c r="I26" s="24"/>
      <c r="J26" s="24"/>
      <c r="K26" s="24"/>
      <c r="L26" s="24"/>
      <c r="M26" s="24"/>
      <c r="N26" s="24"/>
      <c r="O26" s="24"/>
      <c r="R26" s="24"/>
      <c r="S26" s="24"/>
      <c r="T26" s="24"/>
      <c r="U26" s="24"/>
      <c r="V26" s="24"/>
      <c r="W26" s="24"/>
      <c r="X26" s="24"/>
      <c r="Y26" s="24"/>
    </row>
    <row r="27" spans="2:25" ht="11.1" customHeight="1" x14ac:dyDescent="0.3">
      <c r="B27" s="25" t="s">
        <v>318</v>
      </c>
      <c r="C27" s="41">
        <f t="shared" ref="C27:C28" si="7">IF(perspective=1,IF(model_type=1,H27,O27),IF(model_type=1,R27,Y27))</f>
        <v>0.752</v>
      </c>
      <c r="D27" s="40" t="s">
        <v>326</v>
      </c>
      <c r="E27" s="41"/>
      <c r="F27" s="41"/>
      <c r="G27" s="42"/>
      <c r="H27" s="41">
        <f>'utility input'!I4</f>
        <v>0.752</v>
      </c>
      <c r="I27" s="129">
        <f>'utility input'!J4</f>
        <v>65</v>
      </c>
      <c r="J27" s="41">
        <f>'utility input'!K4</f>
        <v>0.27100000000000002</v>
      </c>
      <c r="K27" s="41">
        <f>'utility input'!L4</f>
        <v>3.3613413073675498E-2</v>
      </c>
      <c r="L27" s="43">
        <f t="shared" ref="L27:L34" si="8">H27*(H27*(1-H27)/(K27^2)-1)</f>
        <v>123.37382181615169</v>
      </c>
      <c r="M27" s="43">
        <f t="shared" ref="M27:M34" si="9">H27*(1-H27)/(K27^2)-1-L27</f>
        <v>40.687111450007478</v>
      </c>
      <c r="N27" s="43" t="s">
        <v>40</v>
      </c>
      <c r="O27" s="26">
        <f t="shared" ref="O27:O34" ca="1" si="10">BETAINV(RAND(),L27,M27)</f>
        <v>0.73101616584964468</v>
      </c>
      <c r="Q27" s="42"/>
      <c r="R27" s="41">
        <f>'utility input'!M4</f>
        <v>0.67500000000000004</v>
      </c>
      <c r="S27" s="129">
        <f>'utility input'!N4</f>
        <v>65</v>
      </c>
      <c r="T27" s="41">
        <f>'utility input'!O4</f>
        <v>0.27100000000000002</v>
      </c>
      <c r="U27" s="41">
        <f>'utility input'!P4</f>
        <v>3.3613413073675498E-2</v>
      </c>
      <c r="V27" s="43">
        <f t="shared" ref="V27:V29" si="11">R27*(R27*(1-R27)/(U27^2)-1)</f>
        <v>130.38364741765494</v>
      </c>
      <c r="W27" s="43">
        <f t="shared" ref="W27" si="12">R27*(1-R27)/(U27^2)-1-V27</f>
        <v>62.777311719611646</v>
      </c>
      <c r="X27" s="43" t="s">
        <v>40</v>
      </c>
      <c r="Y27" s="26">
        <f ca="1">BETAINV(RAND(),V27,W27)-'utility input'!F27</f>
        <v>0.68490435074474987</v>
      </c>
    </row>
    <row r="28" spans="2:25" ht="11.1" customHeight="1" x14ac:dyDescent="0.3">
      <c r="B28" s="44" t="s">
        <v>319</v>
      </c>
      <c r="C28" s="51">
        <f t="shared" si="7"/>
        <v>0.43099999999999999</v>
      </c>
      <c r="D28" s="46" t="s">
        <v>327</v>
      </c>
      <c r="E28" s="51"/>
      <c r="F28" s="51"/>
      <c r="G28" s="52"/>
      <c r="H28" s="51">
        <f>'utility input'!I5</f>
        <v>0.43099999999999999</v>
      </c>
      <c r="I28" s="130">
        <f>'utility input'!J5</f>
        <v>25</v>
      </c>
      <c r="J28" s="51">
        <f>'utility input'!K5</f>
        <v>0.34300000000000003</v>
      </c>
      <c r="K28" s="51">
        <f>'utility input'!L5</f>
        <v>6.8600000000000008E-2</v>
      </c>
      <c r="L28" s="49">
        <f t="shared" si="8"/>
        <v>22.029456314970798</v>
      </c>
      <c r="M28" s="49">
        <f t="shared" si="9"/>
        <v>29.082971329973045</v>
      </c>
      <c r="N28" s="49" t="s">
        <v>40</v>
      </c>
      <c r="O28" s="31">
        <f t="shared" ca="1" si="10"/>
        <v>0.31592313349975998</v>
      </c>
      <c r="Q28" s="52"/>
      <c r="R28" s="51">
        <f>'utility input'!M5</f>
        <v>0.27399999999999997</v>
      </c>
      <c r="S28" s="130">
        <f>'utility input'!N5</f>
        <v>25</v>
      </c>
      <c r="T28" s="51">
        <f>'utility input'!O5</f>
        <v>0.34300000000000003</v>
      </c>
      <c r="U28" s="51">
        <f>'utility input'!P5</f>
        <v>6.8600000000000008E-2</v>
      </c>
      <c r="V28" s="49">
        <v>17.750055181089508</v>
      </c>
      <c r="W28" s="49">
        <v>30.615217791906424</v>
      </c>
      <c r="X28" s="49" t="s">
        <v>40</v>
      </c>
      <c r="Y28" s="31">
        <f ca="1">BETAINV(RAND(),V28,W28)-'utility input'!F28</f>
        <v>0.28108592000879717</v>
      </c>
    </row>
    <row r="29" spans="2:25" ht="11.1" customHeight="1" x14ac:dyDescent="0.3">
      <c r="B29" s="25" t="s">
        <v>320</v>
      </c>
      <c r="C29" s="41">
        <f t="shared" ref="C29:C34" si="13">IF(perspective=1,IF(model_type=1,H29,O29),IF(model_type=1,R29,Y29))</f>
        <v>0.254</v>
      </c>
      <c r="D29" s="40" t="s">
        <v>328</v>
      </c>
      <c r="E29" s="41"/>
      <c r="F29" s="41"/>
      <c r="G29" s="42"/>
      <c r="H29" s="41">
        <f>'utility input'!I6</f>
        <v>0.254</v>
      </c>
      <c r="I29" s="129">
        <f>'utility input'!J6</f>
        <v>38</v>
      </c>
      <c r="J29" s="41">
        <f>'utility input'!K6</f>
        <v>0.32800000000000001</v>
      </c>
      <c r="K29" s="41">
        <f>'utility input'!L6</f>
        <v>5.320862613089012E-2</v>
      </c>
      <c r="L29" s="43">
        <f t="shared" si="8"/>
        <v>16.745735722784055</v>
      </c>
      <c r="M29" s="43">
        <f t="shared" si="9"/>
        <v>49.182357674003562</v>
      </c>
      <c r="N29" s="43" t="s">
        <v>40</v>
      </c>
      <c r="O29" s="26">
        <f t="shared" ca="1" si="10"/>
        <v>0.19627579629148276</v>
      </c>
      <c r="Q29" s="42"/>
      <c r="R29" s="41">
        <f>'utility input'!M6</f>
        <v>2.7000000000000024E-2</v>
      </c>
      <c r="S29" s="129">
        <f>'utility input'!N6</f>
        <v>38</v>
      </c>
      <c r="T29" s="41">
        <f>'utility input'!O6</f>
        <v>0.32800000000000001</v>
      </c>
      <c r="U29" s="41">
        <f>'utility input'!P6</f>
        <v>5.320862613089012E-2</v>
      </c>
      <c r="V29" s="43">
        <f t="shared" si="11"/>
        <v>0.2235395411957172</v>
      </c>
      <c r="W29" s="43">
        <v>48.203712076145152</v>
      </c>
      <c r="X29" s="43" t="s">
        <v>40</v>
      </c>
      <c r="Y29" s="26">
        <f ca="1">BETAINV(RAND(),V29,W29)-'utility input'!F29</f>
        <v>1.447962772389411E-4</v>
      </c>
    </row>
    <row r="30" spans="2:25" ht="11.1" customHeight="1" x14ac:dyDescent="0.3">
      <c r="B30" s="44" t="s">
        <v>321</v>
      </c>
      <c r="C30" s="51">
        <f t="shared" si="13"/>
        <v>0.10199999999999999</v>
      </c>
      <c r="D30" s="46" t="s">
        <v>329</v>
      </c>
      <c r="E30" s="51"/>
      <c r="F30" s="51"/>
      <c r="G30" s="52"/>
      <c r="H30" s="51">
        <f>'utility input'!I7</f>
        <v>0.10199999999999999</v>
      </c>
      <c r="I30" s="130">
        <f>'utility input'!J7</f>
        <v>12</v>
      </c>
      <c r="J30" s="51">
        <f>'utility input'!K7</f>
        <v>0.318</v>
      </c>
      <c r="K30" s="51">
        <f>'utility input'!L7</f>
        <v>9.1798692801150508E-2</v>
      </c>
      <c r="L30" s="49">
        <f t="shared" si="8"/>
        <v>1.0066735493058023</v>
      </c>
      <c r="M30" s="49">
        <f t="shared" si="9"/>
        <v>8.8626749733001038</v>
      </c>
      <c r="N30" s="49" t="s">
        <v>40</v>
      </c>
      <c r="O30" s="31">
        <f t="shared" ca="1" si="10"/>
        <v>0.20326286738136745</v>
      </c>
      <c r="Q30" s="52"/>
      <c r="R30" s="51">
        <f>'utility input'!M7</f>
        <v>-0.13500000000000001</v>
      </c>
      <c r="S30" s="130">
        <f>'utility input'!N7</f>
        <v>12</v>
      </c>
      <c r="T30" s="51">
        <f>'utility input'!O7</f>
        <v>0.318</v>
      </c>
      <c r="U30" s="51">
        <f>'utility input'!P7</f>
        <v>9.1798692801150508E-2</v>
      </c>
      <c r="V30" s="49">
        <v>0.44340002373323828</v>
      </c>
      <c r="W30" s="49">
        <v>6.0771885605790894</v>
      </c>
      <c r="X30" s="49" t="s">
        <v>40</v>
      </c>
      <c r="Y30" s="31">
        <f ca="1">BETAINV(RAND(),V30,W30)-'utility input'!F30</f>
        <v>1.9285310134864279E-2</v>
      </c>
    </row>
    <row r="31" spans="2:25" ht="11.1" customHeight="1" x14ac:dyDescent="0.3">
      <c r="B31" s="25" t="s">
        <v>322</v>
      </c>
      <c r="C31" s="41">
        <f t="shared" si="13"/>
        <v>0.28000000000000003</v>
      </c>
      <c r="D31" s="40" t="s">
        <v>330</v>
      </c>
      <c r="E31" s="41"/>
      <c r="F31" s="41"/>
      <c r="G31" s="42"/>
      <c r="H31" s="41">
        <f>'utility input'!I8</f>
        <v>0.28000000000000003</v>
      </c>
      <c r="I31" s="129">
        <f>'utility input'!J8</f>
        <v>303</v>
      </c>
      <c r="J31" s="41">
        <f>'utility input'!K8</f>
        <v>0.34</v>
      </c>
      <c r="K31" s="41">
        <f>'utility input'!L8</f>
        <v>1.9532489647128486E-2</v>
      </c>
      <c r="L31" s="43">
        <f t="shared" si="8"/>
        <v>147.67626297577857</v>
      </c>
      <c r="M31" s="43">
        <f t="shared" si="9"/>
        <v>379.73896193771628</v>
      </c>
      <c r="N31" s="43" t="s">
        <v>40</v>
      </c>
      <c r="O31" s="26">
        <f t="shared" ca="1" si="10"/>
        <v>0.27832395867872101</v>
      </c>
      <c r="Q31" s="42"/>
      <c r="R31" s="41">
        <f>'utility input'!M8</f>
        <v>0.20300000000000007</v>
      </c>
      <c r="S31" s="129">
        <f>'utility input'!N8</f>
        <v>303</v>
      </c>
      <c r="T31" s="41">
        <f>'utility input'!O8</f>
        <v>0.34</v>
      </c>
      <c r="U31" s="41">
        <f>'utility input'!P8</f>
        <v>1.9532489647128486E-2</v>
      </c>
      <c r="V31" s="43">
        <v>147.67626297577857</v>
      </c>
      <c r="W31" s="43">
        <v>379.73896193771628</v>
      </c>
      <c r="X31" s="43" t="s">
        <v>40</v>
      </c>
      <c r="Y31" s="26">
        <f ca="1">BETAINV(RAND(),V31,W31)-'utility input'!G27</f>
        <v>0.25874727805089831</v>
      </c>
    </row>
    <row r="32" spans="2:25" ht="11.1" customHeight="1" x14ac:dyDescent="0.3">
      <c r="B32" s="44" t="s">
        <v>323</v>
      </c>
      <c r="C32" s="51">
        <f t="shared" si="13"/>
        <v>0.18</v>
      </c>
      <c r="D32" s="46" t="s">
        <v>331</v>
      </c>
      <c r="E32" s="51"/>
      <c r="F32" s="51"/>
      <c r="G32" s="52"/>
      <c r="H32" s="51">
        <f>'utility input'!I9</f>
        <v>0.18</v>
      </c>
      <c r="I32" s="130">
        <f>'utility input'!J9</f>
        <v>473</v>
      </c>
      <c r="J32" s="51">
        <f>'utility input'!K9</f>
        <v>0.32</v>
      </c>
      <c r="K32" s="51">
        <f>'utility input'!L9</f>
        <v>1.4713615675894491E-2</v>
      </c>
      <c r="L32" s="49">
        <f t="shared" si="8"/>
        <v>122.54132812500002</v>
      </c>
      <c r="M32" s="49">
        <f t="shared" si="9"/>
        <v>558.24382812500005</v>
      </c>
      <c r="N32" s="49" t="s">
        <v>40</v>
      </c>
      <c r="O32" s="31">
        <f t="shared" ca="1" si="10"/>
        <v>0.19508169884338877</v>
      </c>
      <c r="Q32" s="52"/>
      <c r="R32" s="51">
        <f>'utility input'!M9</f>
        <v>2.2999999999999965E-2</v>
      </c>
      <c r="S32" s="130">
        <f>'utility input'!N9</f>
        <v>473</v>
      </c>
      <c r="T32" s="51">
        <f>'utility input'!O9</f>
        <v>0.32</v>
      </c>
      <c r="U32" s="51">
        <f>'utility input'!P9</f>
        <v>1.4713615675894491E-2</v>
      </c>
      <c r="V32" s="49">
        <v>122.54132812500002</v>
      </c>
      <c r="W32" s="49">
        <v>558.24382812500005</v>
      </c>
      <c r="X32" s="49" t="s">
        <v>40</v>
      </c>
      <c r="Y32" s="31">
        <f ca="1">BETAINV(RAND(),V32,W32)-'utility input'!G28</f>
        <v>0.18379889732756538</v>
      </c>
    </row>
    <row r="33" spans="2:25" ht="11.1" customHeight="1" x14ac:dyDescent="0.3">
      <c r="B33" s="25" t="s">
        <v>324</v>
      </c>
      <c r="C33" s="41">
        <f t="shared" si="13"/>
        <v>0.15</v>
      </c>
      <c r="D33" s="40" t="s">
        <v>332</v>
      </c>
      <c r="E33" s="41"/>
      <c r="F33" s="41"/>
      <c r="G33" s="42"/>
      <c r="H33" s="41">
        <f>'utility input'!I10</f>
        <v>0.15</v>
      </c>
      <c r="I33" s="129">
        <f>'utility input'!J10</f>
        <v>821</v>
      </c>
      <c r="J33" s="41">
        <f>'utility input'!K10</f>
        <v>0.31</v>
      </c>
      <c r="K33" s="41">
        <f>'utility input'!L10</f>
        <v>1.0819074597776529E-2</v>
      </c>
      <c r="L33" s="43">
        <f t="shared" si="8"/>
        <v>163.23839750260143</v>
      </c>
      <c r="M33" s="43">
        <f t="shared" si="9"/>
        <v>925.01758584807476</v>
      </c>
      <c r="N33" s="43" t="s">
        <v>40</v>
      </c>
      <c r="O33" s="26">
        <f t="shared" ca="1" si="10"/>
        <v>0.15556105199525849</v>
      </c>
      <c r="Q33" s="42"/>
      <c r="R33" s="41">
        <f>'utility input'!M10</f>
        <v>-7.6999999999999985E-2</v>
      </c>
      <c r="S33" s="129">
        <f>'utility input'!N10</f>
        <v>821</v>
      </c>
      <c r="T33" s="41">
        <f>'utility input'!O10</f>
        <v>0.31</v>
      </c>
      <c r="U33" s="41">
        <f>'utility input'!P10</f>
        <v>1.0819074597776529E-2</v>
      </c>
      <c r="V33" s="43">
        <v>163.23839750260143</v>
      </c>
      <c r="W33" s="43">
        <v>925.01758584807476</v>
      </c>
      <c r="X33" s="43" t="s">
        <v>40</v>
      </c>
      <c r="Y33" s="26">
        <f ca="1">BETAINV(RAND(),V33,W33)-'utility input'!G29</f>
        <v>0.15143154259888469</v>
      </c>
    </row>
    <row r="34" spans="2:25" ht="11.1" customHeight="1" x14ac:dyDescent="0.3">
      <c r="B34" s="44" t="s">
        <v>325</v>
      </c>
      <c r="C34" s="51">
        <f t="shared" si="13"/>
        <v>0.06</v>
      </c>
      <c r="D34" s="46" t="s">
        <v>333</v>
      </c>
      <c r="E34" s="51"/>
      <c r="F34" s="51"/>
      <c r="G34" s="52"/>
      <c r="H34" s="51">
        <f>'utility input'!I11</f>
        <v>0.06</v>
      </c>
      <c r="I34" s="130">
        <f>'utility input'!J11</f>
        <v>1759</v>
      </c>
      <c r="J34" s="51">
        <f>'utility input'!K11</f>
        <v>0.28000000000000003</v>
      </c>
      <c r="K34" s="51">
        <f>'utility input'!L11</f>
        <v>6.6761350234713079E-3</v>
      </c>
      <c r="L34" s="49">
        <f t="shared" si="8"/>
        <v>75.864183673469356</v>
      </c>
      <c r="M34" s="49">
        <f t="shared" si="9"/>
        <v>1188.5388775510201</v>
      </c>
      <c r="N34" s="49" t="s">
        <v>40</v>
      </c>
      <c r="O34" s="31">
        <f t="shared" ca="1" si="10"/>
        <v>6.2010918007540772E-2</v>
      </c>
      <c r="Q34" s="52"/>
      <c r="R34" s="51">
        <f>'utility input'!M11</f>
        <v>-0.17699999999999999</v>
      </c>
      <c r="S34" s="130">
        <f>'utility input'!N11</f>
        <v>1759</v>
      </c>
      <c r="T34" s="51">
        <f>'utility input'!O11</f>
        <v>0.28000000000000003</v>
      </c>
      <c r="U34" s="51">
        <f>'utility input'!P11</f>
        <v>6.6761350234713079E-3</v>
      </c>
      <c r="V34" s="49">
        <v>75.864183673469356</v>
      </c>
      <c r="W34" s="49">
        <v>1188.5388775510201</v>
      </c>
      <c r="X34" s="49" t="s">
        <v>40</v>
      </c>
      <c r="Y34" s="31">
        <f ca="1">BETAINV(RAND(),V34,W34)-'utility input'!G30</f>
        <v>6.6254280820456368E-2</v>
      </c>
    </row>
    <row r="35" spans="2:25" ht="3" customHeight="1" x14ac:dyDescent="0.4">
      <c r="H35" s="4">
        <f>'utility input'!J7</f>
        <v>12</v>
      </c>
      <c r="L35" s="38"/>
      <c r="M35" s="38"/>
      <c r="N35" s="38"/>
      <c r="V35" s="38"/>
      <c r="W35" s="38"/>
      <c r="X35" s="38"/>
    </row>
    <row r="36" spans="2:25" ht="18.75" customHeight="1" x14ac:dyDescent="0.3">
      <c r="B36" s="24" t="s">
        <v>47</v>
      </c>
      <c r="C36" s="24"/>
      <c r="D36" s="24"/>
      <c r="E36" s="24"/>
      <c r="F36" s="24"/>
      <c r="H36" s="24"/>
      <c r="I36" s="24"/>
      <c r="J36" s="24"/>
      <c r="K36" s="24"/>
      <c r="L36" s="24"/>
      <c r="M36" s="24"/>
      <c r="N36" s="24"/>
      <c r="O36" s="24"/>
      <c r="R36" s="24"/>
      <c r="S36" s="24"/>
      <c r="T36" s="24"/>
      <c r="U36" s="24"/>
      <c r="V36" s="24"/>
      <c r="W36" s="24"/>
      <c r="X36" s="24"/>
      <c r="Y36" s="24"/>
    </row>
    <row r="37" spans="2:25" ht="11.1" customHeight="1" x14ac:dyDescent="0.3">
      <c r="B37" s="25" t="s">
        <v>402</v>
      </c>
      <c r="C37" s="26">
        <v>0.69</v>
      </c>
      <c r="D37" s="40" t="s">
        <v>401</v>
      </c>
      <c r="E37" s="41"/>
      <c r="F37" s="41"/>
      <c r="G37" s="42"/>
      <c r="H37" s="41">
        <v>0.69</v>
      </c>
      <c r="I37" s="41"/>
      <c r="J37" s="41"/>
      <c r="K37" s="41"/>
      <c r="L37" s="28"/>
      <c r="M37" s="28"/>
      <c r="N37" s="26"/>
      <c r="O37" s="26"/>
      <c r="Q37" s="42"/>
      <c r="R37" s="41">
        <v>0.69</v>
      </c>
      <c r="S37" s="41"/>
      <c r="T37" s="41"/>
      <c r="U37" s="41"/>
      <c r="V37" s="28"/>
      <c r="W37" s="28"/>
      <c r="X37" s="26"/>
      <c r="Y37" s="26"/>
    </row>
    <row r="38" spans="2:25" ht="3" customHeight="1" x14ac:dyDescent="0.3"/>
    <row r="39" spans="2:25" ht="18.75" customHeight="1" x14ac:dyDescent="0.3">
      <c r="B39" s="24" t="s">
        <v>192</v>
      </c>
      <c r="C39" s="24"/>
      <c r="D39" s="24"/>
      <c r="E39" s="24"/>
      <c r="F39" s="24"/>
      <c r="H39" s="24"/>
      <c r="I39" s="24"/>
      <c r="J39" s="24"/>
      <c r="K39" s="24"/>
      <c r="L39" s="24"/>
      <c r="M39" s="24"/>
      <c r="N39" s="24"/>
      <c r="O39" s="24"/>
      <c r="R39" s="24"/>
      <c r="S39" s="24"/>
      <c r="T39" s="24"/>
      <c r="U39" s="24"/>
      <c r="V39" s="24"/>
      <c r="W39" s="24"/>
      <c r="X39" s="24"/>
      <c r="Y39" s="24"/>
    </row>
    <row r="40" spans="2:25" ht="11.1" customHeight="1" x14ac:dyDescent="0.3">
      <c r="B40" s="25" t="s">
        <v>192</v>
      </c>
      <c r="C40" s="53">
        <v>0.13</v>
      </c>
      <c r="D40" s="40" t="s">
        <v>193</v>
      </c>
      <c r="E40" s="41"/>
      <c r="F40" s="41"/>
      <c r="G40" s="42"/>
      <c r="H40" s="41"/>
      <c r="I40" s="41"/>
      <c r="J40" s="41"/>
      <c r="K40" s="28"/>
      <c r="L40" s="28"/>
      <c r="M40" s="28"/>
      <c r="N40" s="28"/>
      <c r="O40" s="28"/>
      <c r="Q40" s="42"/>
      <c r="R40" s="41"/>
      <c r="S40" s="41"/>
      <c r="T40" s="41"/>
      <c r="U40" s="28"/>
      <c r="V40" s="28"/>
      <c r="W40" s="28"/>
      <c r="X40" s="28"/>
      <c r="Y40" s="28"/>
    </row>
    <row r="41" spans="2:25" ht="3" customHeight="1" x14ac:dyDescent="0.3"/>
    <row r="42" spans="2:25" ht="18.75" customHeight="1" x14ac:dyDescent="0.3">
      <c r="B42" s="24" t="s">
        <v>48</v>
      </c>
      <c r="C42" s="24"/>
      <c r="D42" s="24"/>
      <c r="E42" s="24"/>
      <c r="F42" s="24"/>
      <c r="H42" s="24"/>
      <c r="I42" s="24"/>
      <c r="J42" s="24"/>
      <c r="K42" s="24"/>
      <c r="L42" s="24"/>
      <c r="M42" s="24"/>
      <c r="N42" s="24"/>
      <c r="O42" s="24"/>
      <c r="R42" s="24"/>
      <c r="S42" s="24"/>
      <c r="T42" s="24"/>
      <c r="U42" s="24"/>
      <c r="V42" s="24"/>
      <c r="W42" s="24"/>
      <c r="X42" s="24"/>
      <c r="Y42" s="24"/>
    </row>
    <row r="43" spans="2:25" ht="11.1" customHeight="1" x14ac:dyDescent="0.3">
      <c r="B43" s="25" t="s">
        <v>49</v>
      </c>
      <c r="C43" s="53">
        <v>4.4999999999999998E-2</v>
      </c>
      <c r="D43" s="40" t="s">
        <v>50</v>
      </c>
      <c r="E43" s="41"/>
      <c r="F43" s="41"/>
      <c r="G43" s="42"/>
      <c r="H43" s="41"/>
      <c r="I43" s="41"/>
      <c r="J43" s="41"/>
      <c r="K43" s="28"/>
      <c r="L43" s="28"/>
      <c r="M43" s="28"/>
      <c r="N43" s="28"/>
      <c r="O43" s="28"/>
      <c r="Q43" s="42"/>
      <c r="R43" s="41"/>
      <c r="S43" s="41"/>
      <c r="T43" s="41"/>
      <c r="U43" s="28"/>
      <c r="V43" s="28"/>
      <c r="W43" s="28"/>
      <c r="X43" s="28"/>
      <c r="Y43" s="28"/>
    </row>
    <row r="44" spans="2:25" ht="11.1" customHeight="1" x14ac:dyDescent="0.3">
      <c r="B44" s="44" t="s">
        <v>51</v>
      </c>
      <c r="C44" s="54">
        <v>4.4999999999999998E-2</v>
      </c>
      <c r="D44" s="46" t="s">
        <v>52</v>
      </c>
      <c r="E44" s="51"/>
      <c r="F44" s="51"/>
      <c r="G44" s="52"/>
      <c r="H44" s="51"/>
      <c r="I44" s="51"/>
      <c r="J44" s="51"/>
      <c r="K44" s="37"/>
      <c r="L44" s="37"/>
      <c r="M44" s="37"/>
      <c r="N44" s="37"/>
      <c r="O44" s="37"/>
      <c r="Q44" s="52"/>
      <c r="R44" s="51"/>
      <c r="S44" s="51"/>
      <c r="T44" s="51"/>
      <c r="U44" s="37"/>
      <c r="V44" s="37"/>
      <c r="W44" s="37"/>
      <c r="X44" s="37"/>
      <c r="Y44" s="37"/>
    </row>
    <row r="46" spans="2:25" ht="18.600000000000001" customHeight="1" x14ac:dyDescent="0.3">
      <c r="B46" s="24" t="s">
        <v>383</v>
      </c>
      <c r="C46" s="24"/>
      <c r="D46" s="24"/>
      <c r="E46" s="24"/>
      <c r="F46" s="24"/>
      <c r="H46" s="24"/>
      <c r="I46" s="24"/>
      <c r="J46" s="24"/>
      <c r="K46" s="24"/>
      <c r="L46" s="24"/>
      <c r="M46" s="24"/>
      <c r="N46" s="24"/>
      <c r="O46" s="24"/>
      <c r="R46" s="24"/>
      <c r="S46" s="24"/>
      <c r="T46" s="24"/>
      <c r="U46" s="24"/>
      <c r="V46" s="24"/>
      <c r="W46" s="24"/>
      <c r="X46" s="24"/>
      <c r="Y46" s="24"/>
    </row>
    <row r="47" spans="2:25" ht="11.1" customHeight="1" x14ac:dyDescent="0.3">
      <c r="B47" s="25" t="s">
        <v>385</v>
      </c>
      <c r="C47" s="53">
        <v>0.7</v>
      </c>
      <c r="D47" s="40" t="s">
        <v>386</v>
      </c>
      <c r="E47" s="41"/>
      <c r="F47" s="41"/>
      <c r="G47" s="42"/>
      <c r="H47" s="41"/>
      <c r="I47" s="41"/>
      <c r="J47" s="41"/>
      <c r="K47" s="28"/>
      <c r="L47" s="28"/>
      <c r="M47" s="28"/>
      <c r="N47" s="28"/>
      <c r="O47" s="28"/>
      <c r="Q47" s="42"/>
      <c r="R47" s="41"/>
      <c r="S47" s="41"/>
      <c r="T47" s="41"/>
      <c r="U47" s="28"/>
      <c r="V47" s="28"/>
      <c r="W47" s="28"/>
      <c r="X47" s="28"/>
      <c r="Y47" s="28"/>
    </row>
    <row r="48" spans="2:25" ht="11.1" customHeight="1" x14ac:dyDescent="0.3">
      <c r="B48" s="44" t="s">
        <v>384</v>
      </c>
      <c r="C48" s="54">
        <f>1-Initial_MCI</f>
        <v>0.30000000000000004</v>
      </c>
      <c r="D48" s="46" t="s">
        <v>387</v>
      </c>
      <c r="E48" s="51"/>
      <c r="F48" s="51"/>
      <c r="G48" s="52"/>
      <c r="H48" s="51"/>
      <c r="I48" s="51"/>
      <c r="J48" s="51"/>
      <c r="K48" s="37"/>
      <c r="L48" s="37"/>
      <c r="M48" s="37"/>
      <c r="N48" s="37"/>
      <c r="O48" s="37"/>
      <c r="Q48" s="52"/>
      <c r="R48" s="51"/>
      <c r="S48" s="51"/>
      <c r="T48" s="51"/>
      <c r="U48" s="37"/>
      <c r="V48" s="37"/>
      <c r="W48" s="37"/>
      <c r="X48" s="37"/>
      <c r="Y48" s="37"/>
    </row>
    <row r="50" spans="2:25" ht="18.600000000000001" customHeight="1" x14ac:dyDescent="0.3">
      <c r="B50" s="24" t="s">
        <v>388</v>
      </c>
      <c r="C50" s="24"/>
      <c r="D50" s="24"/>
      <c r="E50" s="24"/>
      <c r="F50" s="24"/>
      <c r="H50" s="24"/>
      <c r="I50" s="24"/>
      <c r="J50" s="24"/>
      <c r="K50" s="24"/>
      <c r="L50" s="24"/>
      <c r="M50" s="24"/>
      <c r="N50" s="24"/>
      <c r="O50" s="24"/>
      <c r="R50" s="24"/>
      <c r="S50" s="24"/>
      <c r="T50" s="24"/>
      <c r="U50" s="24"/>
      <c r="V50" s="24"/>
      <c r="W50" s="24"/>
      <c r="X50" s="24"/>
      <c r="Y50" s="24"/>
    </row>
    <row r="51" spans="2:25" ht="11.1" customHeight="1" x14ac:dyDescent="0.3">
      <c r="B51" s="25" t="s">
        <v>389</v>
      </c>
      <c r="C51" s="53">
        <v>0</v>
      </c>
      <c r="D51" s="40" t="s">
        <v>397</v>
      </c>
      <c r="E51" s="41"/>
      <c r="F51" s="41"/>
      <c r="G51" s="42"/>
      <c r="H51" s="41"/>
      <c r="I51" s="41"/>
      <c r="J51" s="41"/>
      <c r="K51" s="28"/>
      <c r="L51" s="28"/>
      <c r="M51" s="28"/>
      <c r="N51" s="28"/>
      <c r="O51" s="28"/>
      <c r="Q51" s="42"/>
      <c r="R51" s="41"/>
      <c r="S51" s="41"/>
      <c r="T51" s="41"/>
      <c r="U51" s="28"/>
      <c r="V51" s="28"/>
      <c r="W51" s="28"/>
      <c r="X51" s="28"/>
      <c r="Y51" s="28"/>
    </row>
    <row r="52" spans="2:25" ht="11.1" customHeight="1" x14ac:dyDescent="0.3">
      <c r="B52" s="44" t="s">
        <v>384</v>
      </c>
      <c r="C52" s="54">
        <v>5.5E-2</v>
      </c>
      <c r="D52" s="46" t="s">
        <v>398</v>
      </c>
      <c r="E52" s="51"/>
      <c r="F52" s="51"/>
      <c r="G52" s="52"/>
      <c r="H52" s="51"/>
      <c r="I52" s="51"/>
      <c r="J52" s="51"/>
      <c r="K52" s="37"/>
      <c r="L52" s="37"/>
      <c r="M52" s="37"/>
      <c r="N52" s="37"/>
      <c r="O52" s="37"/>
      <c r="Q52" s="52"/>
      <c r="R52" s="51"/>
      <c r="S52" s="51"/>
      <c r="T52" s="51"/>
      <c r="U52" s="37"/>
      <c r="V52" s="37"/>
      <c r="W52" s="37"/>
      <c r="X52" s="37"/>
      <c r="Y52" s="37"/>
    </row>
    <row r="53" spans="2:25" ht="11.1" customHeight="1" x14ac:dyDescent="0.3">
      <c r="B53" s="25" t="s">
        <v>390</v>
      </c>
      <c r="C53" s="53">
        <v>0.13200000000000001</v>
      </c>
      <c r="D53" s="40" t="s">
        <v>399</v>
      </c>
      <c r="E53" s="41"/>
      <c r="F53" s="41"/>
      <c r="G53" s="42"/>
      <c r="H53" s="41"/>
      <c r="I53" s="41"/>
      <c r="J53" s="41"/>
      <c r="K53" s="28"/>
      <c r="L53" s="28"/>
      <c r="M53" s="28"/>
      <c r="N53" s="28"/>
      <c r="O53" s="28"/>
      <c r="Q53" s="42"/>
      <c r="R53" s="41"/>
      <c r="S53" s="41"/>
      <c r="T53" s="41"/>
      <c r="U53" s="28"/>
      <c r="V53" s="28"/>
      <c r="W53" s="28"/>
      <c r="X53" s="28"/>
      <c r="Y53" s="28"/>
    </row>
    <row r="54" spans="2:25" ht="11.1" customHeight="1" x14ac:dyDescent="0.3">
      <c r="B54" s="44" t="s">
        <v>391</v>
      </c>
      <c r="C54" s="54">
        <v>0.29599999999999999</v>
      </c>
      <c r="D54" s="46" t="s">
        <v>400</v>
      </c>
      <c r="E54" s="51"/>
      <c r="F54" s="51"/>
      <c r="G54" s="52"/>
      <c r="H54" s="51"/>
      <c r="I54" s="51"/>
      <c r="J54" s="51"/>
      <c r="K54" s="37"/>
      <c r="L54" s="37"/>
      <c r="M54" s="37"/>
      <c r="N54" s="37"/>
      <c r="O54" s="37"/>
      <c r="Q54" s="52"/>
      <c r="R54" s="51"/>
      <c r="S54" s="51"/>
      <c r="T54" s="51"/>
      <c r="U54" s="37"/>
      <c r="V54" s="37"/>
      <c r="W54" s="37"/>
      <c r="X54" s="37"/>
      <c r="Y54" s="37"/>
    </row>
    <row r="57" spans="2:25" ht="18.600000000000001" customHeight="1" x14ac:dyDescent="0.3">
      <c r="B57" s="24" t="s">
        <v>392</v>
      </c>
      <c r="C57" s="24"/>
      <c r="D57" s="24"/>
      <c r="E57" s="24"/>
      <c r="F57" s="24"/>
      <c r="H57" s="24"/>
      <c r="I57" s="24"/>
      <c r="J57" s="24"/>
      <c r="K57" s="24"/>
      <c r="L57" s="24"/>
      <c r="M57" s="24"/>
      <c r="N57" s="24"/>
      <c r="O57" s="24"/>
      <c r="R57" s="24"/>
      <c r="S57" s="24"/>
      <c r="T57" s="24"/>
      <c r="U57" s="24"/>
      <c r="V57" s="24"/>
      <c r="W57" s="24"/>
      <c r="X57" s="24"/>
      <c r="Y57" s="24"/>
    </row>
    <row r="58" spans="2:25" ht="11.1" customHeight="1" x14ac:dyDescent="0.3">
      <c r="B58" s="25" t="s">
        <v>389</v>
      </c>
      <c r="C58" s="146">
        <v>1.1399999999999999</v>
      </c>
      <c r="D58" s="40" t="s">
        <v>393</v>
      </c>
      <c r="E58" s="41"/>
      <c r="F58" s="41"/>
      <c r="G58" s="42"/>
      <c r="H58" s="41"/>
      <c r="I58" s="41"/>
      <c r="J58" s="41"/>
      <c r="K58" s="28"/>
      <c r="L58" s="28"/>
      <c r="M58" s="28"/>
      <c r="N58" s="28"/>
      <c r="O58" s="28"/>
      <c r="Q58" s="42"/>
      <c r="R58" s="41"/>
      <c r="S58" s="41"/>
      <c r="T58" s="41"/>
      <c r="U58" s="28"/>
      <c r="V58" s="28"/>
      <c r="W58" s="28"/>
      <c r="X58" s="28"/>
      <c r="Y58" s="28"/>
    </row>
    <row r="59" spans="2:25" ht="11.1" customHeight="1" x14ac:dyDescent="0.3">
      <c r="B59" s="44" t="s">
        <v>384</v>
      </c>
      <c r="C59" s="147">
        <v>1.55</v>
      </c>
      <c r="D59" s="46" t="s">
        <v>394</v>
      </c>
      <c r="E59" s="51"/>
      <c r="F59" s="51"/>
      <c r="G59" s="52"/>
      <c r="H59" s="51"/>
      <c r="I59" s="51"/>
      <c r="J59" s="51"/>
      <c r="K59" s="37"/>
      <c r="L59" s="37"/>
      <c r="M59" s="37"/>
      <c r="N59" s="37"/>
      <c r="O59" s="37"/>
      <c r="Q59" s="52"/>
      <c r="R59" s="51"/>
      <c r="S59" s="51"/>
      <c r="T59" s="51"/>
      <c r="U59" s="37"/>
      <c r="V59" s="37"/>
      <c r="W59" s="37"/>
      <c r="X59" s="37"/>
      <c r="Y59" s="37"/>
    </row>
    <row r="60" spans="2:25" ht="11.1" customHeight="1" x14ac:dyDescent="0.3">
      <c r="B60" s="25" t="s">
        <v>390</v>
      </c>
      <c r="C60" s="146">
        <v>2.8</v>
      </c>
      <c r="D60" s="40" t="s">
        <v>395</v>
      </c>
      <c r="E60" s="41"/>
      <c r="F60" s="41"/>
      <c r="G60" s="42"/>
      <c r="H60" s="41"/>
      <c r="I60" s="41"/>
      <c r="J60" s="41"/>
      <c r="K60" s="28"/>
      <c r="L60" s="28"/>
      <c r="M60" s="28"/>
      <c r="N60" s="28"/>
      <c r="O60" s="28"/>
      <c r="Q60" s="42"/>
      <c r="R60" s="41"/>
      <c r="S60" s="41"/>
      <c r="T60" s="41"/>
      <c r="U60" s="28"/>
      <c r="V60" s="28"/>
      <c r="W60" s="28"/>
      <c r="X60" s="28"/>
      <c r="Y60" s="28"/>
    </row>
    <row r="61" spans="2:25" ht="11.1" customHeight="1" x14ac:dyDescent="0.3">
      <c r="B61" s="44" t="s">
        <v>391</v>
      </c>
      <c r="C61" s="147">
        <v>5.48</v>
      </c>
      <c r="D61" s="46" t="s">
        <v>396</v>
      </c>
      <c r="E61" s="51"/>
      <c r="F61" s="51"/>
      <c r="G61" s="52"/>
      <c r="H61" s="51"/>
      <c r="I61" s="51"/>
      <c r="J61" s="51"/>
      <c r="K61" s="37"/>
      <c r="L61" s="37"/>
      <c r="M61" s="37"/>
      <c r="N61" s="37"/>
      <c r="O61" s="37"/>
      <c r="Q61" s="52"/>
      <c r="R61" s="51"/>
      <c r="S61" s="51"/>
      <c r="T61" s="51"/>
      <c r="U61" s="37"/>
      <c r="V61" s="37"/>
      <c r="W61" s="37"/>
      <c r="X61" s="37"/>
      <c r="Y61" s="37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B1:AB39"/>
  <sheetViews>
    <sheetView topLeftCell="A9" zoomScale="70" zoomScaleNormal="70" workbookViewId="0">
      <selection activeCell="O16" sqref="O16"/>
    </sheetView>
  </sheetViews>
  <sheetFormatPr defaultColWidth="9.09765625" defaultRowHeight="11.1" customHeight="1" x14ac:dyDescent="0.3"/>
  <cols>
    <col min="1" max="1" width="9.09765625" style="4"/>
    <col min="2" max="2" width="12.09765625" style="4" customWidth="1"/>
    <col min="3" max="3" width="10.09765625" style="4" bestFit="1" customWidth="1"/>
    <col min="4" max="4" width="9.09765625" style="4"/>
    <col min="5" max="5" width="10.09765625" style="4" bestFit="1" customWidth="1"/>
    <col min="6" max="6" width="9.09765625" style="4"/>
    <col min="7" max="7" width="12.5" style="4" bestFit="1" customWidth="1"/>
    <col min="8" max="8" width="9.09765625" style="4"/>
    <col min="9" max="10" width="9.3984375" style="4" bestFit="1" customWidth="1"/>
    <col min="11" max="14" width="9.09765625" style="4"/>
    <col min="15" max="15" width="13" style="4" customWidth="1"/>
    <col min="16" max="21" width="9.09765625" style="4"/>
    <col min="22" max="22" width="11" style="4" bestFit="1" customWidth="1"/>
    <col min="23" max="16384" width="9.09765625" style="4"/>
  </cols>
  <sheetData>
    <row r="1" spans="2:28" s="1" customFormat="1" ht="4.5" customHeight="1" x14ac:dyDescent="0.3"/>
    <row r="2" spans="2:28" s="1" customFormat="1" ht="11.1" customHeight="1" x14ac:dyDescent="0.3">
      <c r="B2" s="1" t="s">
        <v>55</v>
      </c>
      <c r="D2" s="1" t="s">
        <v>56</v>
      </c>
      <c r="F2" s="1" t="s">
        <v>57</v>
      </c>
      <c r="H2" s="1" t="s">
        <v>58</v>
      </c>
      <c r="J2" s="1" t="s">
        <v>339</v>
      </c>
    </row>
    <row r="3" spans="2:28" s="1" customFormat="1" ht="11.1" customHeight="1" x14ac:dyDescent="0.3"/>
    <row r="4" spans="2:28" s="1" customFormat="1" ht="11.1" customHeight="1" x14ac:dyDescent="0.3"/>
    <row r="5" spans="2:28" s="1" customFormat="1" ht="5.25" customHeight="1" x14ac:dyDescent="0.3"/>
    <row r="6" spans="2:28" ht="6" customHeight="1" x14ac:dyDescent="0.3"/>
    <row r="7" spans="2:28" ht="4.5" customHeight="1" x14ac:dyDescent="0.3">
      <c r="M7" s="156"/>
      <c r="N7" s="156"/>
      <c r="O7" s="156"/>
      <c r="P7" s="156"/>
      <c r="Q7" s="156"/>
      <c r="R7" s="156"/>
      <c r="S7" s="156"/>
      <c r="T7" s="156"/>
      <c r="U7" s="156"/>
      <c r="V7" s="156"/>
      <c r="W7" s="156"/>
      <c r="X7" s="156"/>
      <c r="Y7" s="156"/>
      <c r="Z7" s="156"/>
      <c r="AA7" s="156"/>
      <c r="AB7" s="156"/>
    </row>
    <row r="8" spans="2:28" ht="11.1" customHeight="1" x14ac:dyDescent="0.3">
      <c r="B8" s="57"/>
      <c r="C8" s="58"/>
      <c r="D8" s="58"/>
      <c r="E8" s="272" t="s">
        <v>59</v>
      </c>
      <c r="F8" s="273"/>
      <c r="G8" s="59" t="s">
        <v>60</v>
      </c>
      <c r="M8" s="156"/>
      <c r="N8" s="156"/>
      <c r="O8" s="157"/>
      <c r="P8" s="156"/>
      <c r="Q8" s="156"/>
      <c r="R8" s="157"/>
      <c r="S8" s="157"/>
      <c r="T8" s="157"/>
      <c r="U8" s="156"/>
      <c r="V8" s="157"/>
      <c r="W8" s="156"/>
      <c r="X8" s="156"/>
      <c r="Y8" s="157"/>
      <c r="Z8" s="157"/>
      <c r="AA8" s="157"/>
      <c r="AB8" s="156"/>
    </row>
    <row r="9" spans="2:28" ht="11.1" customHeight="1" x14ac:dyDescent="0.3">
      <c r="B9" s="60"/>
      <c r="C9" s="61" t="s">
        <v>74</v>
      </c>
      <c r="D9" s="61" t="s">
        <v>28</v>
      </c>
      <c r="E9" s="61" t="s">
        <v>74</v>
      </c>
      <c r="F9" s="62" t="s">
        <v>28</v>
      </c>
      <c r="G9" s="63" t="s">
        <v>75</v>
      </c>
      <c r="I9" s="132"/>
      <c r="M9" s="156"/>
      <c r="N9" s="156"/>
      <c r="O9" s="156"/>
      <c r="P9" s="157"/>
      <c r="Q9" s="157"/>
      <c r="R9" s="157"/>
      <c r="S9" s="157"/>
      <c r="T9" s="157"/>
      <c r="U9" s="156"/>
      <c r="V9" s="156"/>
      <c r="W9" s="157"/>
      <c r="X9" s="157"/>
      <c r="Y9" s="157"/>
      <c r="Z9" s="157"/>
      <c r="AA9" s="157"/>
      <c r="AB9" s="156"/>
    </row>
    <row r="10" spans="2:28" ht="11.1" customHeight="1" x14ac:dyDescent="0.3">
      <c r="B10" s="64" t="s">
        <v>73</v>
      </c>
      <c r="C10" s="65">
        <f ca="1">[0]!total_costs_lecanemab</f>
        <v>159843201.4065856</v>
      </c>
      <c r="D10" s="66">
        <f ca="1">[0]!total_qalys_lecanemab</f>
        <v>3.41948585302455</v>
      </c>
      <c r="E10" s="274">
        <f ca="1">C10-C11</f>
        <v>83085074.207720414</v>
      </c>
      <c r="F10" s="276">
        <f ca="1">D10-D11</f>
        <v>0.41925776524978575</v>
      </c>
      <c r="G10" s="274">
        <f ca="1">IFERROR(E10/F10,"NA")</f>
        <v>198171819.5683744</v>
      </c>
      <c r="K10" s="132"/>
      <c r="M10" s="156"/>
      <c r="N10" s="156"/>
      <c r="O10" s="157"/>
      <c r="P10" s="156"/>
      <c r="Q10" s="156"/>
      <c r="R10" s="156"/>
      <c r="S10" s="156"/>
      <c r="T10" s="156"/>
      <c r="U10" s="156"/>
      <c r="V10" s="157"/>
      <c r="W10" s="156"/>
      <c r="X10" s="156"/>
      <c r="Y10" s="156"/>
      <c r="Z10" s="156"/>
      <c r="AA10" s="156"/>
      <c r="AB10" s="156"/>
    </row>
    <row r="11" spans="2:28" ht="11.1" customHeight="1" x14ac:dyDescent="0.3">
      <c r="B11" s="70" t="s">
        <v>76</v>
      </c>
      <c r="C11" s="65">
        <f ca="1">[0]!total_costs_no_treatment</f>
        <v>76758127.19886519</v>
      </c>
      <c r="D11" s="66">
        <f ca="1">[0]!total_qalys_no_treatment</f>
        <v>3.0002280877747642</v>
      </c>
      <c r="E11" s="275"/>
      <c r="F11" s="276"/>
      <c r="G11" s="274"/>
      <c r="J11" s="132"/>
      <c r="M11" s="156"/>
      <c r="N11" s="156"/>
      <c r="O11" s="157"/>
      <c r="P11" s="156"/>
      <c r="Q11" s="156"/>
      <c r="R11" s="156"/>
      <c r="S11" s="156"/>
      <c r="T11" s="156"/>
      <c r="U11" s="156"/>
      <c r="V11" s="157"/>
      <c r="W11" s="156"/>
      <c r="X11" s="156"/>
      <c r="Y11" s="156"/>
      <c r="Z11" s="156"/>
      <c r="AA11" s="156"/>
      <c r="AB11" s="156"/>
    </row>
    <row r="12" spans="2:28" ht="4.5" customHeight="1" x14ac:dyDescent="0.3">
      <c r="M12" s="156"/>
      <c r="N12" s="156"/>
      <c r="O12" s="157"/>
      <c r="P12" s="156"/>
      <c r="Q12" s="156"/>
      <c r="R12" s="156"/>
      <c r="S12" s="156"/>
      <c r="T12" s="156"/>
      <c r="U12" s="156"/>
      <c r="V12" s="157"/>
      <c r="W12" s="156"/>
      <c r="X12" s="156"/>
      <c r="Y12" s="156"/>
      <c r="Z12" s="156"/>
      <c r="AA12" s="156"/>
      <c r="AB12" s="156"/>
    </row>
    <row r="13" spans="2:28" ht="12" customHeight="1" x14ac:dyDescent="0.4">
      <c r="D13" s="67" t="s">
        <v>413</v>
      </c>
      <c r="M13" s="156"/>
      <c r="N13" s="156"/>
      <c r="O13" s="157"/>
      <c r="P13" s="156"/>
      <c r="Q13" s="156"/>
      <c r="R13" s="156"/>
      <c r="S13" s="156"/>
      <c r="T13" s="156"/>
      <c r="U13" s="156"/>
      <c r="V13" s="157"/>
      <c r="W13" s="156"/>
      <c r="X13" s="156"/>
      <c r="Y13" s="156"/>
      <c r="Z13" s="156"/>
      <c r="AA13" s="156"/>
      <c r="AB13" s="156"/>
    </row>
    <row r="14" spans="2:28" ht="6.75" customHeight="1" x14ac:dyDescent="0.3">
      <c r="M14" s="156"/>
      <c r="N14" s="156"/>
      <c r="O14" s="157"/>
      <c r="P14" s="156"/>
      <c r="Q14" s="156"/>
      <c r="R14" s="156"/>
      <c r="S14" s="156"/>
      <c r="T14" s="156"/>
      <c r="U14" s="156"/>
      <c r="V14" s="157"/>
      <c r="W14" s="156"/>
      <c r="X14" s="156"/>
      <c r="Y14" s="156"/>
      <c r="Z14" s="156"/>
      <c r="AA14" s="156"/>
      <c r="AB14" s="156"/>
    </row>
    <row r="15" spans="2:28" ht="11.1" customHeight="1" x14ac:dyDescent="0.3">
      <c r="E15" s="9" t="s">
        <v>404</v>
      </c>
      <c r="F15" s="9" t="s">
        <v>405</v>
      </c>
      <c r="G15" s="9" t="s">
        <v>403</v>
      </c>
      <c r="M15" s="156"/>
      <c r="N15" s="156"/>
      <c r="O15" s="157"/>
      <c r="P15" s="156"/>
      <c r="Q15" s="156"/>
      <c r="R15" s="157"/>
      <c r="S15" s="157"/>
      <c r="T15" s="157"/>
      <c r="U15" s="156"/>
      <c r="V15" s="157"/>
      <c r="W15" s="156"/>
      <c r="X15" s="156"/>
      <c r="Y15" s="157"/>
      <c r="Z15" s="157"/>
      <c r="AA15" s="157"/>
      <c r="AB15" s="156"/>
    </row>
    <row r="16" spans="2:28" ht="11.1" customHeight="1" x14ac:dyDescent="0.3">
      <c r="E16" s="148">
        <f ca="1">C10-C11</f>
        <v>83085074.207720414</v>
      </c>
      <c r="F16" s="149">
        <f ca="1">D10-D11</f>
        <v>0.41925776524978575</v>
      </c>
      <c r="G16" s="150">
        <f ca="1">E16/F16</f>
        <v>198171819.5683744</v>
      </c>
      <c r="M16" s="156"/>
      <c r="N16" s="156"/>
      <c r="O16" s="157"/>
      <c r="P16" s="157"/>
      <c r="Q16" s="157"/>
      <c r="R16" s="157"/>
      <c r="S16" s="157"/>
      <c r="T16" s="157"/>
      <c r="U16" s="156"/>
      <c r="V16" s="157"/>
      <c r="W16" s="157"/>
      <c r="X16" s="157"/>
      <c r="Y16" s="157"/>
      <c r="Z16" s="157"/>
      <c r="AA16" s="157"/>
      <c r="AB16" s="156"/>
    </row>
    <row r="17" spans="13:28" ht="11.1" customHeight="1" x14ac:dyDescent="0.3">
      <c r="M17" s="156"/>
      <c r="N17" s="156"/>
      <c r="O17" s="157"/>
      <c r="P17" s="156"/>
      <c r="Q17" s="156"/>
      <c r="R17" s="156"/>
      <c r="S17" s="156"/>
      <c r="T17" s="156"/>
      <c r="U17" s="156"/>
      <c r="V17" s="157"/>
      <c r="W17" s="156"/>
      <c r="X17" s="156"/>
      <c r="Y17" s="156"/>
      <c r="Z17" s="156"/>
      <c r="AA17" s="156"/>
      <c r="AB17" s="156"/>
    </row>
    <row r="18" spans="13:28" ht="11.1" customHeight="1" x14ac:dyDescent="0.3">
      <c r="M18" s="156"/>
      <c r="N18" s="156"/>
      <c r="O18" s="157"/>
      <c r="P18" s="156"/>
      <c r="Q18" s="156"/>
      <c r="R18" s="156"/>
      <c r="S18" s="156"/>
      <c r="T18" s="156"/>
      <c r="U18" s="156"/>
      <c r="V18" s="157"/>
      <c r="W18" s="156"/>
      <c r="X18" s="156"/>
      <c r="Y18" s="156"/>
      <c r="Z18" s="156"/>
      <c r="AA18" s="156"/>
      <c r="AB18" s="156"/>
    </row>
    <row r="19" spans="13:28" ht="11.1" customHeight="1" x14ac:dyDescent="0.3">
      <c r="M19" s="156"/>
      <c r="N19" s="156"/>
      <c r="O19" s="156"/>
      <c r="P19" s="156"/>
      <c r="Q19" s="156"/>
      <c r="R19" s="156"/>
      <c r="S19" s="156"/>
      <c r="T19" s="156"/>
      <c r="U19" s="156"/>
      <c r="V19" s="156"/>
      <c r="W19" s="156"/>
      <c r="X19" s="156"/>
      <c r="Y19" s="156"/>
      <c r="Z19" s="156"/>
      <c r="AA19" s="156"/>
      <c r="AB19" s="156"/>
    </row>
    <row r="20" spans="13:28" ht="11.1" customHeight="1" x14ac:dyDescent="0.3">
      <c r="M20" s="156"/>
      <c r="N20" s="156"/>
      <c r="O20" s="156"/>
      <c r="P20" s="156"/>
      <c r="Q20" s="156"/>
      <c r="R20" s="156"/>
      <c r="S20" s="156"/>
      <c r="T20" s="156"/>
      <c r="U20" s="156"/>
      <c r="V20" s="156"/>
      <c r="W20" s="156"/>
      <c r="X20" s="156"/>
      <c r="Y20" s="156"/>
      <c r="Z20" s="156"/>
      <c r="AA20" s="156"/>
      <c r="AB20" s="156"/>
    </row>
    <row r="21" spans="13:28" ht="11.1" customHeight="1" x14ac:dyDescent="0.3">
      <c r="M21" s="156"/>
      <c r="N21" s="156"/>
      <c r="O21" s="157"/>
      <c r="P21" s="156"/>
      <c r="Q21" s="156"/>
      <c r="R21" s="157"/>
      <c r="S21" s="157"/>
      <c r="T21" s="157"/>
      <c r="U21" s="156"/>
      <c r="V21" s="157"/>
      <c r="W21" s="156"/>
      <c r="X21" s="156"/>
      <c r="Y21" s="157"/>
      <c r="Z21" s="157"/>
      <c r="AA21" s="157"/>
      <c r="AB21" s="156"/>
    </row>
    <row r="22" spans="13:28" ht="11.1" customHeight="1" x14ac:dyDescent="0.3">
      <c r="M22" s="156"/>
      <c r="N22" s="156"/>
      <c r="O22" s="157"/>
      <c r="P22" s="157"/>
      <c r="Q22" s="157"/>
      <c r="R22" s="157"/>
      <c r="S22" s="157"/>
      <c r="T22" s="157"/>
      <c r="U22" s="156"/>
      <c r="V22" s="157"/>
      <c r="W22" s="157"/>
      <c r="X22" s="157"/>
      <c r="Y22" s="157"/>
      <c r="Z22" s="157"/>
      <c r="AA22" s="157"/>
      <c r="AB22" s="156"/>
    </row>
    <row r="23" spans="13:28" ht="11.1" customHeight="1" x14ac:dyDescent="0.3">
      <c r="M23" s="156"/>
      <c r="N23" s="156"/>
      <c r="O23" s="157"/>
      <c r="P23" s="156"/>
      <c r="Q23" s="156"/>
      <c r="R23" s="156"/>
      <c r="S23" s="156"/>
      <c r="T23" s="156"/>
      <c r="U23" s="156"/>
      <c r="V23" s="157"/>
      <c r="W23" s="156"/>
      <c r="X23" s="156"/>
      <c r="Y23" s="156"/>
      <c r="Z23" s="156"/>
      <c r="AA23" s="156"/>
      <c r="AB23" s="156"/>
    </row>
    <row r="24" spans="13:28" ht="11.1" customHeight="1" x14ac:dyDescent="0.3">
      <c r="M24" s="156"/>
      <c r="N24" s="156"/>
      <c r="O24" s="157"/>
      <c r="P24" s="156"/>
      <c r="Q24" s="156"/>
      <c r="R24" s="156"/>
      <c r="S24" s="156"/>
      <c r="T24" s="156"/>
      <c r="U24" s="156"/>
      <c r="V24" s="157"/>
      <c r="W24" s="156"/>
      <c r="X24" s="156"/>
      <c r="Y24" s="156"/>
      <c r="Z24" s="156"/>
      <c r="AA24" s="156"/>
      <c r="AB24" s="156"/>
    </row>
    <row r="25" spans="13:28" ht="11.1" customHeight="1" x14ac:dyDescent="0.3">
      <c r="M25" s="156"/>
      <c r="N25" s="156"/>
      <c r="O25" s="156"/>
      <c r="P25" s="156"/>
      <c r="Q25" s="156"/>
      <c r="R25" s="156"/>
      <c r="S25" s="156"/>
      <c r="T25" s="156"/>
      <c r="U25" s="156"/>
      <c r="V25" s="156"/>
      <c r="W25" s="156"/>
      <c r="X25" s="156"/>
      <c r="Y25" s="156"/>
      <c r="Z25" s="156"/>
      <c r="AA25" s="156"/>
      <c r="AB25" s="156"/>
    </row>
    <row r="26" spans="13:28" ht="11.1" customHeight="1" x14ac:dyDescent="0.3">
      <c r="M26" s="156"/>
      <c r="N26" s="156"/>
      <c r="O26" s="156"/>
      <c r="P26" s="156"/>
      <c r="Q26" s="156"/>
      <c r="R26" s="156"/>
      <c r="S26" s="156"/>
      <c r="T26" s="156"/>
      <c r="U26" s="156"/>
      <c r="V26" s="156"/>
      <c r="W26" s="156"/>
      <c r="X26" s="156"/>
      <c r="Y26" s="156"/>
      <c r="Z26" s="156"/>
      <c r="AA26" s="156"/>
      <c r="AB26" s="156"/>
    </row>
    <row r="28" spans="13:28" ht="11.1" customHeight="1" x14ac:dyDescent="0.3">
      <c r="O28" s="128"/>
    </row>
    <row r="39" spans="7:7" ht="11.1" customHeight="1" x14ac:dyDescent="0.3">
      <c r="G39" s="4">
        <f>26500*1330</f>
        <v>35245000</v>
      </c>
    </row>
  </sheetData>
  <mergeCells count="4">
    <mergeCell ref="E8:F8"/>
    <mergeCell ref="E10:E11"/>
    <mergeCell ref="F10:F11"/>
    <mergeCell ref="G10:G1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Drop Down 1">
              <controlPr defaultSize="0" autoLine="0" autoPict="0">
                <anchor moveWithCells="1">
                  <from>
                    <xdr:col>0</xdr:col>
                    <xdr:colOff>449580</xdr:colOff>
                    <xdr:row>2</xdr:row>
                    <xdr:rowOff>68580</xdr:rowOff>
                  </from>
                  <to>
                    <xdr:col>1</xdr:col>
                    <xdr:colOff>754380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Drop Down 2">
              <controlPr defaultSize="0" autoLine="0" autoPict="0">
                <anchor moveWithCells="1">
                  <from>
                    <xdr:col>2</xdr:col>
                    <xdr:colOff>449580</xdr:colOff>
                    <xdr:row>2</xdr:row>
                    <xdr:rowOff>68580</xdr:rowOff>
                  </from>
                  <to>
                    <xdr:col>4</xdr:col>
                    <xdr:colOff>68580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Drop Down 3">
              <controlPr defaultSize="0" autoLine="0" autoPict="0">
                <anchor moveWithCells="1">
                  <from>
                    <xdr:col>4</xdr:col>
                    <xdr:colOff>495300</xdr:colOff>
                    <xdr:row>2</xdr:row>
                    <xdr:rowOff>68580</xdr:rowOff>
                  </from>
                  <to>
                    <xdr:col>6</xdr:col>
                    <xdr:colOff>144780</xdr:colOff>
                    <xdr:row>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Drop Down 4">
              <controlPr defaultSize="0" autoLine="0" autoPict="0">
                <anchor moveWithCells="1">
                  <from>
                    <xdr:col>6</xdr:col>
                    <xdr:colOff>563880</xdr:colOff>
                    <xdr:row>2</xdr:row>
                    <xdr:rowOff>38100</xdr:rowOff>
                  </from>
                  <to>
                    <xdr:col>8</xdr:col>
                    <xdr:colOff>228600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8" name="Drop Down 6">
              <controlPr defaultSize="0" autoLine="0" autoPict="0">
                <anchor moveWithCells="1">
                  <from>
                    <xdr:col>8</xdr:col>
                    <xdr:colOff>579120</xdr:colOff>
                    <xdr:row>2</xdr:row>
                    <xdr:rowOff>30480</xdr:rowOff>
                  </from>
                  <to>
                    <xdr:col>10</xdr:col>
                    <xdr:colOff>236220</xdr:colOff>
                    <xdr:row>3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4:E29"/>
  <sheetViews>
    <sheetView topLeftCell="B1" workbookViewId="0">
      <selection activeCell="H36" sqref="H36"/>
    </sheetView>
  </sheetViews>
  <sheetFormatPr defaultColWidth="9.09765625" defaultRowHeight="11.1" customHeight="1" x14ac:dyDescent="0.3"/>
  <cols>
    <col min="1" max="2" width="9.09765625" style="4"/>
    <col min="3" max="3" width="12" style="4" customWidth="1"/>
    <col min="4" max="4" width="10.8984375" style="4" bestFit="1" customWidth="1"/>
    <col min="5" max="16384" width="9.09765625" style="4"/>
  </cols>
  <sheetData>
    <row r="4" spans="1:5" ht="11.1" customHeight="1" x14ac:dyDescent="0.3">
      <c r="C4" s="68" t="s">
        <v>61</v>
      </c>
      <c r="D4" s="37">
        <v>1</v>
      </c>
    </row>
    <row r="5" spans="1:5" ht="11.1" customHeight="1" x14ac:dyDescent="0.3">
      <c r="C5" s="37" t="s">
        <v>62</v>
      </c>
      <c r="D5" s="37"/>
    </row>
    <row r="6" spans="1:5" ht="11.1" customHeight="1" x14ac:dyDescent="0.3">
      <c r="C6" s="37" t="s">
        <v>63</v>
      </c>
      <c r="D6" s="37"/>
    </row>
    <row r="8" spans="1:5" ht="11.1" customHeight="1" x14ac:dyDescent="0.3">
      <c r="C8" s="68" t="s">
        <v>64</v>
      </c>
      <c r="D8" s="37">
        <v>3</v>
      </c>
    </row>
    <row r="9" spans="1:5" ht="11.1" customHeight="1" x14ac:dyDescent="0.3">
      <c r="A9" s="4">
        <v>1</v>
      </c>
      <c r="B9" s="4">
        <v>60</v>
      </c>
      <c r="C9" s="37" t="s">
        <v>81</v>
      </c>
      <c r="D9" s="37">
        <f>VLOOKUP(D8,A9:B12,2)</f>
        <v>71</v>
      </c>
      <c r="E9" s="4" t="s">
        <v>65</v>
      </c>
    </row>
    <row r="10" spans="1:5" ht="11.1" customHeight="1" x14ac:dyDescent="0.3">
      <c r="A10" s="4">
        <v>2</v>
      </c>
      <c r="B10" s="4">
        <v>65</v>
      </c>
      <c r="C10" s="37" t="s">
        <v>82</v>
      </c>
      <c r="D10" s="37"/>
    </row>
    <row r="11" spans="1:5" ht="11.1" customHeight="1" x14ac:dyDescent="0.3">
      <c r="A11" s="4">
        <v>3</v>
      </c>
      <c r="B11" s="4">
        <v>71</v>
      </c>
      <c r="C11" s="37" t="s">
        <v>239</v>
      </c>
      <c r="D11" s="37"/>
    </row>
    <row r="12" spans="1:5" ht="11.1" customHeight="1" x14ac:dyDescent="0.3">
      <c r="A12" s="4">
        <v>4</v>
      </c>
      <c r="B12" s="4">
        <v>75</v>
      </c>
      <c r="C12" s="37" t="s">
        <v>84</v>
      </c>
      <c r="D12" s="37"/>
    </row>
    <row r="14" spans="1:5" ht="11.1" customHeight="1" x14ac:dyDescent="0.3">
      <c r="C14" s="68" t="s">
        <v>66</v>
      </c>
      <c r="D14" s="37">
        <v>4</v>
      </c>
    </row>
    <row r="15" spans="1:5" ht="11.1" customHeight="1" x14ac:dyDescent="0.3">
      <c r="A15" s="4">
        <v>1</v>
      </c>
      <c r="B15" s="4">
        <v>1</v>
      </c>
      <c r="C15" s="37" t="s">
        <v>67</v>
      </c>
      <c r="D15" s="37">
        <f>VLOOKUP(D14,A15:B18,2)</f>
        <v>70</v>
      </c>
      <c r="E15" s="4" t="s">
        <v>66</v>
      </c>
    </row>
    <row r="16" spans="1:5" ht="11.1" customHeight="1" x14ac:dyDescent="0.3">
      <c r="A16" s="4">
        <v>2</v>
      </c>
      <c r="B16" s="4">
        <v>5</v>
      </c>
      <c r="C16" s="37" t="s">
        <v>68</v>
      </c>
      <c r="D16" s="37"/>
    </row>
    <row r="17" spans="1:5" ht="11.1" customHeight="1" x14ac:dyDescent="0.3">
      <c r="A17" s="4">
        <v>3</v>
      </c>
      <c r="B17" s="4">
        <v>10</v>
      </c>
      <c r="C17" s="37" t="s">
        <v>69</v>
      </c>
      <c r="D17" s="37"/>
    </row>
    <row r="18" spans="1:5" ht="11.1" customHeight="1" x14ac:dyDescent="0.3">
      <c r="A18" s="4">
        <v>4</v>
      </c>
      <c r="B18" s="4">
        <v>70</v>
      </c>
      <c r="C18" s="37" t="s">
        <v>70</v>
      </c>
      <c r="D18" s="37"/>
    </row>
    <row r="20" spans="1:5" ht="11.1" customHeight="1" x14ac:dyDescent="0.3">
      <c r="C20" s="68" t="s">
        <v>58</v>
      </c>
      <c r="D20" s="37">
        <v>1</v>
      </c>
    </row>
    <row r="21" spans="1:5" ht="11.1" customHeight="1" x14ac:dyDescent="0.3">
      <c r="C21" s="37" t="s">
        <v>71</v>
      </c>
      <c r="D21" s="37"/>
    </row>
    <row r="22" spans="1:5" ht="11.1" customHeight="1" x14ac:dyDescent="0.3">
      <c r="C22" s="37" t="s">
        <v>72</v>
      </c>
      <c r="D22" s="37"/>
    </row>
    <row r="24" spans="1:5" ht="11.1" customHeight="1" x14ac:dyDescent="0.3">
      <c r="C24" s="68" t="s">
        <v>337</v>
      </c>
      <c r="D24" s="37">
        <v>1</v>
      </c>
    </row>
    <row r="25" spans="1:5" ht="11.1" customHeight="1" x14ac:dyDescent="0.3">
      <c r="A25" s="4">
        <v>1</v>
      </c>
      <c r="B25" s="4">
        <v>30000000</v>
      </c>
      <c r="C25" s="189">
        <v>30000000</v>
      </c>
      <c r="D25" s="133">
        <f>VLOOKUP(D24,A25:B29,2)</f>
        <v>30000000</v>
      </c>
      <c r="E25" s="4" t="s">
        <v>338</v>
      </c>
    </row>
    <row r="26" spans="1:5" ht="11.1" customHeight="1" x14ac:dyDescent="0.3">
      <c r="A26" s="4">
        <v>2</v>
      </c>
      <c r="B26" s="4">
        <v>40000000</v>
      </c>
      <c r="C26" s="189">
        <v>40000000</v>
      </c>
      <c r="D26" s="37"/>
    </row>
    <row r="27" spans="1:5" ht="11.1" customHeight="1" x14ac:dyDescent="0.3">
      <c r="A27" s="4">
        <v>3</v>
      </c>
      <c r="B27" s="4">
        <v>50000000</v>
      </c>
      <c r="C27" s="189">
        <v>50000000</v>
      </c>
      <c r="D27" s="37"/>
    </row>
    <row r="28" spans="1:5" ht="11.1" customHeight="1" x14ac:dyDescent="0.3">
      <c r="A28" s="4">
        <v>4</v>
      </c>
      <c r="B28" s="4">
        <v>60000000</v>
      </c>
      <c r="C28" s="189">
        <v>60000000</v>
      </c>
      <c r="D28" s="37"/>
    </row>
    <row r="29" spans="1:5" ht="11.1" customHeight="1" x14ac:dyDescent="0.3">
      <c r="A29" s="4">
        <v>5</v>
      </c>
      <c r="B29" s="4">
        <v>70000000</v>
      </c>
      <c r="C29" s="189">
        <v>70000000</v>
      </c>
      <c r="D29" s="37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B2:AG90"/>
  <sheetViews>
    <sheetView zoomScale="70" zoomScaleNormal="70" workbookViewId="0">
      <pane xSplit="3" ySplit="3" topLeftCell="L13" activePane="bottomRight" state="frozen"/>
      <selection pane="topRight" activeCell="D1" sqref="D1"/>
      <selection pane="bottomLeft" activeCell="A4" sqref="A4"/>
      <selection pane="bottomRight" activeCell="F32" sqref="F32"/>
    </sheetView>
  </sheetViews>
  <sheetFormatPr defaultRowHeight="17.399999999999999" x14ac:dyDescent="0.4"/>
  <cols>
    <col min="2" max="2" width="25.69921875" style="69" bestFit="1" customWidth="1"/>
    <col min="3" max="3" width="33.09765625" style="153" bestFit="1" customWidth="1"/>
    <col min="4" max="4" width="12.5" style="84" bestFit="1" customWidth="1"/>
    <col min="5" max="5" width="15" style="124" bestFit="1" customWidth="1"/>
    <col min="6" max="6" width="15" style="124" customWidth="1"/>
    <col min="7" max="7" width="6.3984375" style="153" customWidth="1"/>
    <col min="8" max="8" width="11.59765625" style="153" customWidth="1"/>
    <col min="9" max="9" width="5.8984375" style="153" customWidth="1"/>
    <col min="10" max="10" width="15.09765625" style="117" bestFit="1" customWidth="1"/>
    <col min="11" max="11" width="19.09765625" style="153" bestFit="1" customWidth="1"/>
    <col min="12" max="12" width="16.59765625" style="84" bestFit="1" customWidth="1"/>
    <col min="13" max="13" width="14.59765625" style="84" bestFit="1" customWidth="1"/>
    <col min="14" max="14" width="13.09765625" style="84" bestFit="1" customWidth="1"/>
    <col min="15" max="15" width="11.59765625" style="84" bestFit="1" customWidth="1"/>
    <col min="16" max="17" width="11.59765625" style="191" customWidth="1"/>
    <col min="18" max="18" width="26.09765625" style="153" customWidth="1"/>
    <col min="19" max="19" width="26.69921875" style="153" customWidth="1"/>
    <col min="20" max="20" width="19.5" style="153" bestFit="1" customWidth="1"/>
    <col min="21" max="21" width="16.5" style="153" bestFit="1" customWidth="1"/>
    <col min="22" max="22" width="13.5" style="153" bestFit="1" customWidth="1"/>
    <col min="23" max="23" width="19.5" bestFit="1" customWidth="1"/>
    <col min="24" max="24" width="16.5" bestFit="1" customWidth="1"/>
    <col min="25" max="25" width="13.5" bestFit="1" customWidth="1"/>
    <col min="26" max="26" width="13" bestFit="1" customWidth="1"/>
    <col min="27" max="27" width="18.59765625" bestFit="1" customWidth="1"/>
    <col min="28" max="28" width="13" bestFit="1" customWidth="1"/>
    <col min="29" max="29" width="14.09765625" bestFit="1" customWidth="1"/>
    <col min="30" max="31" width="13" bestFit="1" customWidth="1"/>
    <col min="32" max="32" width="14.09765625" bestFit="1" customWidth="1"/>
    <col min="33" max="33" width="13" bestFit="1" customWidth="1"/>
  </cols>
  <sheetData>
    <row r="2" spans="2:33" ht="18" thickBot="1" x14ac:dyDescent="0.45">
      <c r="B2" s="153"/>
      <c r="D2" s="69" t="s">
        <v>202</v>
      </c>
      <c r="E2" s="120"/>
      <c r="F2" s="120"/>
      <c r="G2" s="8"/>
      <c r="H2" s="8"/>
      <c r="I2" s="8"/>
      <c r="J2" s="118" t="s">
        <v>421</v>
      </c>
      <c r="L2" s="118" t="s">
        <v>316</v>
      </c>
      <c r="M2" s="118" t="s">
        <v>310</v>
      </c>
      <c r="N2" s="118" t="s">
        <v>312</v>
      </c>
      <c r="O2" s="118" t="s">
        <v>314</v>
      </c>
      <c r="P2" s="190"/>
      <c r="Q2" s="190"/>
    </row>
    <row r="3" spans="2:33" ht="18" thickBot="1" x14ac:dyDescent="0.45">
      <c r="B3" s="91" t="s">
        <v>197</v>
      </c>
      <c r="C3" s="88"/>
      <c r="D3" s="89"/>
      <c r="E3" s="121"/>
      <c r="F3" s="121"/>
      <c r="G3" s="90"/>
      <c r="H3" s="90"/>
      <c r="I3" s="90"/>
      <c r="J3" s="119"/>
      <c r="K3" s="88"/>
      <c r="L3" s="89"/>
      <c r="M3" s="89"/>
      <c r="N3" s="89"/>
      <c r="O3" s="89"/>
      <c r="R3" s="192" t="s">
        <v>194</v>
      </c>
      <c r="S3" s="193" t="s">
        <v>317</v>
      </c>
      <c r="T3" s="194" t="s">
        <v>422</v>
      </c>
      <c r="U3" s="195" t="s">
        <v>423</v>
      </c>
      <c r="V3" s="211" t="s">
        <v>431</v>
      </c>
      <c r="W3" s="235"/>
      <c r="X3" s="235"/>
      <c r="Y3" s="235"/>
      <c r="Z3" s="278"/>
      <c r="AA3" s="278"/>
      <c r="AB3" s="278"/>
      <c r="AC3" s="278"/>
      <c r="AD3" s="278"/>
      <c r="AE3" s="278"/>
      <c r="AF3" s="278"/>
      <c r="AG3" s="278"/>
    </row>
    <row r="4" spans="2:33" x14ac:dyDescent="0.3">
      <c r="C4" s="92" t="s">
        <v>196</v>
      </c>
      <c r="E4" s="122">
        <v>26870785.5</v>
      </c>
      <c r="F4" s="144">
        <f>ROUNDDOWN(E4,0)</f>
        <v>26870785</v>
      </c>
      <c r="G4" s="84" t="s">
        <v>424</v>
      </c>
      <c r="H4" s="84">
        <v>1</v>
      </c>
      <c r="I4" s="84" t="s">
        <v>425</v>
      </c>
      <c r="J4" s="116">
        <f>F4*H4</f>
        <v>26870785</v>
      </c>
      <c r="L4" s="144">
        <f>F4</f>
        <v>26870785</v>
      </c>
      <c r="R4" s="196" t="s">
        <v>247</v>
      </c>
      <c r="S4" s="197">
        <f>SUM(L11,L21)</f>
        <v>578155</v>
      </c>
      <c r="T4" s="198">
        <v>249</v>
      </c>
      <c r="U4" s="191">
        <v>1080823</v>
      </c>
      <c r="V4" s="202">
        <v>68632.329132363448</v>
      </c>
      <c r="W4" s="235"/>
      <c r="X4" s="235"/>
      <c r="Y4" s="235"/>
      <c r="Z4" s="278"/>
      <c r="AA4" s="278"/>
      <c r="AB4" s="278"/>
      <c r="AC4" s="278"/>
      <c r="AD4" s="278"/>
      <c r="AE4" s="278"/>
      <c r="AF4" s="278"/>
      <c r="AG4" s="278"/>
    </row>
    <row r="5" spans="2:33" x14ac:dyDescent="0.3">
      <c r="C5" s="92" t="s">
        <v>245</v>
      </c>
      <c r="E5" s="122">
        <v>26870785.5</v>
      </c>
      <c r="F5" s="144">
        <f t="shared" ref="F5:F44" si="0">ROUNDDOWN(E5,0)</f>
        <v>26870785</v>
      </c>
      <c r="G5" s="84" t="s">
        <v>426</v>
      </c>
      <c r="H5" s="84">
        <v>1.06</v>
      </c>
      <c r="I5" s="84" t="s">
        <v>246</v>
      </c>
      <c r="J5" s="116">
        <f>F5*H5</f>
        <v>28483032.100000001</v>
      </c>
      <c r="L5" s="144">
        <f>F5</f>
        <v>26870785</v>
      </c>
      <c r="R5" s="199" t="s">
        <v>248</v>
      </c>
      <c r="S5" s="200">
        <f>SUM(L12,L22)</f>
        <v>8225036</v>
      </c>
      <c r="T5" s="201">
        <v>328</v>
      </c>
      <c r="U5" s="191">
        <v>5911589.926110995</v>
      </c>
      <c r="V5" s="202">
        <v>326911.6699079572</v>
      </c>
    </row>
    <row r="6" spans="2:33" x14ac:dyDescent="0.4">
      <c r="B6" s="91" t="s">
        <v>215</v>
      </c>
      <c r="C6" s="88"/>
      <c r="D6" s="89"/>
      <c r="E6" s="121"/>
      <c r="F6" s="121"/>
      <c r="G6" s="90"/>
      <c r="H6" s="90"/>
      <c r="I6" s="90"/>
      <c r="J6" s="119"/>
      <c r="K6" s="88"/>
      <c r="L6" s="89"/>
      <c r="M6" s="89"/>
      <c r="N6" s="89"/>
      <c r="O6" s="89"/>
      <c r="R6" s="199" t="s">
        <v>249</v>
      </c>
      <c r="S6" s="200">
        <f>SUM(L13,L23)</f>
        <v>11904029</v>
      </c>
      <c r="T6" s="201">
        <v>1629</v>
      </c>
      <c r="U6" s="191">
        <v>9512872.8203909043</v>
      </c>
      <c r="V6" s="202">
        <v>235767.79962941466</v>
      </c>
    </row>
    <row r="7" spans="2:33" x14ac:dyDescent="0.3">
      <c r="B7" s="69" t="s">
        <v>198</v>
      </c>
      <c r="C7" s="93" t="s">
        <v>201</v>
      </c>
      <c r="D7" s="87"/>
      <c r="E7" s="122">
        <f>19.75*79.7</f>
        <v>1574.075</v>
      </c>
      <c r="F7" s="144">
        <f t="shared" si="0"/>
        <v>1574</v>
      </c>
      <c r="G7" s="84" t="s">
        <v>427</v>
      </c>
      <c r="H7" s="85">
        <v>52</v>
      </c>
      <c r="I7" s="85" t="s">
        <v>428</v>
      </c>
      <c r="J7" s="116">
        <f>F7*H7</f>
        <v>81848</v>
      </c>
      <c r="L7" s="144">
        <f>F7</f>
        <v>1574</v>
      </c>
      <c r="R7" s="199" t="s">
        <v>250</v>
      </c>
      <c r="S7" s="200">
        <f>SUM(L14,L24)</f>
        <v>12003497</v>
      </c>
      <c r="T7" s="201">
        <v>227</v>
      </c>
      <c r="U7" s="191">
        <v>10607170.543586919</v>
      </c>
      <c r="V7" s="202">
        <v>705578.48901632312</v>
      </c>
    </row>
    <row r="8" spans="2:33" x14ac:dyDescent="0.4">
      <c r="C8" s="93" t="s">
        <v>199</v>
      </c>
      <c r="E8" s="122">
        <v>300000</v>
      </c>
      <c r="F8" s="144">
        <f t="shared" si="0"/>
        <v>300000</v>
      </c>
      <c r="G8" s="84" t="s">
        <v>429</v>
      </c>
      <c r="H8" s="84">
        <v>4</v>
      </c>
      <c r="I8" s="84" t="s">
        <v>430</v>
      </c>
      <c r="J8" s="116">
        <f>F8*H8</f>
        <v>1200000</v>
      </c>
      <c r="L8" s="144">
        <f>F8</f>
        <v>300000</v>
      </c>
      <c r="R8" s="199" t="s">
        <v>251</v>
      </c>
      <c r="S8" s="200">
        <f>SUM(L11,L26)</f>
        <v>578155</v>
      </c>
      <c r="T8" s="201">
        <v>249</v>
      </c>
      <c r="U8" s="191">
        <v>1080823</v>
      </c>
      <c r="V8" s="202">
        <v>68632.329132363448</v>
      </c>
    </row>
    <row r="9" spans="2:33" x14ac:dyDescent="0.4">
      <c r="C9" s="93" t="s">
        <v>200</v>
      </c>
      <c r="D9" s="87"/>
      <c r="E9" s="122">
        <v>300000</v>
      </c>
      <c r="F9" s="144">
        <f t="shared" si="0"/>
        <v>300000</v>
      </c>
      <c r="G9" s="84" t="s">
        <v>429</v>
      </c>
      <c r="H9" s="84">
        <v>3</v>
      </c>
      <c r="I9" s="84" t="s">
        <v>430</v>
      </c>
      <c r="J9" s="116">
        <f>F9*H9</f>
        <v>900000</v>
      </c>
      <c r="L9" s="144">
        <f>F9</f>
        <v>300000</v>
      </c>
      <c r="R9" s="199" t="s">
        <v>252</v>
      </c>
      <c r="S9" s="200">
        <f>SUM(L12,L27)</f>
        <v>8836416</v>
      </c>
      <c r="T9" s="201">
        <v>256</v>
      </c>
      <c r="U9" s="191">
        <v>7069861.804257351</v>
      </c>
      <c r="V9" s="202">
        <v>442731.91964410356</v>
      </c>
    </row>
    <row r="10" spans="2:33" x14ac:dyDescent="0.4">
      <c r="D10" s="87"/>
      <c r="E10" s="122"/>
      <c r="F10" s="144"/>
      <c r="G10" s="84"/>
      <c r="H10" s="84"/>
      <c r="I10" s="84"/>
      <c r="J10" s="116"/>
      <c r="L10" s="144"/>
      <c r="R10" s="199" t="s">
        <v>253</v>
      </c>
      <c r="S10" s="200">
        <f>SUM(L13,L28)</f>
        <v>19655642</v>
      </c>
      <c r="T10" s="201">
        <v>1429</v>
      </c>
      <c r="U10" s="191">
        <v>10306298.204890832</v>
      </c>
      <c r="V10" s="202">
        <v>272733.57204829785</v>
      </c>
    </row>
    <row r="11" spans="2:33" x14ac:dyDescent="0.4">
      <c r="C11" s="131" t="s">
        <v>414</v>
      </c>
      <c r="D11" s="84" t="s">
        <v>22</v>
      </c>
      <c r="E11" s="122">
        <f>E12/2209*756</f>
        <v>578155.19239474868</v>
      </c>
      <c r="F11" s="144">
        <f t="shared" si="0"/>
        <v>578155</v>
      </c>
      <c r="G11" s="84" t="s">
        <v>426</v>
      </c>
      <c r="H11" s="84">
        <v>1</v>
      </c>
      <c r="I11" s="84" t="s">
        <v>425</v>
      </c>
      <c r="J11" s="116">
        <f>F11*H11</f>
        <v>578155</v>
      </c>
      <c r="L11" s="144">
        <f>F11</f>
        <v>578155</v>
      </c>
      <c r="M11" s="84">
        <v>249</v>
      </c>
      <c r="N11" s="84">
        <v>1080823</v>
      </c>
      <c r="O11" s="84">
        <f>N11/SQRT(M11-1)</f>
        <v>68632.329132363448</v>
      </c>
      <c r="R11" s="199" t="s">
        <v>254</v>
      </c>
      <c r="S11" s="200">
        <f>SUM(L14,L29)</f>
        <v>22940134</v>
      </c>
      <c r="T11" s="201">
        <v>220</v>
      </c>
      <c r="U11" s="191">
        <v>11728302.425609343</v>
      </c>
      <c r="V11" s="202">
        <v>792525.23341575894</v>
      </c>
    </row>
    <row r="12" spans="2:33" ht="18" thickBot="1" x14ac:dyDescent="0.45">
      <c r="D12" s="84" t="s">
        <v>23</v>
      </c>
      <c r="E12" s="122">
        <v>1689345</v>
      </c>
      <c r="F12" s="144">
        <f t="shared" si="0"/>
        <v>1689345</v>
      </c>
      <c r="G12" s="84" t="s">
        <v>426</v>
      </c>
      <c r="H12" s="84">
        <v>1</v>
      </c>
      <c r="I12" s="84" t="s">
        <v>425</v>
      </c>
      <c r="J12" s="116">
        <f>F12*H12</f>
        <v>1689345</v>
      </c>
      <c r="L12" s="144">
        <f>F12</f>
        <v>1689345</v>
      </c>
      <c r="M12" s="84">
        <v>249</v>
      </c>
      <c r="N12" s="84">
        <v>3158121</v>
      </c>
      <c r="O12" s="84">
        <f>N12/SQRT(M12-1)</f>
        <v>200540.8840409843</v>
      </c>
      <c r="R12" s="203"/>
      <c r="S12" s="204"/>
      <c r="T12" s="205"/>
      <c r="U12" s="206"/>
      <c r="V12" s="207"/>
    </row>
    <row r="13" spans="2:33" ht="18" thickBot="1" x14ac:dyDescent="0.45">
      <c r="D13" s="84" t="s">
        <v>24</v>
      </c>
      <c r="E13" s="123">
        <v>4376298</v>
      </c>
      <c r="F13" s="144">
        <f t="shared" si="0"/>
        <v>4376298</v>
      </c>
      <c r="G13" s="84" t="s">
        <v>426</v>
      </c>
      <c r="H13" s="84">
        <v>1</v>
      </c>
      <c r="I13" s="84" t="s">
        <v>425</v>
      </c>
      <c r="J13" s="116">
        <f>F13*H13</f>
        <v>4376298</v>
      </c>
      <c r="L13" s="144">
        <f>F13</f>
        <v>4376298</v>
      </c>
      <c r="M13" s="84">
        <v>1192</v>
      </c>
      <c r="N13" s="84">
        <v>7931306</v>
      </c>
      <c r="O13" s="84">
        <f>N13/SQRT(M13-1)</f>
        <v>229820.53171408211</v>
      </c>
      <c r="R13" s="208" t="s">
        <v>195</v>
      </c>
      <c r="S13" s="209" t="s">
        <v>317</v>
      </c>
      <c r="T13" s="210" t="s">
        <v>422</v>
      </c>
      <c r="U13" s="195" t="s">
        <v>423</v>
      </c>
      <c r="V13" s="211" t="s">
        <v>431</v>
      </c>
    </row>
    <row r="14" spans="2:33" x14ac:dyDescent="0.4">
      <c r="D14" s="84" t="s">
        <v>25</v>
      </c>
      <c r="E14" s="123">
        <v>6707647</v>
      </c>
      <c r="F14" s="144">
        <f t="shared" si="0"/>
        <v>6707647</v>
      </c>
      <c r="G14" s="84" t="s">
        <v>426</v>
      </c>
      <c r="H14" s="84">
        <v>1</v>
      </c>
      <c r="I14" s="84" t="s">
        <v>425</v>
      </c>
      <c r="J14" s="116">
        <f>F14*H14</f>
        <v>6707647</v>
      </c>
      <c r="L14" s="144">
        <f>F14</f>
        <v>6707647</v>
      </c>
      <c r="M14" s="84">
        <v>141</v>
      </c>
      <c r="N14" s="84">
        <v>8800077</v>
      </c>
      <c r="O14" s="84">
        <f>N14/SQRT(M14-1)</f>
        <v>743742.25184885599</v>
      </c>
      <c r="R14" s="196" t="s">
        <v>247</v>
      </c>
      <c r="S14" s="197">
        <f>SUM(L16,L21,L31,L36,L41)</f>
        <v>2299435</v>
      </c>
      <c r="T14" s="198">
        <v>444</v>
      </c>
      <c r="U14" s="191">
        <v>5310213.1255324399</v>
      </c>
      <c r="V14" s="202">
        <v>252295.83945493164</v>
      </c>
    </row>
    <row r="15" spans="2:33" x14ac:dyDescent="0.4">
      <c r="F15" s="144"/>
      <c r="L15" s="144"/>
      <c r="R15" s="199" t="s">
        <v>248</v>
      </c>
      <c r="S15" s="200">
        <f>SUM(L17,L22,L32,L37,L42)</f>
        <v>18866104</v>
      </c>
      <c r="T15" s="201">
        <v>403</v>
      </c>
      <c r="U15" s="212">
        <v>12052557.079488527</v>
      </c>
      <c r="V15" s="213">
        <v>601126.91053799761</v>
      </c>
    </row>
    <row r="16" spans="2:33" x14ac:dyDescent="0.4">
      <c r="C16" s="93" t="s">
        <v>415</v>
      </c>
      <c r="D16" s="84" t="s">
        <v>22</v>
      </c>
      <c r="E16" s="122">
        <f>E11*(1+5.4/(100-5.4))</f>
        <v>611157.70866252505</v>
      </c>
      <c r="F16" s="144">
        <f t="shared" si="0"/>
        <v>611157</v>
      </c>
      <c r="G16" s="84" t="s">
        <v>426</v>
      </c>
      <c r="H16" s="84">
        <v>1</v>
      </c>
      <c r="I16" s="84" t="s">
        <v>425</v>
      </c>
      <c r="J16" s="116">
        <f>F16*H16</f>
        <v>611157</v>
      </c>
      <c r="L16" s="144">
        <f>F16</f>
        <v>611157</v>
      </c>
      <c r="M16" s="84">
        <v>249</v>
      </c>
      <c r="N16" s="84">
        <v>2693257</v>
      </c>
      <c r="O16" s="84">
        <f>N16/SQRT(M16-1)</f>
        <v>171021.99052207603</v>
      </c>
      <c r="R16" s="199" t="s">
        <v>249</v>
      </c>
      <c r="S16" s="200">
        <f>SUM(L18,L23,L33,L38,L43)</f>
        <v>18915382</v>
      </c>
      <c r="T16" s="201">
        <v>1743</v>
      </c>
      <c r="U16" s="212">
        <v>13200919.036025371</v>
      </c>
      <c r="V16" s="213">
        <v>316286.08977168711</v>
      </c>
    </row>
    <row r="17" spans="3:22" x14ac:dyDescent="0.4">
      <c r="D17" s="84" t="s">
        <v>23</v>
      </c>
      <c r="E17" s="122">
        <f>E12*(1+5.4/(100-5.4))</f>
        <v>1785776.9556025369</v>
      </c>
      <c r="F17" s="144">
        <f t="shared" si="0"/>
        <v>1785776</v>
      </c>
      <c r="G17" s="84" t="s">
        <v>426</v>
      </c>
      <c r="H17" s="84">
        <v>1</v>
      </c>
      <c r="I17" s="84" t="s">
        <v>425</v>
      </c>
      <c r="J17" s="116">
        <f>F17*H17</f>
        <v>1785776</v>
      </c>
      <c r="L17" s="144">
        <f>F17</f>
        <v>1785776</v>
      </c>
      <c r="M17" s="84">
        <v>249</v>
      </c>
      <c r="N17" s="84">
        <v>3158121</v>
      </c>
      <c r="O17" s="84">
        <f>N17/SQRT(M17-1)</f>
        <v>200540.8840409843</v>
      </c>
      <c r="R17" s="199" t="s">
        <v>250</v>
      </c>
      <c r="S17" s="200">
        <f>SUM(L19,L24,L34,L39,L44)</f>
        <v>26334964</v>
      </c>
      <c r="T17" s="201">
        <v>263</v>
      </c>
      <c r="U17" s="212">
        <v>19194754.038542483</v>
      </c>
      <c r="V17" s="213">
        <v>1185855.8647920135</v>
      </c>
    </row>
    <row r="18" spans="3:22" x14ac:dyDescent="0.4">
      <c r="D18" s="84" t="s">
        <v>24</v>
      </c>
      <c r="E18" s="122">
        <f>E13*(1+5.4/(100-5.4))</f>
        <v>4626107.8224101476</v>
      </c>
      <c r="F18" s="144">
        <f t="shared" si="0"/>
        <v>4626107</v>
      </c>
      <c r="G18" s="84" t="s">
        <v>426</v>
      </c>
      <c r="H18" s="84">
        <v>1</v>
      </c>
      <c r="I18" s="84" t="s">
        <v>425</v>
      </c>
      <c r="J18" s="116">
        <f>F18*H18</f>
        <v>4626107</v>
      </c>
      <c r="L18" s="144">
        <f>F18</f>
        <v>4626107</v>
      </c>
      <c r="M18" s="84">
        <v>1192</v>
      </c>
      <c r="N18" s="84">
        <v>7931306</v>
      </c>
      <c r="O18" s="84">
        <f>N18/SQRT(M18-1)</f>
        <v>229820.53171408211</v>
      </c>
      <c r="R18" s="199" t="s">
        <v>251</v>
      </c>
      <c r="S18" s="200">
        <f>SUM(L16,L26,L31)</f>
        <v>720689</v>
      </c>
      <c r="T18" s="201">
        <v>314</v>
      </c>
      <c r="U18" s="212">
        <v>2730026.6535667744</v>
      </c>
      <c r="V18" s="213">
        <v>154310.22992043998</v>
      </c>
    </row>
    <row r="19" spans="3:22" x14ac:dyDescent="0.4">
      <c r="D19" s="84" t="s">
        <v>25</v>
      </c>
      <c r="E19" s="122">
        <f>E14*(1+5.4/(100-5.4))</f>
        <v>7090535.9408033825</v>
      </c>
      <c r="F19" s="144">
        <f t="shared" si="0"/>
        <v>7090535</v>
      </c>
      <c r="G19" s="84" t="s">
        <v>426</v>
      </c>
      <c r="H19" s="84">
        <v>1</v>
      </c>
      <c r="I19" s="84" t="s">
        <v>425</v>
      </c>
      <c r="J19" s="116">
        <f>F19*H19</f>
        <v>7090535</v>
      </c>
      <c r="L19" s="144">
        <f>F19</f>
        <v>7090535</v>
      </c>
      <c r="M19" s="84">
        <v>141</v>
      </c>
      <c r="N19" s="84">
        <v>8800077</v>
      </c>
      <c r="O19" s="84">
        <f>N19/SQRT(M19-1)</f>
        <v>743742.25184885599</v>
      </c>
      <c r="R19" s="199" t="s">
        <v>252</v>
      </c>
      <c r="S19" s="200">
        <f>SUM(L17,L27,L32)</f>
        <v>9120316</v>
      </c>
      <c r="T19" s="201">
        <v>281</v>
      </c>
      <c r="U19" s="212">
        <v>7077840.191202186</v>
      </c>
      <c r="V19" s="213">
        <v>422981.85444108339</v>
      </c>
    </row>
    <row r="20" spans="3:22" x14ac:dyDescent="0.4">
      <c r="F20" s="144"/>
      <c r="L20" s="144"/>
      <c r="R20" s="199" t="s">
        <v>253</v>
      </c>
      <c r="S20" s="200">
        <f>SUM(L18,L28,L33)</f>
        <v>20142421</v>
      </c>
      <c r="T20" s="201">
        <v>1467</v>
      </c>
      <c r="U20" s="212">
        <v>10318534.989692675</v>
      </c>
      <c r="V20" s="213">
        <v>269495.2134592185</v>
      </c>
    </row>
    <row r="21" spans="3:22" ht="18" thickBot="1" x14ac:dyDescent="0.45">
      <c r="C21" s="131" t="s">
        <v>416</v>
      </c>
      <c r="D21" s="84" t="s">
        <v>22</v>
      </c>
      <c r="E21" s="122">
        <v>0</v>
      </c>
      <c r="F21" s="144">
        <f t="shared" si="0"/>
        <v>0</v>
      </c>
      <c r="G21" s="84" t="s">
        <v>426</v>
      </c>
      <c r="H21" s="84">
        <v>1</v>
      </c>
      <c r="I21" s="84" t="s">
        <v>425</v>
      </c>
      <c r="J21" s="116">
        <f>F21*H21</f>
        <v>0</v>
      </c>
      <c r="L21" s="144">
        <f>F21</f>
        <v>0</v>
      </c>
      <c r="R21" s="214" t="s">
        <v>254</v>
      </c>
      <c r="S21" s="215">
        <f>SUM(L19,L29,L34)</f>
        <v>23814866</v>
      </c>
      <c r="T21" s="205">
        <v>232</v>
      </c>
      <c r="U21" s="216">
        <v>11769043.605860164</v>
      </c>
      <c r="V21" s="217">
        <v>774346.21885311266</v>
      </c>
    </row>
    <row r="22" spans="3:22" x14ac:dyDescent="0.4">
      <c r="D22" s="84" t="s">
        <v>23</v>
      </c>
      <c r="E22" s="123">
        <v>6535691.3324464066</v>
      </c>
      <c r="F22" s="144">
        <f t="shared" si="0"/>
        <v>6535691</v>
      </c>
      <c r="G22" s="84" t="s">
        <v>426</v>
      </c>
      <c r="H22" s="84">
        <v>1</v>
      </c>
      <c r="I22" s="84" t="s">
        <v>425</v>
      </c>
      <c r="J22" s="116">
        <f>F22*H22</f>
        <v>6535691</v>
      </c>
      <c r="L22" s="144">
        <f>F22</f>
        <v>6535691</v>
      </c>
      <c r="M22" s="84">
        <v>79</v>
      </c>
      <c r="N22" s="84">
        <v>4997316</v>
      </c>
      <c r="O22" s="84">
        <f>N22/SQRT(M22-1)</f>
        <v>565834.61391633342</v>
      </c>
    </row>
    <row r="23" spans="3:22" x14ac:dyDescent="0.4">
      <c r="D23" s="84" t="s">
        <v>24</v>
      </c>
      <c r="E23" s="123">
        <v>7527731.2828337727</v>
      </c>
      <c r="F23" s="144">
        <f t="shared" si="0"/>
        <v>7527731</v>
      </c>
      <c r="G23" s="84" t="s">
        <v>426</v>
      </c>
      <c r="H23" s="84">
        <v>1</v>
      </c>
      <c r="I23" s="84" t="s">
        <v>425</v>
      </c>
      <c r="J23" s="116">
        <f>F23*H23</f>
        <v>7527731</v>
      </c>
      <c r="L23" s="144">
        <f>F23</f>
        <v>7527731</v>
      </c>
      <c r="M23" s="84">
        <v>437</v>
      </c>
      <c r="N23" s="84">
        <v>5252536</v>
      </c>
      <c r="O23" s="84">
        <f>N23/SQRT(M23-1)</f>
        <v>251550.85224351828</v>
      </c>
    </row>
    <row r="24" spans="3:22" x14ac:dyDescent="0.4">
      <c r="D24" s="84" t="s">
        <v>25</v>
      </c>
      <c r="E24" s="123">
        <v>5295850.3991620326</v>
      </c>
      <c r="F24" s="144">
        <f t="shared" si="0"/>
        <v>5295850</v>
      </c>
      <c r="G24" s="84" t="s">
        <v>426</v>
      </c>
      <c r="H24" s="84">
        <v>1</v>
      </c>
      <c r="I24" s="84" t="s">
        <v>425</v>
      </c>
      <c r="J24" s="116">
        <f>F24*H24</f>
        <v>5295850</v>
      </c>
      <c r="L24" s="144">
        <f>F24</f>
        <v>5295850</v>
      </c>
      <c r="M24" s="84">
        <v>86</v>
      </c>
      <c r="N24" s="84">
        <v>5922053</v>
      </c>
      <c r="O24" s="84">
        <f>N24/SQRT(M24-1)</f>
        <v>642336.83425817313</v>
      </c>
    </row>
    <row r="25" spans="3:22" x14ac:dyDescent="0.4">
      <c r="F25" s="144"/>
      <c r="L25" s="144"/>
    </row>
    <row r="26" spans="3:22" x14ac:dyDescent="0.4">
      <c r="C26" s="131" t="s">
        <v>417</v>
      </c>
      <c r="D26" s="84" t="s">
        <v>22</v>
      </c>
      <c r="E26" s="122">
        <v>0</v>
      </c>
      <c r="F26" s="144">
        <f t="shared" si="0"/>
        <v>0</v>
      </c>
      <c r="G26" s="84" t="s">
        <v>426</v>
      </c>
      <c r="H26" s="84">
        <v>1</v>
      </c>
      <c r="I26" s="84" t="s">
        <v>425</v>
      </c>
      <c r="J26" s="116">
        <f>F26*H26</f>
        <v>0</v>
      </c>
      <c r="L26" s="144">
        <f>F26</f>
        <v>0</v>
      </c>
    </row>
    <row r="27" spans="3:22" x14ac:dyDescent="0.4">
      <c r="D27" s="84" t="s">
        <v>23</v>
      </c>
      <c r="E27" s="123">
        <v>7147071.2702323822</v>
      </c>
      <c r="F27" s="144">
        <f t="shared" si="0"/>
        <v>7147071</v>
      </c>
      <c r="G27" s="84" t="s">
        <v>426</v>
      </c>
      <c r="H27" s="84">
        <v>1</v>
      </c>
      <c r="I27" s="84" t="s">
        <v>425</v>
      </c>
      <c r="J27" s="116">
        <f>F27*H27</f>
        <v>7147071</v>
      </c>
      <c r="L27" s="144">
        <f>F27</f>
        <v>7147071</v>
      </c>
      <c r="M27" s="84">
        <v>7</v>
      </c>
      <c r="N27" s="84">
        <v>6325284</v>
      </c>
      <c r="O27" s="84">
        <f>N27/SQRT(M27-1)</f>
        <v>2582286.3796984255</v>
      </c>
    </row>
    <row r="28" spans="3:22" x14ac:dyDescent="0.4">
      <c r="D28" s="84" t="s">
        <v>24</v>
      </c>
      <c r="E28" s="123">
        <v>15279344.410006529</v>
      </c>
      <c r="F28" s="144">
        <f t="shared" si="0"/>
        <v>15279344</v>
      </c>
      <c r="G28" s="84" t="s">
        <v>426</v>
      </c>
      <c r="H28" s="84">
        <v>1</v>
      </c>
      <c r="I28" s="84" t="s">
        <v>425</v>
      </c>
      <c r="J28" s="116">
        <f>F28*H28</f>
        <v>15279344</v>
      </c>
      <c r="L28" s="144">
        <f>F28</f>
        <v>15279344</v>
      </c>
      <c r="M28" s="84">
        <v>237</v>
      </c>
      <c r="N28" s="84">
        <v>6581350</v>
      </c>
      <c r="O28" s="84">
        <f>N28/SQRT(M28-1)</f>
        <v>428409.39464182261</v>
      </c>
    </row>
    <row r="29" spans="3:22" x14ac:dyDescent="0.4">
      <c r="D29" s="84" t="s">
        <v>25</v>
      </c>
      <c r="E29" s="123">
        <v>16232487.805736283</v>
      </c>
      <c r="F29" s="144">
        <f t="shared" si="0"/>
        <v>16232487</v>
      </c>
      <c r="G29" s="84" t="s">
        <v>426</v>
      </c>
      <c r="H29" s="84">
        <v>1</v>
      </c>
      <c r="I29" s="84" t="s">
        <v>425</v>
      </c>
      <c r="J29" s="116">
        <f>F29*H29</f>
        <v>16232487</v>
      </c>
      <c r="L29" s="144">
        <f>F29</f>
        <v>16232487</v>
      </c>
      <c r="M29" s="84">
        <v>79</v>
      </c>
      <c r="N29" s="84">
        <v>7753175</v>
      </c>
      <c r="O29" s="84">
        <f>N29/SQRT(M29-1)</f>
        <v>877874.19942040252</v>
      </c>
    </row>
    <row r="30" spans="3:22" x14ac:dyDescent="0.4">
      <c r="E30" s="123"/>
      <c r="F30" s="144"/>
      <c r="G30" s="84"/>
      <c r="H30" s="84"/>
      <c r="I30" s="84"/>
      <c r="J30" s="116"/>
      <c r="L30" s="144"/>
    </row>
    <row r="31" spans="3:22" x14ac:dyDescent="0.4">
      <c r="C31" s="93" t="s">
        <v>418</v>
      </c>
      <c r="D31" s="84" t="s">
        <v>22</v>
      </c>
      <c r="E31" s="122">
        <f>104000*1.0532</f>
        <v>109532.79999999999</v>
      </c>
      <c r="F31" s="144">
        <f t="shared" si="0"/>
        <v>109532</v>
      </c>
      <c r="G31" s="84" t="s">
        <v>426</v>
      </c>
      <c r="H31" s="84">
        <v>1</v>
      </c>
      <c r="I31" s="84" t="s">
        <v>425</v>
      </c>
      <c r="J31" s="116">
        <f>F31*H31</f>
        <v>109532</v>
      </c>
      <c r="L31" s="144">
        <f>F31</f>
        <v>109532</v>
      </c>
      <c r="M31" s="84">
        <v>65</v>
      </c>
      <c r="N31" s="84">
        <v>446556</v>
      </c>
      <c r="O31" s="84">
        <f>N31/SQRT(M31-1)</f>
        <v>55819.5</v>
      </c>
    </row>
    <row r="32" spans="3:22" x14ac:dyDescent="0.4">
      <c r="D32" s="84" t="s">
        <v>23</v>
      </c>
      <c r="E32" s="122">
        <f>178000*1.0532</f>
        <v>187469.59999999998</v>
      </c>
      <c r="F32" s="144">
        <f t="shared" si="0"/>
        <v>187469</v>
      </c>
      <c r="G32" s="84" t="s">
        <v>426</v>
      </c>
      <c r="H32" s="84">
        <v>1</v>
      </c>
      <c r="I32" s="84" t="s">
        <v>425</v>
      </c>
      <c r="J32" s="116">
        <f>F32*H32</f>
        <v>187469</v>
      </c>
      <c r="L32" s="144">
        <f>F32</f>
        <v>187469</v>
      </c>
      <c r="M32" s="84">
        <v>25</v>
      </c>
      <c r="N32" s="84">
        <v>335970</v>
      </c>
      <c r="O32" s="84">
        <f>N32/SQRT(M32-1)</f>
        <v>68579.589073572031</v>
      </c>
    </row>
    <row r="33" spans="2:25" x14ac:dyDescent="0.4">
      <c r="D33" s="84" t="s">
        <v>24</v>
      </c>
      <c r="E33" s="123">
        <f>225000*1.0532</f>
        <v>236969.99999999997</v>
      </c>
      <c r="F33" s="144">
        <f t="shared" si="0"/>
        <v>236970</v>
      </c>
      <c r="G33" s="84" t="s">
        <v>426</v>
      </c>
      <c r="H33" s="84">
        <v>1</v>
      </c>
      <c r="I33" s="84" t="s">
        <v>425</v>
      </c>
      <c r="J33" s="116">
        <f>F33*H33</f>
        <v>236970</v>
      </c>
      <c r="L33" s="144">
        <f>F33</f>
        <v>236970</v>
      </c>
      <c r="M33" s="84">
        <v>38</v>
      </c>
      <c r="N33" s="84">
        <v>502376</v>
      </c>
      <c r="O33" s="84">
        <f>N33/SQRT(M33-1)</f>
        <v>82590.105646516182</v>
      </c>
    </row>
    <row r="34" spans="2:25" x14ac:dyDescent="0.4">
      <c r="D34" s="84" t="s">
        <v>25</v>
      </c>
      <c r="E34" s="123">
        <f>467000*1.0532</f>
        <v>491844.39999999997</v>
      </c>
      <c r="F34" s="144">
        <f t="shared" si="0"/>
        <v>491844</v>
      </c>
      <c r="G34" s="84" t="s">
        <v>426</v>
      </c>
      <c r="H34" s="84">
        <v>1</v>
      </c>
      <c r="I34" s="84" t="s">
        <v>425</v>
      </c>
      <c r="J34" s="116">
        <f>F34*H34</f>
        <v>491844</v>
      </c>
      <c r="L34" s="144">
        <f>F34</f>
        <v>491844</v>
      </c>
      <c r="M34" s="84">
        <v>12</v>
      </c>
      <c r="N34" s="84">
        <v>978422</v>
      </c>
      <c r="O34" s="84">
        <f>N34/SQRT(M34-1)</f>
        <v>295005.33278446464</v>
      </c>
    </row>
    <row r="35" spans="2:25" x14ac:dyDescent="0.4">
      <c r="E35" s="123"/>
      <c r="F35" s="144"/>
      <c r="G35" s="84"/>
      <c r="H35" s="84"/>
      <c r="I35" s="84"/>
      <c r="J35" s="116"/>
      <c r="L35" s="144"/>
    </row>
    <row r="36" spans="2:25" x14ac:dyDescent="0.4">
      <c r="C36" s="93" t="s">
        <v>419</v>
      </c>
      <c r="D36" s="84" t="s">
        <v>22</v>
      </c>
      <c r="E36" s="122">
        <f>41000*1.0532</f>
        <v>43181.2</v>
      </c>
      <c r="F36" s="144">
        <f t="shared" si="0"/>
        <v>43181</v>
      </c>
      <c r="G36" s="84" t="s">
        <v>426</v>
      </c>
      <c r="H36" s="84">
        <v>1</v>
      </c>
      <c r="I36" s="84" t="s">
        <v>425</v>
      </c>
      <c r="J36" s="116">
        <f>F36*H36</f>
        <v>43181</v>
      </c>
      <c r="L36" s="144">
        <f>F36</f>
        <v>43181</v>
      </c>
      <c r="M36" s="84">
        <v>65</v>
      </c>
      <c r="N36" s="84">
        <v>77936</v>
      </c>
      <c r="O36" s="84">
        <f>N36/SQRT(M36-1)</f>
        <v>9742</v>
      </c>
    </row>
    <row r="37" spans="2:25" x14ac:dyDescent="0.4">
      <c r="D37" s="84" t="s">
        <v>23</v>
      </c>
      <c r="E37" s="123">
        <f>71000*1.0532</f>
        <v>74777.2</v>
      </c>
      <c r="F37" s="144">
        <f t="shared" si="0"/>
        <v>74777</v>
      </c>
      <c r="G37" s="84" t="s">
        <v>426</v>
      </c>
      <c r="H37" s="84">
        <v>1</v>
      </c>
      <c r="I37" s="84" t="s">
        <v>425</v>
      </c>
      <c r="J37" s="116">
        <f>F37*H37</f>
        <v>74777</v>
      </c>
      <c r="L37" s="144">
        <f>F37</f>
        <v>74777</v>
      </c>
      <c r="M37" s="84">
        <v>25</v>
      </c>
      <c r="N37" s="84">
        <v>110586</v>
      </c>
      <c r="O37" s="84">
        <f>N37/SQRT(M37-1)</f>
        <v>22573.272724618379</v>
      </c>
    </row>
    <row r="38" spans="2:25" x14ac:dyDescent="0.4">
      <c r="D38" s="84" t="s">
        <v>24</v>
      </c>
      <c r="E38" s="123">
        <f>145000*1.0532</f>
        <v>152714</v>
      </c>
      <c r="F38" s="144">
        <f t="shared" si="0"/>
        <v>152714</v>
      </c>
      <c r="G38" s="84" t="s">
        <v>426</v>
      </c>
      <c r="H38" s="84">
        <v>1</v>
      </c>
      <c r="I38" s="84" t="s">
        <v>425</v>
      </c>
      <c r="J38" s="116">
        <f>F38*H38</f>
        <v>152714</v>
      </c>
      <c r="L38" s="144">
        <f>F38</f>
        <v>152714</v>
      </c>
      <c r="M38" s="84">
        <v>38</v>
      </c>
      <c r="N38" s="84">
        <v>203267</v>
      </c>
      <c r="O38" s="84">
        <f>N38/SQRT(M38-1)</f>
        <v>33416.888952598063</v>
      </c>
    </row>
    <row r="39" spans="2:25" x14ac:dyDescent="0.4">
      <c r="D39" s="84" t="s">
        <v>25</v>
      </c>
      <c r="E39" s="123">
        <f>58000*1.0532</f>
        <v>61085.599999999999</v>
      </c>
      <c r="F39" s="144">
        <f t="shared" si="0"/>
        <v>61085</v>
      </c>
      <c r="G39" s="84" t="s">
        <v>426</v>
      </c>
      <c r="H39" s="84">
        <v>1</v>
      </c>
      <c r="I39" s="84" t="s">
        <v>425</v>
      </c>
      <c r="J39" s="116">
        <f>F39*H39</f>
        <v>61085</v>
      </c>
      <c r="L39" s="144">
        <f>F39</f>
        <v>61085</v>
      </c>
      <c r="M39" s="84">
        <v>12</v>
      </c>
      <c r="N39" s="84">
        <v>77936</v>
      </c>
      <c r="O39" s="84">
        <f>N39/SQRT(M39-1)</f>
        <v>23498.588151012587</v>
      </c>
    </row>
    <row r="40" spans="2:25" x14ac:dyDescent="0.4">
      <c r="E40" s="123"/>
      <c r="F40" s="144"/>
      <c r="G40" s="84"/>
      <c r="H40" s="84"/>
      <c r="I40" s="84"/>
      <c r="J40" s="116"/>
      <c r="L40" s="144"/>
    </row>
    <row r="41" spans="2:25" x14ac:dyDescent="0.4">
      <c r="C41" s="93" t="s">
        <v>420</v>
      </c>
      <c r="D41" s="84" t="s">
        <v>207</v>
      </c>
      <c r="E41" s="122">
        <f>1458000*1.0532</f>
        <v>1535565.5999999999</v>
      </c>
      <c r="F41" s="144">
        <f t="shared" si="0"/>
        <v>1535565</v>
      </c>
      <c r="G41" s="84" t="s">
        <v>426</v>
      </c>
      <c r="H41" s="84">
        <v>1</v>
      </c>
      <c r="I41" s="84" t="s">
        <v>425</v>
      </c>
      <c r="J41" s="116">
        <f>F41*H41</f>
        <v>1535565</v>
      </c>
      <c r="L41" s="144">
        <f>F41</f>
        <v>1535565</v>
      </c>
      <c r="M41" s="84">
        <v>65</v>
      </c>
      <c r="N41" s="84">
        <v>4554036</v>
      </c>
      <c r="O41" s="84">
        <f t="shared" ref="O41:O44" si="1">N41/SQRT(M41-1)</f>
        <v>569254.5</v>
      </c>
    </row>
    <row r="42" spans="2:25" x14ac:dyDescent="0.4">
      <c r="D42" s="84" t="s">
        <v>208</v>
      </c>
      <c r="E42" s="122">
        <f>9763000*1.0532</f>
        <v>10282391.6</v>
      </c>
      <c r="F42" s="144">
        <f t="shared" si="0"/>
        <v>10282391</v>
      </c>
      <c r="G42" s="84" t="s">
        <v>426</v>
      </c>
      <c r="H42" s="84">
        <v>1</v>
      </c>
      <c r="I42" s="84" t="s">
        <v>425</v>
      </c>
      <c r="J42" s="116">
        <f>F42*H42</f>
        <v>10282391</v>
      </c>
      <c r="L42" s="144">
        <f>F42</f>
        <v>10282391</v>
      </c>
      <c r="M42" s="84">
        <v>25</v>
      </c>
      <c r="N42" s="84">
        <v>10497244</v>
      </c>
      <c r="O42" s="84">
        <f t="shared" si="1"/>
        <v>2142740.9587910217</v>
      </c>
    </row>
    <row r="43" spans="2:25" x14ac:dyDescent="0.4">
      <c r="D43" s="84" t="s">
        <v>209</v>
      </c>
      <c r="E43" s="122">
        <f>6050000*1.0532</f>
        <v>6371859.9999999991</v>
      </c>
      <c r="F43" s="144">
        <f t="shared" si="0"/>
        <v>6371860</v>
      </c>
      <c r="G43" s="84" t="s">
        <v>426</v>
      </c>
      <c r="H43" s="84">
        <v>1</v>
      </c>
      <c r="I43" s="84" t="s">
        <v>425</v>
      </c>
      <c r="J43" s="116">
        <f>F43*H43</f>
        <v>6371860</v>
      </c>
      <c r="L43" s="144">
        <f>F43</f>
        <v>6371860</v>
      </c>
      <c r="M43" s="84">
        <v>38</v>
      </c>
      <c r="N43" s="84">
        <v>9136510</v>
      </c>
      <c r="O43" s="84">
        <f t="shared" si="1"/>
        <v>1502032.9915052701</v>
      </c>
    </row>
    <row r="44" spans="2:25" x14ac:dyDescent="0.4">
      <c r="D44" s="84" t="s">
        <v>210</v>
      </c>
      <c r="E44" s="122">
        <f>12719000*1.0532</f>
        <v>13395650.799999999</v>
      </c>
      <c r="F44" s="144">
        <f t="shared" si="0"/>
        <v>13395650</v>
      </c>
      <c r="G44" s="84" t="s">
        <v>426</v>
      </c>
      <c r="H44" s="84">
        <v>1</v>
      </c>
      <c r="I44" s="84" t="s">
        <v>425</v>
      </c>
      <c r="J44" s="116">
        <f>F44*H44</f>
        <v>13395650</v>
      </c>
      <c r="L44" s="144">
        <f>F44</f>
        <v>13395650</v>
      </c>
      <c r="M44" s="84">
        <v>12</v>
      </c>
      <c r="N44" s="84">
        <v>15967565</v>
      </c>
      <c r="O44" s="84">
        <f t="shared" si="1"/>
        <v>4814401.9927828386</v>
      </c>
    </row>
    <row r="45" spans="2:25" x14ac:dyDescent="0.4">
      <c r="B45" s="153"/>
      <c r="D45" s="84" t="s">
        <v>211</v>
      </c>
      <c r="E45" s="122"/>
      <c r="F45" s="153"/>
      <c r="J45" s="153"/>
      <c r="R45" s="69"/>
      <c r="S45" s="69"/>
    </row>
    <row r="46" spans="2:25" x14ac:dyDescent="0.4">
      <c r="B46" s="153"/>
      <c r="D46" s="84" t="s">
        <v>212</v>
      </c>
      <c r="E46" s="122"/>
      <c r="F46" s="153"/>
      <c r="J46" s="153"/>
    </row>
    <row r="47" spans="2:25" x14ac:dyDescent="0.4">
      <c r="B47" s="153"/>
      <c r="D47" s="84" t="s">
        <v>213</v>
      </c>
      <c r="E47" s="122"/>
      <c r="F47" s="153"/>
      <c r="J47" s="153"/>
    </row>
    <row r="48" spans="2:25" x14ac:dyDescent="0.4">
      <c r="B48" s="153"/>
      <c r="D48" s="84" t="s">
        <v>214</v>
      </c>
      <c r="E48" s="122"/>
      <c r="F48" s="153"/>
      <c r="J48" s="153"/>
      <c r="V48" s="277"/>
      <c r="W48" s="277"/>
      <c r="X48" s="277"/>
      <c r="Y48" s="277"/>
    </row>
    <row r="49" spans="2:25" x14ac:dyDescent="0.4">
      <c r="B49" s="153"/>
      <c r="E49" s="123"/>
      <c r="F49" s="153"/>
      <c r="J49" s="153"/>
    </row>
    <row r="50" spans="2:25" x14ac:dyDescent="0.4">
      <c r="B50" s="153"/>
      <c r="F50" s="153"/>
      <c r="J50" s="153"/>
    </row>
    <row r="51" spans="2:25" x14ac:dyDescent="0.4">
      <c r="B51" s="153"/>
      <c r="D51" s="84" t="s">
        <v>203</v>
      </c>
      <c r="E51" s="122"/>
      <c r="F51" s="153"/>
      <c r="J51" s="153"/>
    </row>
    <row r="52" spans="2:25" x14ac:dyDescent="0.4">
      <c r="B52" s="153"/>
      <c r="D52" s="84" t="s">
        <v>204</v>
      </c>
      <c r="E52" s="122"/>
      <c r="F52" s="153"/>
      <c r="J52" s="153"/>
    </row>
    <row r="53" spans="2:25" x14ac:dyDescent="0.4">
      <c r="B53" s="153"/>
      <c r="D53" s="84" t="s">
        <v>205</v>
      </c>
      <c r="E53" s="122"/>
      <c r="F53" s="153"/>
      <c r="J53" s="153"/>
    </row>
    <row r="54" spans="2:25" x14ac:dyDescent="0.4">
      <c r="D54" s="84" t="s">
        <v>206</v>
      </c>
      <c r="E54" s="122"/>
    </row>
    <row r="55" spans="2:25" x14ac:dyDescent="0.4">
      <c r="B55" s="153"/>
      <c r="E55" s="122"/>
      <c r="F55" s="153"/>
      <c r="J55" s="153"/>
    </row>
    <row r="56" spans="2:25" x14ac:dyDescent="0.4">
      <c r="B56" s="153"/>
      <c r="D56" s="84" t="s">
        <v>207</v>
      </c>
      <c r="E56" s="122"/>
      <c r="F56" s="153"/>
      <c r="J56" s="153"/>
    </row>
    <row r="57" spans="2:25" x14ac:dyDescent="0.4">
      <c r="B57" s="153"/>
      <c r="D57" s="84" t="s">
        <v>208</v>
      </c>
      <c r="E57" s="122"/>
      <c r="F57" s="153"/>
      <c r="J57" s="153"/>
    </row>
    <row r="58" spans="2:25" x14ac:dyDescent="0.4">
      <c r="B58" s="153"/>
      <c r="D58" s="84" t="s">
        <v>209</v>
      </c>
      <c r="E58" s="122"/>
      <c r="F58" s="153"/>
      <c r="J58" s="153"/>
    </row>
    <row r="59" spans="2:25" x14ac:dyDescent="0.4">
      <c r="B59" s="153"/>
      <c r="D59" s="84" t="s">
        <v>210</v>
      </c>
      <c r="E59" s="122"/>
      <c r="F59" s="153"/>
      <c r="J59" s="153"/>
    </row>
    <row r="60" spans="2:25" x14ac:dyDescent="0.4">
      <c r="B60" s="153"/>
      <c r="D60" s="84" t="s">
        <v>211</v>
      </c>
      <c r="E60" s="122"/>
      <c r="F60" s="153"/>
      <c r="J60" s="153"/>
    </row>
    <row r="61" spans="2:25" x14ac:dyDescent="0.4">
      <c r="B61" s="153"/>
      <c r="D61" s="84" t="s">
        <v>212</v>
      </c>
      <c r="E61" s="122"/>
      <c r="F61" s="153"/>
      <c r="J61" s="153"/>
    </row>
    <row r="62" spans="2:25" x14ac:dyDescent="0.4">
      <c r="B62" s="153"/>
      <c r="D62" s="84" t="s">
        <v>213</v>
      </c>
      <c r="E62" s="122"/>
      <c r="F62" s="153"/>
      <c r="J62" s="153"/>
    </row>
    <row r="63" spans="2:25" x14ac:dyDescent="0.4">
      <c r="B63" s="153"/>
      <c r="D63" s="84" t="s">
        <v>214</v>
      </c>
      <c r="E63" s="122"/>
      <c r="F63" s="153"/>
      <c r="J63" s="153"/>
      <c r="V63" s="277"/>
      <c r="W63" s="277"/>
      <c r="X63" s="277"/>
      <c r="Y63" s="277"/>
    </row>
    <row r="65" spans="4:19" x14ac:dyDescent="0.4">
      <c r="D65"/>
      <c r="E65"/>
      <c r="K65" s="218"/>
      <c r="L65" s="219"/>
      <c r="M65" s="219"/>
      <c r="N65" s="219"/>
      <c r="O65" s="191"/>
      <c r="R65" s="158"/>
      <c r="S65" s="158"/>
    </row>
    <row r="66" spans="4:19" x14ac:dyDescent="0.4">
      <c r="D66"/>
      <c r="E66"/>
      <c r="K66" s="158"/>
      <c r="L66" s="219"/>
      <c r="M66" s="219"/>
      <c r="N66" s="219"/>
      <c r="O66" s="191"/>
      <c r="R66" s="219"/>
      <c r="S66" s="219"/>
    </row>
    <row r="67" spans="4:19" x14ac:dyDescent="0.4">
      <c r="D67"/>
      <c r="E67"/>
      <c r="K67" s="158"/>
      <c r="L67" s="220"/>
      <c r="M67" s="220"/>
      <c r="N67" s="220"/>
      <c r="O67" s="191"/>
      <c r="R67" s="220"/>
      <c r="S67" s="220"/>
    </row>
    <row r="68" spans="4:19" x14ac:dyDescent="0.4">
      <c r="D68"/>
      <c r="E68"/>
      <c r="K68" s="158"/>
      <c r="L68" s="220"/>
      <c r="M68" s="220"/>
      <c r="N68" s="220"/>
      <c r="O68" s="191"/>
      <c r="R68" s="220"/>
      <c r="S68" s="220"/>
    </row>
    <row r="69" spans="4:19" x14ac:dyDescent="0.4">
      <c r="D69"/>
      <c r="E69"/>
      <c r="K69" s="158"/>
      <c r="L69" s="220"/>
      <c r="M69" s="220"/>
      <c r="N69" s="220"/>
      <c r="O69" s="191"/>
      <c r="R69" s="220"/>
      <c r="S69" s="220"/>
    </row>
    <row r="70" spans="4:19" x14ac:dyDescent="0.4">
      <c r="D70"/>
      <c r="E70"/>
      <c r="F70" s="153"/>
      <c r="J70" s="153"/>
      <c r="K70" s="158"/>
      <c r="L70" s="220"/>
      <c r="M70" s="220"/>
      <c r="N70" s="220"/>
      <c r="O70" s="191"/>
      <c r="R70" s="220"/>
      <c r="S70" s="220"/>
    </row>
    <row r="71" spans="4:19" x14ac:dyDescent="0.4">
      <c r="D71"/>
      <c r="E71"/>
      <c r="K71" s="158"/>
      <c r="L71" s="220"/>
      <c r="M71" s="220"/>
      <c r="N71" s="220"/>
      <c r="O71" s="191"/>
      <c r="R71" s="220"/>
      <c r="S71" s="220"/>
    </row>
    <row r="72" spans="4:19" x14ac:dyDescent="0.4">
      <c r="D72"/>
      <c r="E72"/>
      <c r="K72" s="158"/>
      <c r="L72" s="220"/>
      <c r="M72" s="220"/>
      <c r="N72" s="220"/>
      <c r="O72" s="191"/>
      <c r="R72" s="220"/>
      <c r="S72" s="220"/>
    </row>
    <row r="73" spans="4:19" x14ac:dyDescent="0.4">
      <c r="D73"/>
      <c r="E73"/>
      <c r="K73" s="158"/>
      <c r="L73" s="220"/>
      <c r="M73" s="220"/>
      <c r="N73" s="220"/>
      <c r="O73" s="191"/>
      <c r="R73" s="220"/>
      <c r="S73" s="220"/>
    </row>
    <row r="74" spans="4:19" x14ac:dyDescent="0.4">
      <c r="J74" s="142"/>
      <c r="K74" s="158"/>
      <c r="L74" s="220"/>
      <c r="M74" s="220"/>
      <c r="N74" s="220"/>
      <c r="O74" s="191"/>
      <c r="R74" s="220"/>
      <c r="S74" s="220"/>
    </row>
    <row r="75" spans="4:19" x14ac:dyDescent="0.4">
      <c r="D75"/>
      <c r="E75"/>
      <c r="K75" s="218"/>
      <c r="L75" s="191"/>
      <c r="M75" s="191"/>
      <c r="N75" s="191"/>
      <c r="O75" s="191"/>
      <c r="R75" s="191"/>
      <c r="S75" s="158"/>
    </row>
    <row r="76" spans="4:19" x14ac:dyDescent="0.4">
      <c r="D76"/>
      <c r="E76"/>
      <c r="K76" s="158"/>
      <c r="L76" s="219"/>
      <c r="M76" s="219"/>
      <c r="N76" s="219"/>
      <c r="O76" s="191"/>
      <c r="R76" s="219"/>
      <c r="S76" s="219"/>
    </row>
    <row r="77" spans="4:19" x14ac:dyDescent="0.4">
      <c r="D77"/>
      <c r="E77"/>
      <c r="K77" s="158"/>
      <c r="L77" s="220"/>
      <c r="M77" s="220"/>
      <c r="N77" s="220"/>
      <c r="O77" s="220"/>
      <c r="P77" s="220"/>
      <c r="Q77" s="220"/>
      <c r="R77" s="220"/>
      <c r="S77" s="220"/>
    </row>
    <row r="78" spans="4:19" x14ac:dyDescent="0.4">
      <c r="D78"/>
      <c r="E78"/>
      <c r="K78" s="158"/>
      <c r="L78" s="220"/>
      <c r="M78" s="220"/>
      <c r="N78" s="220"/>
      <c r="O78" s="220"/>
      <c r="P78" s="220"/>
      <c r="Q78" s="220"/>
      <c r="R78" s="220"/>
      <c r="S78" s="220"/>
    </row>
    <row r="79" spans="4:19" x14ac:dyDescent="0.4">
      <c r="D79"/>
      <c r="E79"/>
      <c r="K79" s="158"/>
      <c r="L79" s="220"/>
      <c r="M79" s="220"/>
      <c r="N79" s="220"/>
      <c r="O79" s="220"/>
      <c r="P79" s="220"/>
      <c r="Q79" s="220"/>
      <c r="R79" s="220"/>
      <c r="S79" s="220"/>
    </row>
    <row r="80" spans="4:19" x14ac:dyDescent="0.4">
      <c r="D80"/>
      <c r="E80"/>
      <c r="K80" s="158"/>
      <c r="L80" s="220"/>
      <c r="M80" s="220"/>
      <c r="N80" s="220"/>
      <c r="O80" s="220"/>
      <c r="P80" s="220"/>
      <c r="Q80" s="220"/>
      <c r="R80" s="220"/>
      <c r="S80" s="220"/>
    </row>
    <row r="81" spans="4:19" x14ac:dyDescent="0.4">
      <c r="D81"/>
      <c r="E81"/>
      <c r="K81" s="158"/>
      <c r="L81" s="220"/>
      <c r="M81" s="220"/>
      <c r="N81" s="220"/>
      <c r="O81" s="220"/>
      <c r="P81" s="220"/>
      <c r="Q81" s="220"/>
      <c r="R81" s="220"/>
      <c r="S81" s="220"/>
    </row>
    <row r="82" spans="4:19" x14ac:dyDescent="0.4">
      <c r="D82"/>
      <c r="E82"/>
      <c r="K82" s="158"/>
      <c r="L82" s="220"/>
      <c r="M82" s="220"/>
      <c r="N82" s="220"/>
      <c r="O82" s="220"/>
      <c r="P82" s="220"/>
      <c r="Q82" s="220"/>
      <c r="R82" s="220"/>
      <c r="S82" s="220"/>
    </row>
    <row r="83" spans="4:19" x14ac:dyDescent="0.4">
      <c r="D83"/>
      <c r="E83"/>
      <c r="K83" s="158"/>
      <c r="L83" s="220"/>
      <c r="M83" s="220"/>
      <c r="N83" s="220"/>
      <c r="O83" s="220"/>
      <c r="P83" s="220"/>
      <c r="Q83" s="220"/>
      <c r="R83" s="220"/>
      <c r="S83" s="220"/>
    </row>
    <row r="84" spans="4:19" x14ac:dyDescent="0.4">
      <c r="K84" s="158"/>
      <c r="L84" s="220"/>
      <c r="M84" s="220"/>
      <c r="N84" s="220"/>
      <c r="O84" s="220"/>
      <c r="P84" s="220"/>
      <c r="Q84" s="220"/>
      <c r="R84" s="220"/>
      <c r="S84" s="220"/>
    </row>
    <row r="90" spans="4:19" x14ac:dyDescent="0.4">
      <c r="E90" s="141"/>
    </row>
  </sheetData>
  <mergeCells count="10">
    <mergeCell ref="V63:W63"/>
    <mergeCell ref="X63:Y63"/>
    <mergeCell ref="AD3:AG3"/>
    <mergeCell ref="Z3:AC3"/>
    <mergeCell ref="AD4:AE4"/>
    <mergeCell ref="AB4:AC4"/>
    <mergeCell ref="Z4:AA4"/>
    <mergeCell ref="AF4:AG4"/>
    <mergeCell ref="V48:W48"/>
    <mergeCell ref="X48:Y48"/>
  </mergeCells>
  <phoneticPr fontId="1" type="noConversion"/>
  <pageMargins left="0.7" right="0.7" top="0.75" bottom="0.75" header="0.3" footer="0.3"/>
  <pageSetup paperSize="9" orientation="portrait" horizontalDpi="30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B1:P77"/>
  <sheetViews>
    <sheetView zoomScale="70" zoomScaleNormal="70" workbookViewId="0">
      <selection activeCell="I11" sqref="I11"/>
    </sheetView>
  </sheetViews>
  <sheetFormatPr defaultColWidth="9" defaultRowHeight="17.399999999999999" x14ac:dyDescent="0.4"/>
  <cols>
    <col min="1" max="1" width="9" style="153"/>
    <col min="2" max="2" width="28.19921875" style="153" customWidth="1"/>
    <col min="3" max="3" width="21.09765625" style="153" bestFit="1" customWidth="1"/>
    <col min="4" max="4" width="15" style="153" bestFit="1" customWidth="1"/>
    <col min="5" max="5" width="21.09765625" style="153" bestFit="1" customWidth="1"/>
    <col min="6" max="6" width="21.59765625" style="153" bestFit="1" customWidth="1"/>
    <col min="7" max="7" width="25.5" style="153" bestFit="1" customWidth="1"/>
    <col min="8" max="8" width="21.59765625" style="153" bestFit="1" customWidth="1"/>
    <col min="9" max="9" width="15.19921875" style="153" customWidth="1"/>
    <col min="10" max="10" width="10.3984375" style="153" customWidth="1"/>
    <col min="11" max="12" width="9" style="153"/>
    <col min="13" max="13" width="16.3984375" style="153" customWidth="1"/>
    <col min="14" max="14" width="9.19921875" style="153" customWidth="1"/>
    <col min="15" max="16384" width="9" style="153"/>
  </cols>
  <sheetData>
    <row r="1" spans="2:16" ht="18" thickBot="1" x14ac:dyDescent="0.45"/>
    <row r="2" spans="2:16" x14ac:dyDescent="0.4">
      <c r="B2" s="221"/>
      <c r="C2" s="222" t="s">
        <v>432</v>
      </c>
      <c r="D2" s="223" t="s">
        <v>243</v>
      </c>
      <c r="H2" s="221"/>
      <c r="I2" s="222" t="s">
        <v>334</v>
      </c>
      <c r="J2" s="222"/>
      <c r="K2" s="222"/>
      <c r="L2" s="223"/>
      <c r="M2" s="222" t="s">
        <v>335</v>
      </c>
      <c r="N2" s="222"/>
      <c r="O2" s="222"/>
      <c r="P2" s="223"/>
    </row>
    <row r="3" spans="2:16" ht="18" thickBot="1" x14ac:dyDescent="0.45">
      <c r="B3" s="224" t="s">
        <v>304</v>
      </c>
      <c r="C3" s="225">
        <v>0.86799999999999999</v>
      </c>
      <c r="D3" s="226">
        <v>0.77700000000000002</v>
      </c>
      <c r="H3" s="224"/>
      <c r="I3" s="227" t="s">
        <v>315</v>
      </c>
      <c r="J3" s="227" t="s">
        <v>309</v>
      </c>
      <c r="K3" s="227" t="s">
        <v>311</v>
      </c>
      <c r="L3" s="228" t="s">
        <v>313</v>
      </c>
      <c r="M3" s="227" t="s">
        <v>315</v>
      </c>
      <c r="N3" s="227" t="s">
        <v>309</v>
      </c>
      <c r="O3" s="227" t="s">
        <v>311</v>
      </c>
      <c r="P3" s="228" t="s">
        <v>313</v>
      </c>
    </row>
    <row r="4" spans="2:16" ht="18" thickBot="1" x14ac:dyDescent="0.45">
      <c r="B4" s="8"/>
      <c r="H4" s="229" t="s">
        <v>326</v>
      </c>
      <c r="I4" s="153">
        <v>0.752</v>
      </c>
      <c r="J4" s="153">
        <v>65</v>
      </c>
      <c r="K4" s="153">
        <v>0.27100000000000002</v>
      </c>
      <c r="L4" s="230">
        <v>3.3613413073675498E-2</v>
      </c>
      <c r="M4" s="153">
        <v>0.67500000000000004</v>
      </c>
      <c r="N4" s="153">
        <v>65</v>
      </c>
      <c r="O4" s="153">
        <v>0.27100000000000002</v>
      </c>
      <c r="P4" s="230">
        <v>3.3613413073675498E-2</v>
      </c>
    </row>
    <row r="5" spans="2:16" x14ac:dyDescent="0.4">
      <c r="B5" s="221"/>
      <c r="C5" s="279" t="s">
        <v>305</v>
      </c>
      <c r="D5" s="279"/>
      <c r="E5" s="279" t="s">
        <v>306</v>
      </c>
      <c r="F5" s="280"/>
      <c r="H5" s="229" t="s">
        <v>327</v>
      </c>
      <c r="I5" s="153">
        <v>0.43099999999999999</v>
      </c>
      <c r="J5" s="153">
        <v>25</v>
      </c>
      <c r="K5" s="153">
        <v>0.34300000000000003</v>
      </c>
      <c r="L5" s="230">
        <v>6.8600000000000008E-2</v>
      </c>
      <c r="M5" s="153">
        <v>0.27399999999999997</v>
      </c>
      <c r="N5" s="153">
        <v>25</v>
      </c>
      <c r="O5" s="153">
        <v>0.34300000000000003</v>
      </c>
      <c r="P5" s="230">
        <v>6.8600000000000008E-2</v>
      </c>
    </row>
    <row r="6" spans="2:16" x14ac:dyDescent="0.4">
      <c r="B6" s="231" t="s">
        <v>241</v>
      </c>
      <c r="C6" s="154" t="s">
        <v>242</v>
      </c>
      <c r="D6" s="154" t="s">
        <v>243</v>
      </c>
      <c r="E6" s="154" t="s">
        <v>242</v>
      </c>
      <c r="F6" s="232" t="s">
        <v>243</v>
      </c>
      <c r="H6" s="229" t="s">
        <v>328</v>
      </c>
      <c r="I6" s="153">
        <v>0.254</v>
      </c>
      <c r="J6" s="153">
        <v>38</v>
      </c>
      <c r="K6" s="153">
        <v>0.32800000000000001</v>
      </c>
      <c r="L6" s="230">
        <v>5.320862613089012E-2</v>
      </c>
      <c r="M6" s="153">
        <v>2.7000000000000024E-2</v>
      </c>
      <c r="N6" s="153">
        <v>38</v>
      </c>
      <c r="O6" s="153">
        <v>0.32800000000000001</v>
      </c>
      <c r="P6" s="230">
        <v>5.320862613089012E-2</v>
      </c>
    </row>
    <row r="7" spans="2:16" x14ac:dyDescent="0.4">
      <c r="B7" s="231" t="s">
        <v>17</v>
      </c>
      <c r="C7" s="153">
        <v>0.752</v>
      </c>
      <c r="D7" s="153">
        <v>0.28000000000000003</v>
      </c>
      <c r="F7" s="230"/>
      <c r="H7" s="229" t="s">
        <v>329</v>
      </c>
      <c r="I7" s="153">
        <v>0.10199999999999999</v>
      </c>
      <c r="J7" s="153">
        <v>12</v>
      </c>
      <c r="K7" s="153">
        <v>0.318</v>
      </c>
      <c r="L7" s="230">
        <v>9.1798692801150508E-2</v>
      </c>
      <c r="M7" s="153">
        <v>-0.13500000000000001</v>
      </c>
      <c r="N7" s="153">
        <v>12</v>
      </c>
      <c r="O7" s="153">
        <v>0.318</v>
      </c>
      <c r="P7" s="230">
        <v>9.1798692801150508E-2</v>
      </c>
    </row>
    <row r="8" spans="2:16" x14ac:dyDescent="0.4">
      <c r="B8" s="231" t="s">
        <v>18</v>
      </c>
      <c r="C8" s="153">
        <v>0.43099999999999999</v>
      </c>
      <c r="D8" s="153">
        <v>0.18</v>
      </c>
      <c r="F8" s="230"/>
      <c r="H8" s="229" t="s">
        <v>330</v>
      </c>
      <c r="I8" s="153">
        <v>0.28000000000000003</v>
      </c>
      <c r="J8" s="153">
        <v>303</v>
      </c>
      <c r="K8" s="153">
        <v>0.34</v>
      </c>
      <c r="L8" s="230">
        <v>1.9532489647128486E-2</v>
      </c>
      <c r="M8" s="153">
        <v>0.20300000000000007</v>
      </c>
      <c r="N8" s="153">
        <v>303</v>
      </c>
      <c r="O8" s="153">
        <v>0.34</v>
      </c>
      <c r="P8" s="230">
        <v>1.9532489647128486E-2</v>
      </c>
    </row>
    <row r="9" spans="2:16" x14ac:dyDescent="0.4">
      <c r="B9" s="231" t="s">
        <v>19</v>
      </c>
      <c r="C9" s="153">
        <v>0.254</v>
      </c>
      <c r="D9" s="153">
        <v>0.15</v>
      </c>
      <c r="F9" s="230"/>
      <c r="H9" s="229" t="s">
        <v>331</v>
      </c>
      <c r="I9" s="153">
        <v>0.18</v>
      </c>
      <c r="J9" s="153">
        <v>473</v>
      </c>
      <c r="K9" s="153">
        <v>0.32</v>
      </c>
      <c r="L9" s="230">
        <v>1.4713615675894491E-2</v>
      </c>
      <c r="M9" s="153">
        <v>2.2999999999999965E-2</v>
      </c>
      <c r="N9" s="153">
        <v>473</v>
      </c>
      <c r="O9" s="153">
        <v>0.32</v>
      </c>
      <c r="P9" s="230">
        <v>1.4713615675894491E-2</v>
      </c>
    </row>
    <row r="10" spans="2:16" ht="18" thickBot="1" x14ac:dyDescent="0.45">
      <c r="B10" s="233" t="s">
        <v>20</v>
      </c>
      <c r="C10" s="225">
        <v>0.10199999999999999</v>
      </c>
      <c r="D10" s="225">
        <v>0.06</v>
      </c>
      <c r="E10" s="225"/>
      <c r="F10" s="226"/>
      <c r="H10" s="229" t="s">
        <v>332</v>
      </c>
      <c r="I10" s="153">
        <v>0.15</v>
      </c>
      <c r="J10" s="153">
        <v>821</v>
      </c>
      <c r="K10" s="153">
        <v>0.31</v>
      </c>
      <c r="L10" s="230">
        <v>1.0819074597776529E-2</v>
      </c>
      <c r="M10" s="153">
        <v>-7.6999999999999985E-2</v>
      </c>
      <c r="N10" s="153">
        <v>821</v>
      </c>
      <c r="O10" s="153">
        <v>0.31</v>
      </c>
      <c r="P10" s="230">
        <v>1.0819074597776529E-2</v>
      </c>
    </row>
    <row r="11" spans="2:16" ht="18" thickBot="1" x14ac:dyDescent="0.45">
      <c r="H11" s="234" t="s">
        <v>333</v>
      </c>
      <c r="I11" s="225">
        <v>0.06</v>
      </c>
      <c r="J11" s="225">
        <v>1759</v>
      </c>
      <c r="K11" s="225">
        <v>0.28000000000000003</v>
      </c>
      <c r="L11" s="226">
        <v>6.6761350234713079E-3</v>
      </c>
      <c r="M11" s="225">
        <v>-0.17699999999999999</v>
      </c>
      <c r="N11" s="225">
        <v>1759</v>
      </c>
      <c r="O11" s="225">
        <v>0.28000000000000003</v>
      </c>
      <c r="P11" s="226">
        <v>6.6761350234713079E-3</v>
      </c>
    </row>
    <row r="12" spans="2:16" x14ac:dyDescent="0.4">
      <c r="B12" s="221"/>
      <c r="C12" s="279" t="s">
        <v>240</v>
      </c>
      <c r="D12" s="279"/>
      <c r="E12" s="279" t="s">
        <v>244</v>
      </c>
      <c r="F12" s="280"/>
    </row>
    <row r="13" spans="2:16" x14ac:dyDescent="0.4">
      <c r="B13" s="231" t="s">
        <v>241</v>
      </c>
      <c r="C13" s="154" t="s">
        <v>242</v>
      </c>
      <c r="D13" s="154" t="s">
        <v>243</v>
      </c>
      <c r="E13" s="154" t="s">
        <v>242</v>
      </c>
      <c r="F13" s="232" t="s">
        <v>243</v>
      </c>
    </row>
    <row r="14" spans="2:16" x14ac:dyDescent="0.4">
      <c r="B14" s="231" t="s">
        <v>17</v>
      </c>
      <c r="E14" s="153">
        <v>7.6999999999999957E-2</v>
      </c>
      <c r="F14" s="230">
        <v>7.6999999999999957E-2</v>
      </c>
    </row>
    <row r="15" spans="2:16" x14ac:dyDescent="0.4">
      <c r="B15" s="231" t="s">
        <v>18</v>
      </c>
      <c r="E15" s="153">
        <v>0.15700000000000003</v>
      </c>
      <c r="F15" s="230">
        <v>0.15700000000000003</v>
      </c>
    </row>
    <row r="16" spans="2:16" x14ac:dyDescent="0.4">
      <c r="B16" s="231" t="s">
        <v>19</v>
      </c>
      <c r="E16" s="153">
        <v>0.22699999999999998</v>
      </c>
      <c r="F16" s="230">
        <v>0.22699999999999998</v>
      </c>
    </row>
    <row r="17" spans="2:6" ht="18" thickBot="1" x14ac:dyDescent="0.45">
      <c r="B17" s="233" t="s">
        <v>20</v>
      </c>
      <c r="C17" s="225"/>
      <c r="D17" s="225"/>
      <c r="E17" s="225">
        <v>0.23699999999999999</v>
      </c>
      <c r="F17" s="226">
        <v>0.23699999999999999</v>
      </c>
    </row>
    <row r="33" s="153" customFormat="1" x14ac:dyDescent="0.4"/>
    <row r="34" s="153" customFormat="1" x14ac:dyDescent="0.4"/>
    <row r="35" s="153" customFormat="1" x14ac:dyDescent="0.4"/>
    <row r="36" s="153" customFormat="1" x14ac:dyDescent="0.4"/>
    <row r="37" s="153" customFormat="1" x14ac:dyDescent="0.4"/>
    <row r="38" s="153" customFormat="1" x14ac:dyDescent="0.4"/>
    <row r="39" s="153" customFormat="1" x14ac:dyDescent="0.4"/>
    <row r="40" s="153" customFormat="1" x14ac:dyDescent="0.4"/>
    <row r="41" s="153" customFormat="1" x14ac:dyDescent="0.4"/>
    <row r="42" s="153" customFormat="1" x14ac:dyDescent="0.4"/>
    <row r="43" s="153" customFormat="1" x14ac:dyDescent="0.4"/>
    <row r="44" s="153" customFormat="1" x14ac:dyDescent="0.4"/>
    <row r="47" s="153" customFormat="1" x14ac:dyDescent="0.4"/>
    <row r="48" s="153" customFormat="1" x14ac:dyDescent="0.4"/>
    <row r="49" s="153" customFormat="1" x14ac:dyDescent="0.4"/>
    <row r="50" s="153" customFormat="1" x14ac:dyDescent="0.4"/>
    <row r="51" s="153" customFormat="1" x14ac:dyDescent="0.4"/>
    <row r="52" s="153" customFormat="1" x14ac:dyDescent="0.4"/>
    <row r="53" s="153" customFormat="1" x14ac:dyDescent="0.4"/>
    <row r="54" s="153" customFormat="1" x14ac:dyDescent="0.4"/>
    <row r="55" s="153" customFormat="1" x14ac:dyDescent="0.4"/>
    <row r="56" s="153" customFormat="1" x14ac:dyDescent="0.4"/>
    <row r="58" s="153" customFormat="1" x14ac:dyDescent="0.4"/>
    <row r="59" s="153" customFormat="1" x14ac:dyDescent="0.4"/>
    <row r="60" s="153" customFormat="1" x14ac:dyDescent="0.4"/>
    <row r="61" s="153" customFormat="1" x14ac:dyDescent="0.4"/>
    <row r="62" s="153" customFormat="1" x14ac:dyDescent="0.4"/>
    <row r="63" s="153" customFormat="1" x14ac:dyDescent="0.4"/>
    <row r="64" s="153" customFormat="1" x14ac:dyDescent="0.4"/>
    <row r="65" s="153" customFormat="1" x14ac:dyDescent="0.4"/>
    <row r="66" s="153" customFormat="1" x14ac:dyDescent="0.4"/>
    <row r="67" s="153" customFormat="1" x14ac:dyDescent="0.4"/>
    <row r="69" s="153" customFormat="1" x14ac:dyDescent="0.4"/>
    <row r="70" s="153" customFormat="1" x14ac:dyDescent="0.4"/>
    <row r="71" s="153" customFormat="1" x14ac:dyDescent="0.4"/>
    <row r="72" s="153" customFormat="1" x14ac:dyDescent="0.4"/>
    <row r="73" s="153" customFormat="1" x14ac:dyDescent="0.4"/>
    <row r="74" s="153" customFormat="1" x14ac:dyDescent="0.4"/>
    <row r="75" s="153" customFormat="1" x14ac:dyDescent="0.4"/>
    <row r="76" s="153" customFormat="1" x14ac:dyDescent="0.4"/>
    <row r="77" s="153" customFormat="1" x14ac:dyDescent="0.4"/>
  </sheetData>
  <mergeCells count="4">
    <mergeCell ref="C5:D5"/>
    <mergeCell ref="E5:F5"/>
    <mergeCell ref="C12:D12"/>
    <mergeCell ref="E12:F12"/>
  </mergeCells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A2:AY85"/>
  <sheetViews>
    <sheetView zoomScale="55" zoomScaleNormal="55" workbookViewId="0">
      <selection activeCell="K11" sqref="K11"/>
    </sheetView>
  </sheetViews>
  <sheetFormatPr defaultColWidth="8.59765625" defaultRowHeight="17.399999999999999" x14ac:dyDescent="0.4"/>
  <cols>
    <col min="2" max="2" width="10.09765625" customWidth="1"/>
    <col min="3" max="3" width="32.3984375" bestFit="1" customWidth="1"/>
    <col min="4" max="4" width="39.59765625" bestFit="1" customWidth="1"/>
    <col min="5" max="5" width="45.09765625" bestFit="1" customWidth="1"/>
    <col min="6" max="6" width="43.3984375" bestFit="1" customWidth="1"/>
    <col min="7" max="7" width="29.09765625" bestFit="1" customWidth="1"/>
    <col min="8" max="8" width="28.5" bestFit="1" customWidth="1"/>
    <col min="9" max="9" width="37.59765625" bestFit="1" customWidth="1"/>
    <col min="10" max="10" width="27.59765625" bestFit="1" customWidth="1"/>
    <col min="11" max="11" width="21.59765625" bestFit="1" customWidth="1"/>
    <col min="12" max="12" width="39.59765625" bestFit="1" customWidth="1"/>
    <col min="13" max="13" width="29.8984375" bestFit="1" customWidth="1"/>
    <col min="14" max="14" width="23.8984375" bestFit="1" customWidth="1"/>
    <col min="15" max="15" width="41.59765625" bestFit="1" customWidth="1"/>
    <col min="16" max="16" width="39.59765625" bestFit="1" customWidth="1"/>
    <col min="17" max="17" width="29.8984375" bestFit="1" customWidth="1"/>
    <col min="18" max="18" width="23.8984375" bestFit="1" customWidth="1"/>
    <col min="19" max="19" width="33.8984375" bestFit="1" customWidth="1"/>
    <col min="20" max="20" width="28.59765625" customWidth="1"/>
    <col min="21" max="21" width="33.8984375" bestFit="1" customWidth="1"/>
    <col min="22" max="22" width="27.59765625" bestFit="1" customWidth="1"/>
    <col min="23" max="23" width="21.09765625" bestFit="1" customWidth="1"/>
    <col min="24" max="24" width="10" bestFit="1" customWidth="1"/>
    <col min="25" max="28" width="12.59765625" bestFit="1" customWidth="1"/>
    <col min="29" max="29" width="12.5" bestFit="1" customWidth="1"/>
    <col min="30" max="32" width="12.59765625" bestFit="1" customWidth="1"/>
    <col min="33" max="34" width="8.59765625" bestFit="1" customWidth="1"/>
    <col min="35" max="38" width="12.59765625" bestFit="1" customWidth="1"/>
    <col min="39" max="39" width="7.09765625" bestFit="1" customWidth="1"/>
    <col min="40" max="42" width="12.59765625" bestFit="1" customWidth="1"/>
    <col min="43" max="44" width="8.59765625" bestFit="1" customWidth="1"/>
    <col min="45" max="50" width="8.8984375" bestFit="1" customWidth="1"/>
  </cols>
  <sheetData>
    <row r="2" spans="1:51" ht="18" thickBot="1" x14ac:dyDescent="0.45"/>
    <row r="3" spans="1:51" x14ac:dyDescent="0.4">
      <c r="B3" s="248" t="s">
        <v>282</v>
      </c>
      <c r="C3" s="249"/>
      <c r="D3" s="222"/>
      <c r="E3" s="249"/>
      <c r="F3" s="250"/>
    </row>
    <row r="4" spans="1:51" x14ac:dyDescent="0.4">
      <c r="B4" s="251"/>
      <c r="C4" s="237"/>
      <c r="D4" s="238"/>
      <c r="E4" s="237"/>
      <c r="F4" s="230"/>
      <c r="H4" s="8" t="s">
        <v>378</v>
      </c>
      <c r="I4" s="8" t="s">
        <v>379</v>
      </c>
      <c r="J4" s="8" t="s">
        <v>380</v>
      </c>
      <c r="K4" s="8" t="s">
        <v>381</v>
      </c>
      <c r="L4" s="151" t="s">
        <v>406</v>
      </c>
      <c r="AD4" s="94"/>
      <c r="AE4" s="94"/>
      <c r="AF4" s="94"/>
      <c r="AG4" s="94"/>
      <c r="AH4" s="94"/>
      <c r="AI4" s="94"/>
      <c r="AJ4" s="94"/>
      <c r="AK4" s="94"/>
      <c r="AL4" s="94"/>
      <c r="AM4" s="94"/>
      <c r="AN4" s="94"/>
      <c r="AO4" s="94"/>
      <c r="AP4" s="94"/>
      <c r="AQ4" s="94"/>
      <c r="AR4" s="94"/>
      <c r="AS4" s="94"/>
      <c r="AT4" s="94"/>
      <c r="AU4" s="94"/>
      <c r="AV4" s="94"/>
      <c r="AW4" s="94"/>
      <c r="AX4" s="94"/>
    </row>
    <row r="5" spans="1:51" ht="18" thickBot="1" x14ac:dyDescent="0.45">
      <c r="B5" s="251"/>
      <c r="C5" s="237"/>
      <c r="D5" s="238"/>
      <c r="E5" s="237"/>
      <c r="F5" s="230"/>
      <c r="H5">
        <v>0.23</v>
      </c>
      <c r="I5">
        <f>-LN(1-H5)</f>
        <v>0.26136476413440751</v>
      </c>
      <c r="J5">
        <f>I5*HR_illness</f>
        <v>0.18034168725274116</v>
      </c>
      <c r="K5">
        <f>1-EXP(-J5)</f>
        <v>0.16501514101914139</v>
      </c>
      <c r="L5">
        <f>ROUND(K5,4)</f>
        <v>0.16500000000000001</v>
      </c>
      <c r="M5" t="s">
        <v>407</v>
      </c>
      <c r="AD5" s="281" t="s">
        <v>268</v>
      </c>
      <c r="AE5" s="282"/>
      <c r="AF5" s="282"/>
      <c r="AG5" s="282"/>
      <c r="AH5" s="282"/>
      <c r="AI5" s="282"/>
      <c r="AJ5" s="282"/>
      <c r="AK5" s="282"/>
      <c r="AL5" s="282"/>
      <c r="AM5" s="283"/>
      <c r="AN5" s="281" t="s">
        <v>281</v>
      </c>
      <c r="AO5" s="282"/>
      <c r="AP5" s="282"/>
      <c r="AQ5" s="282"/>
      <c r="AR5" s="282"/>
      <c r="AS5" s="282"/>
      <c r="AT5" s="282"/>
      <c r="AU5" s="282"/>
      <c r="AV5" s="282"/>
      <c r="AW5" s="283"/>
      <c r="AX5" s="259"/>
      <c r="AY5" s="106"/>
    </row>
    <row r="6" spans="1:51" x14ac:dyDescent="0.4">
      <c r="B6" s="251"/>
      <c r="C6" s="237"/>
      <c r="D6" s="238"/>
      <c r="E6" s="237"/>
      <c r="F6" s="230"/>
      <c r="H6">
        <v>0.35</v>
      </c>
      <c r="I6">
        <f t="shared" ref="I6:I7" si="0">-LN(1-H6)</f>
        <v>0.43078291609245423</v>
      </c>
      <c r="J6" s="143">
        <f>I6*HR_illness</f>
        <v>0.29724021210379337</v>
      </c>
      <c r="K6">
        <f t="shared" ref="K6:K7" si="1">1-EXP(-J6)</f>
        <v>0.25713445436768823</v>
      </c>
      <c r="L6" s="143">
        <f t="shared" ref="L6:L7" si="2">ROUND(K6,4)</f>
        <v>0.2571</v>
      </c>
      <c r="M6" t="s">
        <v>408</v>
      </c>
      <c r="Y6" t="s">
        <v>280</v>
      </c>
      <c r="AD6" s="284" t="s">
        <v>260</v>
      </c>
      <c r="AE6" s="279"/>
      <c r="AF6" s="279" t="s">
        <v>261</v>
      </c>
      <c r="AG6" s="279"/>
      <c r="AH6" s="279" t="s">
        <v>262</v>
      </c>
      <c r="AI6" s="279"/>
      <c r="AJ6" s="279" t="s">
        <v>265</v>
      </c>
      <c r="AK6" s="279"/>
      <c r="AL6" s="279" t="s">
        <v>266</v>
      </c>
      <c r="AM6" s="285"/>
      <c r="AN6" s="286" t="s">
        <v>260</v>
      </c>
      <c r="AO6" s="279"/>
      <c r="AP6" s="279" t="s">
        <v>261</v>
      </c>
      <c r="AQ6" s="279"/>
      <c r="AR6" s="279" t="s">
        <v>262</v>
      </c>
      <c r="AS6" s="279"/>
      <c r="AT6" s="279" t="s">
        <v>265</v>
      </c>
      <c r="AU6" s="279"/>
      <c r="AV6" s="279" t="s">
        <v>266</v>
      </c>
      <c r="AW6" s="285"/>
      <c r="AX6" s="260"/>
    </row>
    <row r="7" spans="1:51" x14ac:dyDescent="0.4">
      <c r="B7" s="251"/>
      <c r="C7" s="237"/>
      <c r="D7" s="238"/>
      <c r="E7" s="237"/>
      <c r="F7" s="230"/>
      <c r="H7">
        <v>0.04</v>
      </c>
      <c r="I7">
        <f t="shared" si="0"/>
        <v>4.0821994520255166E-2</v>
      </c>
      <c r="J7" s="143">
        <f>I7*HR_illness</f>
        <v>2.8167176218976062E-2</v>
      </c>
      <c r="K7">
        <f t="shared" si="1"/>
        <v>2.7774179821947742E-2</v>
      </c>
      <c r="L7" s="143">
        <f t="shared" si="2"/>
        <v>2.7799999999999998E-2</v>
      </c>
      <c r="M7" t="s">
        <v>409</v>
      </c>
      <c r="X7" t="s">
        <v>283</v>
      </c>
      <c r="Y7" s="8" t="s">
        <v>284</v>
      </c>
      <c r="Z7" s="8" t="s">
        <v>285</v>
      </c>
      <c r="AA7" s="8" t="s">
        <v>286</v>
      </c>
      <c r="AB7" s="8" t="s">
        <v>287</v>
      </c>
      <c r="AD7" s="261" t="s">
        <v>288</v>
      </c>
      <c r="AE7" s="101" t="s">
        <v>289</v>
      </c>
      <c r="AF7" s="101" t="s">
        <v>288</v>
      </c>
      <c r="AG7" s="101" t="s">
        <v>289</v>
      </c>
      <c r="AH7" s="101" t="s">
        <v>288</v>
      </c>
      <c r="AI7" s="101" t="s">
        <v>289</v>
      </c>
      <c r="AJ7" s="101" t="s">
        <v>288</v>
      </c>
      <c r="AK7" s="101" t="s">
        <v>289</v>
      </c>
      <c r="AL7" s="101" t="s">
        <v>288</v>
      </c>
      <c r="AM7" s="102" t="s">
        <v>289</v>
      </c>
      <c r="AN7" s="100" t="s">
        <v>288</v>
      </c>
      <c r="AO7" s="101" t="s">
        <v>289</v>
      </c>
      <c r="AP7" s="101" t="s">
        <v>288</v>
      </c>
      <c r="AQ7" s="101" t="s">
        <v>289</v>
      </c>
      <c r="AR7" s="101" t="s">
        <v>288</v>
      </c>
      <c r="AS7" s="101" t="s">
        <v>289</v>
      </c>
      <c r="AT7" s="101" t="s">
        <v>288</v>
      </c>
      <c r="AU7" s="101" t="s">
        <v>289</v>
      </c>
      <c r="AV7" s="101" t="s">
        <v>288</v>
      </c>
      <c r="AW7" s="102" t="s">
        <v>289</v>
      </c>
      <c r="AX7" s="262" t="s">
        <v>290</v>
      </c>
    </row>
    <row r="8" spans="1:51" x14ac:dyDescent="0.4">
      <c r="B8" s="251" t="s">
        <v>291</v>
      </c>
      <c r="C8" s="238"/>
      <c r="D8" s="238"/>
      <c r="E8" s="237"/>
      <c r="F8" s="230"/>
      <c r="X8">
        <f t="shared" ref="X8:X53" si="3">Alz_age</f>
        <v>71</v>
      </c>
      <c r="Y8" s="111">
        <f>Lecanemab_hcc!F8</f>
        <v>1.5065903319501861E-2</v>
      </c>
      <c r="Z8" s="111">
        <f>Lecanemab_hcc!G8</f>
        <v>2.0428666075551383E-2</v>
      </c>
      <c r="AA8" s="111">
        <f>Lecanemab_hcc!H8</f>
        <v>3.659900690724005E-2</v>
      </c>
      <c r="AB8" s="111">
        <f>Lecanemab_hcc!I8</f>
        <v>7.037421508009889E-2</v>
      </c>
      <c r="AD8" s="263">
        <f>Initial_MCI</f>
        <v>0.7</v>
      </c>
      <c r="AE8" s="104">
        <v>0</v>
      </c>
      <c r="AF8" s="104">
        <f>Initial_Mild*95%</f>
        <v>0.28500000000000003</v>
      </c>
      <c r="AG8" s="104">
        <f>Initial_Mild*5%</f>
        <v>1.5000000000000003E-2</v>
      </c>
      <c r="AH8" s="104">
        <v>0</v>
      </c>
      <c r="AI8" s="104">
        <v>0</v>
      </c>
      <c r="AJ8" s="104">
        <v>0</v>
      </c>
      <c r="AK8" s="104">
        <v>0</v>
      </c>
      <c r="AL8" s="104">
        <v>0</v>
      </c>
      <c r="AM8" s="105">
        <v>0</v>
      </c>
      <c r="AN8" s="103">
        <v>0</v>
      </c>
      <c r="AO8" s="104">
        <v>0</v>
      </c>
      <c r="AP8" s="104">
        <v>0</v>
      </c>
      <c r="AQ8" s="104">
        <v>0</v>
      </c>
      <c r="AR8" s="104">
        <v>0</v>
      </c>
      <c r="AS8" s="104">
        <v>0</v>
      </c>
      <c r="AT8" s="104">
        <v>0</v>
      </c>
      <c r="AU8" s="104">
        <v>0</v>
      </c>
      <c r="AV8" s="104">
        <v>0</v>
      </c>
      <c r="AW8" s="105">
        <v>0</v>
      </c>
      <c r="AX8" s="264">
        <f>SUM(AD8:AW8)</f>
        <v>1</v>
      </c>
    </row>
    <row r="9" spans="1:51" x14ac:dyDescent="0.4">
      <c r="B9" s="229"/>
      <c r="C9" s="237"/>
      <c r="D9" s="241" t="s">
        <v>292</v>
      </c>
      <c r="E9" s="241"/>
      <c r="F9" s="232"/>
      <c r="G9" s="94"/>
      <c r="H9" s="94"/>
      <c r="X9">
        <f t="shared" si="3"/>
        <v>72</v>
      </c>
      <c r="Y9" s="111">
        <f>Lecanemab_hcc!F9</f>
        <v>1.6894035107792305E-2</v>
      </c>
      <c r="Z9" s="111">
        <f>Lecanemab_hcc!G9</f>
        <v>2.2899924743828737E-2</v>
      </c>
      <c r="AA9" s="111">
        <f>Lecanemab_hcc!H9</f>
        <v>4.0985055867230225E-2</v>
      </c>
      <c r="AB9" s="111">
        <f>Lecanemab_hcc!I9</f>
        <v>7.8639346209840366E-2</v>
      </c>
      <c r="AD9" s="265">
        <f t="array" ref="AD9:AW9">MMULT(AD8:AW8,C19:V38)</f>
        <v>0.50773954376567365</v>
      </c>
      <c r="AE9" s="108">
        <v>7.8426195243825724E-4</v>
      </c>
      <c r="AF9" s="108">
        <v>0.2562194016652562</v>
      </c>
      <c r="AG9" s="108">
        <v>1.7909928787181673E-2</v>
      </c>
      <c r="AH9" s="108">
        <v>5.9011148245069804E-2</v>
      </c>
      <c r="AI9" s="108">
        <v>6.7211249323958656E-3</v>
      </c>
      <c r="AJ9" s="108">
        <v>6.3808242754295631E-3</v>
      </c>
      <c r="AK9" s="108">
        <v>7.267494092594518E-4</v>
      </c>
      <c r="AL9" s="104">
        <v>1.3961832048570787E-2</v>
      </c>
      <c r="AM9" s="105">
        <v>5.451849187247588E-4</v>
      </c>
      <c r="AN9" s="107">
        <v>7.0043242047488394E-2</v>
      </c>
      <c r="AO9" s="108">
        <v>1.1718856760571661E-4</v>
      </c>
      <c r="AP9" s="108">
        <v>4.0506928576516665E-2</v>
      </c>
      <c r="AQ9" s="108">
        <v>2.2656456403771881E-3</v>
      </c>
      <c r="AR9" s="108">
        <v>1.2003948752668697E-2</v>
      </c>
      <c r="AS9" s="108">
        <v>1.3671999554000273E-3</v>
      </c>
      <c r="AT9" s="108">
        <v>1.3718798574478511E-3</v>
      </c>
      <c r="AU9" s="108">
        <v>1.5625142347428883E-4</v>
      </c>
      <c r="AV9" s="104">
        <v>2.0862507658783933E-3</v>
      </c>
      <c r="AW9" s="105">
        <v>8.1464413142780042E-5</v>
      </c>
      <c r="AX9" s="264">
        <f>SUM(AD9:AW9)</f>
        <v>1.0000000000000002</v>
      </c>
    </row>
    <row r="10" spans="1:51" x14ac:dyDescent="0.4">
      <c r="B10" s="251" t="s">
        <v>293</v>
      </c>
      <c r="C10" s="238" t="s">
        <v>260</v>
      </c>
      <c r="D10" s="238" t="s">
        <v>261</v>
      </c>
      <c r="E10" s="238" t="s">
        <v>262</v>
      </c>
      <c r="F10" s="252" t="s">
        <v>265</v>
      </c>
      <c r="G10" s="8" t="s">
        <v>294</v>
      </c>
      <c r="H10" s="8" t="s">
        <v>295</v>
      </c>
      <c r="I10" s="8"/>
      <c r="J10" s="8" t="s">
        <v>296</v>
      </c>
      <c r="K10" s="8" t="s">
        <v>433</v>
      </c>
      <c r="X10">
        <f t="shared" si="3"/>
        <v>73</v>
      </c>
      <c r="Y10" s="111">
        <f>Lecanemab_hcc!F10</f>
        <v>1.8890986464756621E-2</v>
      </c>
      <c r="Z10" s="111">
        <f>Lecanemab_hcc!G10</f>
        <v>2.559750463291266E-2</v>
      </c>
      <c r="AA10" s="111">
        <f>Lecanemab_hcc!H10</f>
        <v>4.5762582894734338E-2</v>
      </c>
      <c r="AB10" s="111">
        <f>Lecanemab_hcc!I10</f>
        <v>8.7601105096929643E-2</v>
      </c>
      <c r="AD10" s="266">
        <f t="shared" ref="AD10:AD47" si="4">(1-DC_rate_trt)*((AD9*(1-$Y9)*(1-Trt_mci_mild)*(1-0))+(AF9*(1-$Z9)*(0.03)*(1-LTC_Mild)))</f>
        <v>0.36879087760735102</v>
      </c>
      <c r="AE10" s="126">
        <f t="shared" ref="AE10:AE47" si="5">(1-DC_rate_trt)*((AD9*(1-$Y9)*(1-Trt_mci_mild)*(0))+(AE9*(1-$Y9)*(1-Trt_mci_mild))+(AF9*(1-$Z9)*(0.03)*(LTC_Mild))+(AG9*(1-$Z9)*(0.03)))</f>
        <v>1.3762269881750983E-3</v>
      </c>
      <c r="AF10" s="126">
        <f t="shared" ref="AF10:AF47" si="6">(1-DC_rate_trt)*((AD9*(1-$Y9)*(Trt_mci_mild)*(1-0))+(AF9*(1-$Z9)*(1-(0.03+Trt_mild_mod+Trt_mild_sev))*(1-LTC_Mild))+(AH9*(1-$AA9)*(0.03)*(1-LTC_Moderate)))</f>
        <v>0.21394877120426828</v>
      </c>
      <c r="AG10" s="126">
        <f t="shared" ref="AG10:AG47" si="7">(1-DC_rate_trt)*((AD9*(1-$Y9)*Trt_mci_mild*(0))+(AE9*(1-$Y9)*Trt_mci_mild)+(AF9*(1-$Z9)*(1-(0.03+Trt_mild_mod+Trt_mild_sev))*(LTC_Mild))+(AG9*(1-$Z9)*(1-(0.03+Trt_mild_mod+Trt_mild_sev)))+(AH9*(1-$AA9)*(0.03)*(LTC_Moderate))+(AI9*(1-$AA9)*(0.03)))</f>
        <v>1.9111455195539983E-2</v>
      </c>
      <c r="AH10" s="126">
        <f t="shared" ref="AH10:AH47" si="8">(1-DC_rate_trt)*((AF9*(1-$Z9)*(Trt_mild_mod)*(1-LTC_Mild))+(AH9*(1-$AA9)*(1-(0.03+0.42))*(1-LTC_Moderate))+(AJ9*(1-$AB9)*(0.02)*(1-LTC_Severe)))</f>
        <v>7.6495156452843105E-2</v>
      </c>
      <c r="AI10" s="126">
        <f t="shared" ref="AI10:AI47" si="9">(1-DC_rate_trt)*((AF9*(1-$Z9)*(Trt_mild_mod)*(LTC_Mild))+(AG9*(1-$Z9)*(Trt_mild_mod))+(AH9*(1-$AA9)*(1-(0.03+0.42))*(LTC_Moderate))+(AI9*(1-$AA9)*(1-(0.03+0.42)))+(AJ9*(1-$AB9)*(0.02)*(LTC_Severe))+(AK9*(1-$AB9)*(0.02)))</f>
        <v>1.3694868712449572E-2</v>
      </c>
      <c r="AJ10" s="126">
        <f t="shared" ref="AJ10:AJ47" si="10">(1-DC_rate_trt)*((AF9*(1-$Z9)*(Trt_mild_sev)*(1-LTC_Mild))+(AH9*(1-$AA9)*(0.42)*(1-LTC_Moderate))+(AJ9*(1-$AB9)*(1-0.02)*(1-LTC_Severe)))</f>
        <v>2.7200074372132791E-2</v>
      </c>
      <c r="AK10" s="126">
        <f t="shared" ref="AK10:AK47" si="11">(1-DC_rate_trt)*((AF9*(1-$Z9)*(Trt_mild_sev)*(LTC_Mild))+(AG9*(1-$Z9)*(Trt_mild_sev))+(AH9*(1-$AA9)*(0.42)*(LTC_Moderate))+(AI9*(1-$AA9)*(0.42))+(AJ9*(1-$AB9)*(1-0.02)*(LTC_Severe))+(AK9*(1-$AB9)*(1-0.02)))</f>
        <v>7.8957284722166021E-3</v>
      </c>
      <c r="AL10" s="126">
        <f t="shared" ref="AL10:AL47" si="12">(1-DC_rate_trt)*((AD9*$Y9*(1-0))+(AF9*$Z9*(1-LTC_Mild))+(AH9*$AA9*(1-LTC_Moderate))+(AJ9*$AB9*(1-LTC_Severe))+AL9)</f>
        <v>2.6567084361849843E-2</v>
      </c>
      <c r="AM10" s="127">
        <f t="shared" ref="AM10:AM47" si="13">(1-DC_rate_trt)*((AD9*$Y9*0)+(AE9*$Y9)+(AF9*$Z9*LTC_Mild)+(AG9*$Z9)+(AH9*$AA9*LTC_Moderate)+(AI9*$AA9)+(AJ9*$AB9*LTC_Severe)+(AK9*$AB9)+AM9)</f>
        <v>1.8197566331736945E-3</v>
      </c>
      <c r="AN10" s="125">
        <f t="shared" ref="AN10:AN47" si="14">(DC_rate_trt)*((AD9*(1-$Y9)*(1-Trt_mci_mild)*(1-0))+(AF9*(1-$Z9)*(0.03)*(1-LTC_Mild)))+((AN9*(1-$Y9)*(1-0.23)*(1-0))+(AP9*(1-$Z9)*(0.03)*(1-LTC_Mild)))</f>
        <v>0.10925090204090042</v>
      </c>
      <c r="AO10" s="126">
        <f t="shared" ref="AO10:AO47" si="15">(DC_rate_trt)*((AD9*(1-$Y9)*(1-Trt_mci_mild)*(0))+(AE9*(1-$Y9)*(1-Trt_mci_mild))+(AF9*(1-$Z9)*(0.03)*(LTC_Mild))+(AG9*(1-$Z9)*(0.03)))+((AN9*(1-$Y9)*(1-0.23)*(0))+(AO9*(1-$Y9)*(1-0.23))+(AP9*(1-$Z9)*(0.03)*(LTC_Mild))+(AQ9*(1-$Z9)*(0.03)))</f>
        <v>4.2607263230129563E-4</v>
      </c>
      <c r="AP10" s="126">
        <f t="shared" ref="AP10:AP47" si="16">(DC_rate_trt)*((AD9*(1-$Y9)*(Trt_mci_mild)*(1-0))+(AF9*(1-$Z9)*(1-(0.03+Trt_mild_mod+Trt_mild_sev))*(1-LTC_Mild))+(AH9*(1-$AA9)*(0.03)*(1-LTC_Moderate)))+((AN9*(1-$Y9)*(0.23)*(1-0))+(AP9*(1-$Z9)*(1-(0.03+0.35+0.04))*(1-LTC_Mild))+(AR9*(1-$AA9)*(0.03)*(1-LTC_Moderate)))</f>
        <v>6.9800338815511287E-2</v>
      </c>
      <c r="AQ10" s="126">
        <f t="shared" ref="AQ10:AQ47" si="17">(DC_rate_trt)*((AD9*(1-$Y9)*Trt_mci_mild*(0))+(AE9*(1-$Y9)*Trt_mci_mild)+(AF9*(1-$Z9)*(1-(0.03+Trt_mild_mod+Trt_mild_sev))*(LTC_Mild))+(AG9*(1-$Z9)*(1-(0.03+Trt_mild_mod+Trt_mild_sev)))+(AH9*(1-$AA9)*(0.03)*(LTC_Moderate))+(AI9*(1-$AA9)*(0.03)))+((AN9*(1-$Y9)*0.23*(0))+(AO9*(1-$Y9)*0.23)+(AP9*(1-$Z9)*(1-(0.03+0.35+0.04))*(LTC_Mild))+(AQ9*(1-$Z9)*(1-(0.03+0.35+0.04)))+(AR9*(1-$AA9)*(0.03)*(LTC_Moderate))+(AS9*(1-$AA9)*(0.03)))</f>
        <v>5.5137177130931457E-3</v>
      </c>
      <c r="AR10" s="126">
        <f t="shared" ref="AR10:AR47" si="18">(DC_rate_trt)*((AF9*(1-$Z9)*(Trt_mild_mod)*(1-LTC_Mild))+(AH9*(1-$AA9)*(1-(0.03+0.42))*(1-LTC_Moderate))+(AJ9*(1-$AB9)*(0.02)*(1-LTC_Severe)))+((AP9*(1-$Z9)*(0.35)*(1-LTC_Mild))+(AR9*(1-$AA9)*(1-(0.03+0.42))*(1-LTC_Moderate))+(AT9*(1-$AB9)*(0.02)*(1-LTC_Severe)))</f>
        <v>3.0034781553052989E-2</v>
      </c>
      <c r="AS10" s="126">
        <f t="shared" ref="AS10:AS47" si="19">(DC_rate_trt)*((AF9*(1-$Z9)*(Trt_mild_mod)*(LTC_Mild))+(AG9*(1-$Z9)*(Trt_mild_mod))+(AH9*(1-$AA9)*(1-(0.03+0.42))*(LTC_Moderate))+(AI9*(1-$AA9)*(1-(0.03+0.42)))+(AJ9*(1-$AB9)*(0.02)*(LTC_Severe))+(AK9*(1-$AB9)*(0.02)))+((AP9*(1-$Z9)*(0.35)*(LTC_Mild))+(AQ9*(1-$Z9)*(0.35))+(AR9*(1-$AA9)*(1-(0.03+0.42))*(LTC_Moderate))+(AS9*(1-$AA9)*(1-(0.03+0.42)))+(AT9*(1-$AB9)*(0.02)*(LTC_Severe))+(AU9*(1-$AB9)*(0.02)))</f>
        <v>5.1503502820383403E-3</v>
      </c>
      <c r="AT10" s="126">
        <f t="shared" ref="AT10:AT47" si="20">(DC_rate_trt)*((AF9*(1-$Z9)*(Trt_mild_sev)*(1-LTC_Mild))+(AH9*(1-$AA9)*(0.42)*(1-LTC_Moderate))+(AJ9*(1-$AB9)*(1-0.02)*(1-LTC_Severe)))+((AP9*(1-$Z9)*(0.04)*(1-LTC_Mild))+(AR9*(1-$AA9)*(0.42)*(1-LTC_Moderate))+(AT9*(1-$AB9)*(1-0.02)*(1-LTC_Severe)))</f>
        <v>1.0629335955162937E-2</v>
      </c>
      <c r="AU10" s="126">
        <f t="shared" ref="AU10:AU47" si="21">(DC_rate_trt)*((AF9*(1-$Z9)*(Trt_mild_sev)*(LTC_Mild))+(AG9*(1-$Z9)*(Trt_mild_sev))+(AH9*(1-$AA9)*(0.42)*(LTC_Moderate))+(AI9*(1-$AA9)*(0.42))+(AJ9*(1-$AB9)*(1-0.02)*(LTC_Severe))+(AK9*(1-$AB9)*(1-0.02)))+((AP9*(1-$Z9)*(0.04)*(LTC_Mild))+(AQ9*(1-$Z9)*(0.04))+(AR9*(1-$AA9)*(0.42)*(LTC_Moderate))+(AS9*(1-$AA9)*(0.42))+(AT9*(1-$AB9)*(1-0.02)*(LTC_Severe))+(AU9*(1-$AB9)*(1-0.02)))</f>
        <v>3.0521039257791231E-3</v>
      </c>
      <c r="AV10" s="126">
        <f t="shared" ref="AV10:AV47" si="22">(DC_rate_trt)*((AD9*$Y9*(1-0))+(AF9*$Z9*(1-LTC_Mild))+(AH9*$AA9*(1-LTC_Moderate))+(AJ9*$AB9*(1-LTC_Severe))+AL9)+((AN9*$Y9*(1-0))+(AP9*$Z9*(1-LTC_Mild))+(AR9*$AA9*(1-LTC_Moderate))+(AT9*$AB9*(1-LTC_Severe))+AV9)</f>
        <v>8.6189362465966136E-3</v>
      </c>
      <c r="AW10" s="127">
        <f t="shared" ref="AW10:AW47" si="23">(DC_rate_trt)*((AD9*$Y9*0)+(AE9*$Y9)+(AF9*$Z9*LTC_Mild)+(AG9*$Z9)+(AH9*$AA9*LTC_Moderate)+(AI9*$AA9)+(AJ9*$AB9*LTC_Severe)+(AK9*$AB9)+AM9)+((AN9*$Y9*0)+(AO9*$Y9)+(AP9*$Z9*LTC_Mild)+(AQ9*$Z9)+(AR9*$AA9*LTC_Moderate)+(AS9*$AA9)+(AT9*$AB9*LTC_Severe)+(AU9*$AB9)+AW9)</f>
        <v>6.2346083556385644E-4</v>
      </c>
      <c r="AX10" s="264">
        <f t="shared" ref="AX10:AX47" si="24">SUM(AD10:AW10)</f>
        <v>1</v>
      </c>
    </row>
    <row r="11" spans="1:51" x14ac:dyDescent="0.4">
      <c r="B11" s="251" t="s">
        <v>260</v>
      </c>
      <c r="C11" s="236">
        <f>1-D11</f>
        <v>0.83499999999999996</v>
      </c>
      <c r="D11" s="242">
        <f>ROUND(K5,3)</f>
        <v>0.16500000000000001</v>
      </c>
      <c r="E11" s="236">
        <v>0</v>
      </c>
      <c r="F11" s="253">
        <v>0</v>
      </c>
      <c r="G11" s="86" t="s">
        <v>284</v>
      </c>
      <c r="H11" t="s">
        <v>297</v>
      </c>
      <c r="I11" s="8" t="s">
        <v>260</v>
      </c>
      <c r="J11" s="115">
        <v>2.4E-2</v>
      </c>
      <c r="K11" s="114">
        <v>0</v>
      </c>
      <c r="X11">
        <f t="shared" si="3"/>
        <v>74</v>
      </c>
      <c r="Y11" s="111">
        <f>Lecanemab_hcc!F11</f>
        <v>2.110847797105786E-2</v>
      </c>
      <c r="Z11" s="111">
        <f>Lecanemab_hcc!G11</f>
        <v>2.8590687833229156E-2</v>
      </c>
      <c r="AA11" s="111">
        <f>Lecanemab_hcc!H11</f>
        <v>5.1051165766922146E-2</v>
      </c>
      <c r="AB11" s="111">
        <f>Lecanemab_hcc!I11</f>
        <v>9.7471547764780064E-2</v>
      </c>
      <c r="AD11" s="266">
        <f t="shared" si="4"/>
        <v>0.26798894710774784</v>
      </c>
      <c r="AE11" s="126">
        <f t="shared" si="5"/>
        <v>1.7661762233845029E-3</v>
      </c>
      <c r="AF11" s="126">
        <f t="shared" si="6"/>
        <v>0.17101653071876033</v>
      </c>
      <c r="AG11" s="126">
        <f t="shared" si="7"/>
        <v>1.8720078300216967E-2</v>
      </c>
      <c r="AH11" s="126">
        <f t="shared" si="8"/>
        <v>7.4687174464994871E-2</v>
      </c>
      <c r="AI11" s="126">
        <f t="shared" si="9"/>
        <v>1.7846806666654554E-2</v>
      </c>
      <c r="AJ11" s="126">
        <f t="shared" si="10"/>
        <v>4.2812375652057671E-2</v>
      </c>
      <c r="AK11" s="126">
        <f t="shared" si="11"/>
        <v>2.1428862005065087E-2</v>
      </c>
      <c r="AL11" s="126">
        <f t="shared" si="12"/>
        <v>3.7779965113606089E-2</v>
      </c>
      <c r="AM11" s="127">
        <f t="shared" si="13"/>
        <v>4.4560837475120726E-3</v>
      </c>
      <c r="AN11" s="125">
        <f t="shared" si="14"/>
        <v>0.12450653612081675</v>
      </c>
      <c r="AO11" s="126">
        <f t="shared" si="15"/>
        <v>8.5918952775765789E-4</v>
      </c>
      <c r="AP11" s="126">
        <f t="shared" si="16"/>
        <v>8.8231796556633865E-2</v>
      </c>
      <c r="AQ11" s="126">
        <f t="shared" si="17"/>
        <v>8.4400642646915176E-3</v>
      </c>
      <c r="AR11" s="126">
        <f t="shared" si="18"/>
        <v>4.7474642453364239E-2</v>
      </c>
      <c r="AS11" s="126">
        <f t="shared" si="19"/>
        <v>1.075333762376373E-2</v>
      </c>
      <c r="AT11" s="126">
        <f t="shared" si="20"/>
        <v>2.610754827799612E-2</v>
      </c>
      <c r="AU11" s="126">
        <f t="shared" si="21"/>
        <v>1.2761924434832896E-2</v>
      </c>
      <c r="AV11" s="126">
        <f t="shared" si="22"/>
        <v>1.9865083818945833E-2</v>
      </c>
      <c r="AW11" s="127">
        <f t="shared" si="23"/>
        <v>2.4968769211974281E-3</v>
      </c>
      <c r="AX11" s="264">
        <f t="shared" si="24"/>
        <v>0.99999999999999978</v>
      </c>
    </row>
    <row r="12" spans="1:51" x14ac:dyDescent="0.4">
      <c r="B12" s="251" t="s">
        <v>261</v>
      </c>
      <c r="C12" s="236">
        <v>0.03</v>
      </c>
      <c r="D12" s="237">
        <f>1-SUM(C12,E12:F12)</f>
        <v>0.68510000000000004</v>
      </c>
      <c r="E12" s="243">
        <f>ROUND(K6,4)</f>
        <v>0.2571</v>
      </c>
      <c r="F12" s="254">
        <f>ROUND(K7,4)</f>
        <v>2.7799999999999998E-2</v>
      </c>
      <c r="G12" s="86" t="s">
        <v>285</v>
      </c>
      <c r="H12" t="s">
        <v>298</v>
      </c>
      <c r="I12" s="8" t="s">
        <v>261</v>
      </c>
      <c r="J12" s="112">
        <v>3.7999999999999999E-2</v>
      </c>
      <c r="K12" s="111">
        <v>5.5E-2</v>
      </c>
      <c r="X12">
        <f t="shared" si="3"/>
        <v>75</v>
      </c>
      <c r="Y12" s="111">
        <f>Lecanemab_hcc!F12</f>
        <v>2.3646350507162905E-2</v>
      </c>
      <c r="Z12" s="111">
        <f>Lecanemab_hcc!G12</f>
        <v>3.2013331721284177E-2</v>
      </c>
      <c r="AA12" s="111">
        <f>Lecanemab_hcc!H12</f>
        <v>5.708246662973393E-2</v>
      </c>
      <c r="AB12" s="111">
        <f>Lecanemab_hcc!I12</f>
        <v>0.10866408383875836</v>
      </c>
      <c r="AD12" s="266">
        <f t="shared" si="4"/>
        <v>0.19466860072639477</v>
      </c>
      <c r="AE12" s="126">
        <f t="shared" si="5"/>
        <v>1.9690559077870529E-3</v>
      </c>
      <c r="AF12" s="126">
        <f t="shared" si="6"/>
        <v>0.13283530340358207</v>
      </c>
      <c r="AG12" s="126">
        <f t="shared" si="7"/>
        <v>1.721921218744113E-2</v>
      </c>
      <c r="AH12" s="126">
        <f t="shared" si="8"/>
        <v>6.5025176270069943E-2</v>
      </c>
      <c r="AI12" s="126">
        <f t="shared" si="9"/>
        <v>1.9227094117583856E-2</v>
      </c>
      <c r="AJ12" s="126">
        <f t="shared" si="10"/>
        <v>4.9468501999243429E-2</v>
      </c>
      <c r="AK12" s="126">
        <f t="shared" si="11"/>
        <v>3.6508404659283039E-2</v>
      </c>
      <c r="AL12" s="126">
        <f t="shared" si="12"/>
        <v>4.7245102472074287E-2</v>
      </c>
      <c r="AM12" s="127">
        <f t="shared" si="13"/>
        <v>8.7311582565403785E-3</v>
      </c>
      <c r="AN12" s="125">
        <f t="shared" si="14"/>
        <v>0.12536462944270754</v>
      </c>
      <c r="AO12" s="126">
        <f t="shared" si="15"/>
        <v>1.3292206923233652E-3</v>
      </c>
      <c r="AP12" s="126">
        <f t="shared" si="16"/>
        <v>9.6031318286508544E-2</v>
      </c>
      <c r="AQ12" s="126">
        <f t="shared" si="17"/>
        <v>1.0740363196271712E-2</v>
      </c>
      <c r="AR12" s="126">
        <f t="shared" si="18"/>
        <v>5.9903834699386468E-2</v>
      </c>
      <c r="AS12" s="126">
        <f t="shared" si="19"/>
        <v>1.6645437751524928E-2</v>
      </c>
      <c r="AT12" s="126">
        <f t="shared" si="20"/>
        <v>4.331189795500353E-2</v>
      </c>
      <c r="AU12" s="126">
        <f t="shared" si="21"/>
        <v>3.0877989809135711E-2</v>
      </c>
      <c r="AV12" s="126">
        <f t="shared" si="22"/>
        <v>3.5831919713286989E-2</v>
      </c>
      <c r="AW12" s="127">
        <f t="shared" si="23"/>
        <v>7.0657784538512465E-3</v>
      </c>
      <c r="AX12" s="264">
        <f t="shared" si="24"/>
        <v>1</v>
      </c>
    </row>
    <row r="13" spans="1:51" x14ac:dyDescent="0.4">
      <c r="B13" s="251" t="s">
        <v>262</v>
      </c>
      <c r="C13" s="236">
        <v>0</v>
      </c>
      <c r="D13" s="237">
        <v>0.03</v>
      </c>
      <c r="E13" s="237">
        <v>0.55000000000000004</v>
      </c>
      <c r="F13" s="230">
        <v>0.42</v>
      </c>
      <c r="G13" s="86" t="s">
        <v>286</v>
      </c>
      <c r="H13" t="s">
        <v>299</v>
      </c>
      <c r="I13" s="8" t="s">
        <v>262</v>
      </c>
      <c r="J13" s="112">
        <v>0.11</v>
      </c>
      <c r="K13" s="111">
        <v>0.13200000000000001</v>
      </c>
      <c r="X13">
        <f t="shared" si="3"/>
        <v>76</v>
      </c>
      <c r="Y13" s="111">
        <f>Lecanemab_hcc!F13</f>
        <v>2.6875157268125505E-2</v>
      </c>
      <c r="Z13" s="111">
        <f>Lecanemab_hcc!G13</f>
        <v>3.6363164851724306E-2</v>
      </c>
      <c r="AA13" s="111">
        <f>Lecanemab_hcc!H13</f>
        <v>6.4722854266430319E-2</v>
      </c>
      <c r="AB13" s="111">
        <f>Lecanemab_hcc!I13</f>
        <v>0.12274458220862894</v>
      </c>
      <c r="AD13" s="266">
        <f t="shared" si="4"/>
        <v>0.14124443946879672</v>
      </c>
      <c r="AE13" s="126">
        <f t="shared" si="5"/>
        <v>2.0162110097035535E-3</v>
      </c>
      <c r="AF13" s="126">
        <f t="shared" si="6"/>
        <v>0.1010978324011359</v>
      </c>
      <c r="AG13" s="126">
        <f t="shared" si="7"/>
        <v>1.5110324108991553E-2</v>
      </c>
      <c r="AH13" s="126">
        <f t="shared" si="8"/>
        <v>5.3185058105864755E-2</v>
      </c>
      <c r="AI13" s="126">
        <f t="shared" si="9"/>
        <v>1.8651083629308816E-2</v>
      </c>
      <c r="AJ13" s="126">
        <f t="shared" si="10"/>
        <v>4.8851442217243135E-2</v>
      </c>
      <c r="AK13" s="126">
        <f t="shared" si="11"/>
        <v>4.9028452611700989E-2</v>
      </c>
      <c r="AL13" s="126">
        <f t="shared" si="12"/>
        <v>5.4699574499485183E-2</v>
      </c>
      <c r="AM13" s="127">
        <f t="shared" si="13"/>
        <v>1.453650264776934E-2</v>
      </c>
      <c r="AN13" s="125">
        <f t="shared" si="14"/>
        <v>0.11798898729588363</v>
      </c>
      <c r="AO13" s="126">
        <f t="shared" si="15"/>
        <v>1.7658457651505573E-3</v>
      </c>
      <c r="AP13" s="126">
        <f t="shared" si="16"/>
        <v>9.5679226252163949E-2</v>
      </c>
      <c r="AQ13" s="126">
        <f t="shared" si="17"/>
        <v>1.2246208390806586E-2</v>
      </c>
      <c r="AR13" s="126">
        <f t="shared" si="18"/>
        <v>6.620193806183855E-2</v>
      </c>
      <c r="AS13" s="126">
        <f t="shared" si="19"/>
        <v>2.1727315908259659E-2</v>
      </c>
      <c r="AT13" s="126">
        <f t="shared" si="20"/>
        <v>5.804003311270698E-2</v>
      </c>
      <c r="AU13" s="126">
        <f t="shared" si="21"/>
        <v>5.5840843703556395E-2</v>
      </c>
      <c r="AV13" s="126">
        <f t="shared" si="22"/>
        <v>5.6156461525758421E-2</v>
      </c>
      <c r="AW13" s="127">
        <f t="shared" si="23"/>
        <v>1.5932219283875303E-2</v>
      </c>
      <c r="AX13" s="264">
        <f t="shared" si="24"/>
        <v>1</v>
      </c>
    </row>
    <row r="14" spans="1:51" ht="18" thickBot="1" x14ac:dyDescent="0.45">
      <c r="B14" s="224" t="s">
        <v>265</v>
      </c>
      <c r="C14" s="255">
        <v>0</v>
      </c>
      <c r="D14" s="225">
        <v>0</v>
      </c>
      <c r="E14" s="225">
        <v>0.02</v>
      </c>
      <c r="F14" s="226">
        <v>0.98</v>
      </c>
      <c r="G14" s="86" t="s">
        <v>287</v>
      </c>
      <c r="H14" t="s">
        <v>300</v>
      </c>
      <c r="I14" s="8" t="s">
        <v>265</v>
      </c>
      <c r="J14" s="112">
        <v>0.25900000000000001</v>
      </c>
      <c r="K14" s="111">
        <v>0.29599999999999999</v>
      </c>
      <c r="X14">
        <f t="shared" si="3"/>
        <v>77</v>
      </c>
      <c r="Y14" s="111">
        <f>Lecanemab_hcc!F14</f>
        <v>3.1262370100638814E-2</v>
      </c>
      <c r="Z14" s="111">
        <f>Lecanemab_hcc!G14</f>
        <v>4.2265281802119969E-2</v>
      </c>
      <c r="AA14" s="111">
        <f>Lecanemab_hcc!H14</f>
        <v>7.5045398384775641E-2</v>
      </c>
      <c r="AB14" s="111">
        <f>Lecanemab_hcc!I14</f>
        <v>0.14159385725097229</v>
      </c>
      <c r="AD14" s="266">
        <f t="shared" si="4"/>
        <v>0.10225229810694417</v>
      </c>
      <c r="AE14" s="126">
        <f t="shared" si="5"/>
        <v>1.9452003509803748E-3</v>
      </c>
      <c r="AF14" s="126">
        <f t="shared" si="6"/>
        <v>7.5730838007908433E-2</v>
      </c>
      <c r="AG14" s="126">
        <f t="shared" si="7"/>
        <v>1.2780801492113584E-2</v>
      </c>
      <c r="AH14" s="126">
        <f t="shared" si="8"/>
        <v>4.1777488099788436E-2</v>
      </c>
      <c r="AI14" s="126">
        <f t="shared" si="9"/>
        <v>1.6913311981521434E-2</v>
      </c>
      <c r="AJ14" s="126">
        <f t="shared" si="10"/>
        <v>4.3726409693814909E-2</v>
      </c>
      <c r="AK14" s="126">
        <f t="shared" si="11"/>
        <v>5.6741087416838858E-2</v>
      </c>
      <c r="AL14" s="126">
        <f t="shared" si="12"/>
        <v>6.0185600960985103E-2</v>
      </c>
      <c r="AM14" s="127">
        <f t="shared" si="13"/>
        <v>2.1573164898104662E-2</v>
      </c>
      <c r="AN14" s="125">
        <f t="shared" si="14"/>
        <v>0.10630282111047559</v>
      </c>
      <c r="AO14" s="126">
        <f t="shared" si="15"/>
        <v>2.119978145003901E-3</v>
      </c>
      <c r="AP14" s="126">
        <f t="shared" si="16"/>
        <v>8.9871403126827287E-2</v>
      </c>
      <c r="AQ14" s="126">
        <f t="shared" si="17"/>
        <v>1.2945529478064346E-2</v>
      </c>
      <c r="AR14" s="126">
        <f t="shared" si="18"/>
        <v>6.7013920391482296E-2</v>
      </c>
      <c r="AS14" s="126">
        <f t="shared" si="19"/>
        <v>2.538536701801139E-2</v>
      </c>
      <c r="AT14" s="126">
        <f t="shared" si="20"/>
        <v>6.7719432914055411E-2</v>
      </c>
      <c r="AU14" s="126">
        <f t="shared" si="21"/>
        <v>8.3897605634476388E-2</v>
      </c>
      <c r="AV14" s="126">
        <f t="shared" si="22"/>
        <v>8.0343082110861996E-2</v>
      </c>
      <c r="AW14" s="127">
        <f t="shared" si="23"/>
        <v>3.0774659061741379E-2</v>
      </c>
      <c r="AX14" s="264">
        <f t="shared" si="24"/>
        <v>1.0000000000000002</v>
      </c>
    </row>
    <row r="15" spans="1:51" x14ac:dyDescent="0.4">
      <c r="A15" s="244"/>
      <c r="B15" s="151"/>
      <c r="C15" s="245"/>
      <c r="D15" s="244"/>
      <c r="E15" s="244"/>
      <c r="F15" s="244"/>
      <c r="G15" s="244"/>
      <c r="H15" s="244"/>
      <c r="I15" s="244"/>
      <c r="J15" s="244"/>
      <c r="K15" s="244"/>
      <c r="L15" s="244"/>
      <c r="M15" s="244"/>
      <c r="N15" s="244"/>
      <c r="O15" s="244"/>
      <c r="P15" s="244"/>
      <c r="Q15" s="244"/>
      <c r="R15" s="244"/>
      <c r="S15" s="244"/>
      <c r="T15" s="244"/>
      <c r="U15" s="244"/>
      <c r="V15" s="244"/>
      <c r="W15" s="244"/>
      <c r="X15">
        <f t="shared" si="3"/>
        <v>78</v>
      </c>
      <c r="Y15" s="111">
        <f>Lecanemab_hcc!F15</f>
        <v>3.6659890087681335E-2</v>
      </c>
      <c r="Z15" s="111">
        <f>Lecanemab_hcc!G15</f>
        <v>4.9513383819471346E-2</v>
      </c>
      <c r="AA15" s="111">
        <f>Lecanemab_hcc!H15</f>
        <v>8.7651994744920803E-2</v>
      </c>
      <c r="AB15" s="111">
        <f>Lecanemab_hcc!I15</f>
        <v>0.16434222218004213</v>
      </c>
      <c r="AD15" s="266">
        <f t="shared" si="4"/>
        <v>7.3747893645095722E-2</v>
      </c>
      <c r="AE15" s="126">
        <f t="shared" si="5"/>
        <v>1.7925112302753815E-3</v>
      </c>
      <c r="AF15" s="126">
        <f t="shared" si="6"/>
        <v>5.5947783874670302E-2</v>
      </c>
      <c r="AG15" s="126">
        <f t="shared" si="7"/>
        <v>1.0485487537787445E-2</v>
      </c>
      <c r="AH15" s="126">
        <f t="shared" si="8"/>
        <v>3.1840419063789809E-2</v>
      </c>
      <c r="AI15" s="126">
        <f t="shared" si="9"/>
        <v>1.4597446268525056E-2</v>
      </c>
      <c r="AJ15" s="126">
        <f t="shared" si="10"/>
        <v>3.6443453187462262E-2</v>
      </c>
      <c r="AK15" s="126">
        <f t="shared" si="11"/>
        <v>5.8972891766735737E-2</v>
      </c>
      <c r="AL15" s="126">
        <f t="shared" si="12"/>
        <v>6.3933770208986287E-2</v>
      </c>
      <c r="AM15" s="127">
        <f t="shared" si="13"/>
        <v>2.9493138094501978E-2</v>
      </c>
      <c r="AN15" s="125">
        <f t="shared" si="14"/>
        <v>9.2754216789526736E-2</v>
      </c>
      <c r="AO15" s="126">
        <f t="shared" si="15"/>
        <v>2.3631693901296929E-3</v>
      </c>
      <c r="AP15" s="126">
        <f t="shared" si="16"/>
        <v>8.0835984636487612E-2</v>
      </c>
      <c r="AQ15" s="126">
        <f t="shared" si="17"/>
        <v>1.2925807564599942E-2</v>
      </c>
      <c r="AR15" s="126">
        <f t="shared" si="18"/>
        <v>6.3636437375964916E-2</v>
      </c>
      <c r="AS15" s="126">
        <f t="shared" si="19"/>
        <v>2.7376335372708997E-2</v>
      </c>
      <c r="AT15" s="126">
        <f t="shared" si="20"/>
        <v>7.1401908364937344E-2</v>
      </c>
      <c r="AU15" s="126">
        <f t="shared" si="21"/>
        <v>0.1102359388797317</v>
      </c>
      <c r="AV15" s="126">
        <f t="shared" si="22"/>
        <v>0.10792486878103483</v>
      </c>
      <c r="AW15" s="127">
        <f t="shared" si="23"/>
        <v>5.3290537967048211E-2</v>
      </c>
      <c r="AX15" s="264">
        <f t="shared" si="24"/>
        <v>0.99999999999999989</v>
      </c>
    </row>
    <row r="16" spans="1:51" ht="18" thickBot="1" x14ac:dyDescent="0.45">
      <c r="A16" s="244"/>
      <c r="B16" s="151"/>
      <c r="C16" s="151"/>
      <c r="D16" s="151"/>
      <c r="E16" s="244"/>
      <c r="F16" s="244"/>
      <c r="G16" s="244"/>
      <c r="H16" s="244"/>
      <c r="I16" s="244"/>
      <c r="J16" s="244"/>
      <c r="K16" s="244"/>
      <c r="L16" s="244"/>
      <c r="M16" s="244"/>
      <c r="N16" s="244"/>
      <c r="O16" s="244"/>
      <c r="P16" s="244"/>
      <c r="Q16" s="244"/>
      <c r="R16" s="244"/>
      <c r="S16" s="244"/>
      <c r="T16" s="244"/>
      <c r="U16" s="244"/>
      <c r="V16" s="244"/>
      <c r="W16" s="244"/>
      <c r="X16">
        <f t="shared" si="3"/>
        <v>79</v>
      </c>
      <c r="Y16" s="111">
        <f>Lecanemab_hcc!F16</f>
        <v>4.2849273174327962E-2</v>
      </c>
      <c r="Z16" s="111">
        <f>Lecanemab_hcc!G16</f>
        <v>5.7806883397622633E-2</v>
      </c>
      <c r="AA16" s="111">
        <f>Lecanemab_hcc!H16</f>
        <v>0.10198202532948608</v>
      </c>
      <c r="AB16" s="111">
        <f>Lecanemab_hcc!I16</f>
        <v>0.18983751460326992</v>
      </c>
      <c r="AD16" s="266">
        <f t="shared" si="4"/>
        <v>5.2921734021921372E-2</v>
      </c>
      <c r="AE16" s="126">
        <f t="shared" si="5"/>
        <v>1.5908896916413324E-3</v>
      </c>
      <c r="AF16" s="126">
        <f t="shared" si="6"/>
        <v>4.0809079784285794E-2</v>
      </c>
      <c r="AG16" s="126">
        <f t="shared" si="7"/>
        <v>8.3791252790394143E-3</v>
      </c>
      <c r="AH16" s="126">
        <f t="shared" si="8"/>
        <v>2.3678838342651214E-2</v>
      </c>
      <c r="AI16" s="126">
        <f t="shared" si="9"/>
        <v>1.210524961698942E-2</v>
      </c>
      <c r="AJ16" s="126">
        <f t="shared" si="10"/>
        <v>2.8708547328486864E-2</v>
      </c>
      <c r="AK16" s="126">
        <f t="shared" si="11"/>
        <v>5.6282145369244578E-2</v>
      </c>
      <c r="AL16" s="126">
        <f t="shared" si="12"/>
        <v>6.602781565673467E-2</v>
      </c>
      <c r="AM16" s="127">
        <f t="shared" si="13"/>
        <v>3.7708246452717399E-2</v>
      </c>
      <c r="AN16" s="125">
        <f t="shared" si="14"/>
        <v>7.8888545843800936E-2</v>
      </c>
      <c r="AO16" s="126">
        <f t="shared" si="15"/>
        <v>2.4860012848318858E-3</v>
      </c>
      <c r="AP16" s="126">
        <f t="shared" si="16"/>
        <v>7.0273594147758148E-2</v>
      </c>
      <c r="AQ16" s="126">
        <f t="shared" si="17"/>
        <v>1.2331628213368995E-2</v>
      </c>
      <c r="AR16" s="126">
        <f t="shared" si="18"/>
        <v>5.750818822382292E-2</v>
      </c>
      <c r="AS16" s="126">
        <f t="shared" si="19"/>
        <v>2.7735792925434218E-2</v>
      </c>
      <c r="AT16" s="126">
        <f t="shared" si="20"/>
        <v>6.9525767817119111E-2</v>
      </c>
      <c r="AU16" s="126">
        <f t="shared" si="21"/>
        <v>0.13036493730764739</v>
      </c>
      <c r="AV16" s="126">
        <f t="shared" si="22"/>
        <v>0.13807634542370315</v>
      </c>
      <c r="AW16" s="127">
        <f t="shared" si="23"/>
        <v>8.4597527268801112E-2</v>
      </c>
      <c r="AX16" s="264">
        <f t="shared" si="24"/>
        <v>0.99999999999999989</v>
      </c>
    </row>
    <row r="17" spans="1:50" x14ac:dyDescent="0.4">
      <c r="A17" s="244"/>
      <c r="B17" s="248" t="s">
        <v>303</v>
      </c>
      <c r="C17" s="279" t="s">
        <v>270</v>
      </c>
      <c r="D17" s="279"/>
      <c r="E17" s="279"/>
      <c r="F17" s="279"/>
      <c r="G17" s="279"/>
      <c r="H17" s="279"/>
      <c r="I17" s="279"/>
      <c r="J17" s="279"/>
      <c r="K17" s="279"/>
      <c r="L17" s="279"/>
      <c r="M17" s="279" t="s">
        <v>270</v>
      </c>
      <c r="N17" s="279"/>
      <c r="O17" s="279"/>
      <c r="P17" s="279"/>
      <c r="Q17" s="279"/>
      <c r="R17" s="279"/>
      <c r="S17" s="279"/>
      <c r="T17" s="279"/>
      <c r="U17" s="279"/>
      <c r="V17" s="279"/>
      <c r="W17" s="250"/>
      <c r="X17">
        <f t="shared" si="3"/>
        <v>80</v>
      </c>
      <c r="Y17" s="111">
        <f>Lecanemab_hcc!F17</f>
        <v>4.972845894543243E-2</v>
      </c>
      <c r="Z17" s="111">
        <f>Lecanemab_hcc!G17</f>
        <v>6.7002078676466792E-2</v>
      </c>
      <c r="AA17" s="111">
        <f>Lecanemab_hcc!H17</f>
        <v>0.11775156048840807</v>
      </c>
      <c r="AB17" s="111">
        <f>Lecanemab_hcc!I17</f>
        <v>0.21744726008184811</v>
      </c>
      <c r="AD17" s="266">
        <f t="shared" si="4"/>
        <v>3.7746004509096612E-2</v>
      </c>
      <c r="AE17" s="126">
        <f t="shared" si="5"/>
        <v>1.3674289411576255E-3</v>
      </c>
      <c r="AF17" s="126">
        <f t="shared" si="6"/>
        <v>2.9410297405042821E-2</v>
      </c>
      <c r="AG17" s="126">
        <f t="shared" si="7"/>
        <v>6.5416074889158432E-3</v>
      </c>
      <c r="AH17" s="126">
        <f t="shared" si="8"/>
        <v>1.7244031872296579E-2</v>
      </c>
      <c r="AI17" s="126">
        <f t="shared" si="9"/>
        <v>9.6968103190845662E-3</v>
      </c>
      <c r="AJ17" s="126">
        <f t="shared" si="10"/>
        <v>2.1583567208822499E-2</v>
      </c>
      <c r="AK17" s="126">
        <f t="shared" si="11"/>
        <v>4.998622353311899E-2</v>
      </c>
      <c r="AL17" s="126">
        <f t="shared" si="12"/>
        <v>6.6518114800410921E-2</v>
      </c>
      <c r="AM17" s="127">
        <f t="shared" si="13"/>
        <v>4.5450068165083027E-2</v>
      </c>
      <c r="AN17" s="125">
        <f t="shared" si="14"/>
        <v>6.5658634155655565E-2</v>
      </c>
      <c r="AO17" s="126">
        <f t="shared" si="15"/>
        <v>2.4943383698091599E-3</v>
      </c>
      <c r="AP17" s="126">
        <f t="shared" si="16"/>
        <v>5.9396740312370695E-2</v>
      </c>
      <c r="AQ17" s="126">
        <f t="shared" si="17"/>
        <v>1.1327516524642461E-2</v>
      </c>
      <c r="AR17" s="126">
        <f t="shared" si="18"/>
        <v>4.9923720151789634E-2</v>
      </c>
      <c r="AS17" s="126">
        <f t="shared" si="19"/>
        <v>2.6684172127611549E-2</v>
      </c>
      <c r="AT17" s="126">
        <f t="shared" si="20"/>
        <v>6.3416271143765482E-2</v>
      </c>
      <c r="AU17" s="126">
        <f t="shared" si="21"/>
        <v>0.14124760321009056</v>
      </c>
      <c r="AV17" s="126">
        <f t="shared" si="22"/>
        <v>0.169617483174897</v>
      </c>
      <c r="AW17" s="127">
        <f t="shared" si="23"/>
        <v>0.12468936658633835</v>
      </c>
      <c r="AX17" s="264">
        <f t="shared" si="24"/>
        <v>0.99999999999999989</v>
      </c>
    </row>
    <row r="18" spans="1:50" x14ac:dyDescent="0.4">
      <c r="A18" s="244"/>
      <c r="B18" s="256" t="s">
        <v>271</v>
      </c>
      <c r="C18" s="238" t="s">
        <v>272</v>
      </c>
      <c r="D18" s="238" t="s">
        <v>273</v>
      </c>
      <c r="E18" s="238" t="s">
        <v>274</v>
      </c>
      <c r="F18" s="238" t="s">
        <v>275</v>
      </c>
      <c r="G18" s="238" t="s">
        <v>276</v>
      </c>
      <c r="H18" s="238" t="s">
        <v>277</v>
      </c>
      <c r="I18" s="238" t="s">
        <v>278</v>
      </c>
      <c r="J18" s="238" t="s">
        <v>279</v>
      </c>
      <c r="K18" s="238" t="s">
        <v>301</v>
      </c>
      <c r="L18" s="238" t="s">
        <v>302</v>
      </c>
      <c r="M18" s="238" t="s">
        <v>272</v>
      </c>
      <c r="N18" s="238" t="s">
        <v>273</v>
      </c>
      <c r="O18" s="238" t="s">
        <v>274</v>
      </c>
      <c r="P18" s="238" t="s">
        <v>275</v>
      </c>
      <c r="Q18" s="238" t="s">
        <v>276</v>
      </c>
      <c r="R18" s="238" t="s">
        <v>277</v>
      </c>
      <c r="S18" s="238" t="s">
        <v>278</v>
      </c>
      <c r="T18" s="238" t="s">
        <v>279</v>
      </c>
      <c r="U18" s="238" t="s">
        <v>301</v>
      </c>
      <c r="V18" s="238" t="s">
        <v>302</v>
      </c>
      <c r="W18" s="252" t="s">
        <v>295</v>
      </c>
      <c r="X18">
        <f t="shared" si="3"/>
        <v>81</v>
      </c>
      <c r="Y18" s="111">
        <f>Lecanemab_hcc!F18</f>
        <v>5.7251654003104502E-2</v>
      </c>
      <c r="Z18" s="111">
        <f>Lecanemab_hcc!G18</f>
        <v>7.7030725748545636E-2</v>
      </c>
      <c r="AA18" s="111">
        <f>Lecanemab_hcc!H18</f>
        <v>0.13480810978755453</v>
      </c>
      <c r="AB18" s="111">
        <f>Lecanemab_hcc!I18</f>
        <v>0.24678309076341653</v>
      </c>
      <c r="AD18" s="266">
        <f t="shared" si="4"/>
        <v>2.6733789165124464E-2</v>
      </c>
      <c r="AE18" s="126">
        <f t="shared" si="5"/>
        <v>1.1426561044053044E-3</v>
      </c>
      <c r="AF18" s="126">
        <f t="shared" si="6"/>
        <v>2.0949220953031741E-2</v>
      </c>
      <c r="AG18" s="126">
        <f t="shared" si="7"/>
        <v>4.9995590509464005E-3</v>
      </c>
      <c r="AH18" s="126">
        <f t="shared" si="8"/>
        <v>1.2325722161962687E-2</v>
      </c>
      <c r="AI18" s="126">
        <f t="shared" si="9"/>
        <v>7.524846260852436E-3</v>
      </c>
      <c r="AJ18" s="126">
        <f t="shared" si="10"/>
        <v>1.5590445452841504E-2</v>
      </c>
      <c r="AK18" s="126">
        <f t="shared" si="11"/>
        <v>4.1657526573323285E-2</v>
      </c>
      <c r="AL18" s="126">
        <f t="shared" si="12"/>
        <v>6.5531788430610194E-2</v>
      </c>
      <c r="AM18" s="127">
        <f t="shared" si="13"/>
        <v>5.1967860038337629E-2</v>
      </c>
      <c r="AN18" s="125">
        <f t="shared" si="14"/>
        <v>5.3608796303540457E-2</v>
      </c>
      <c r="AO18" s="126">
        <f t="shared" si="15"/>
        <v>2.4043663563160463E-3</v>
      </c>
      <c r="AP18" s="126">
        <f t="shared" si="16"/>
        <v>4.9001867649027496E-2</v>
      </c>
      <c r="AQ18" s="126">
        <f t="shared" si="17"/>
        <v>1.0070472092196687E-2</v>
      </c>
      <c r="AR18" s="126">
        <f t="shared" si="18"/>
        <v>4.1896843476017312E-2</v>
      </c>
      <c r="AS18" s="126">
        <f t="shared" si="19"/>
        <v>2.4540449922910986E-2</v>
      </c>
      <c r="AT18" s="126">
        <f t="shared" si="20"/>
        <v>5.4719829025608423E-2</v>
      </c>
      <c r="AU18" s="126">
        <f t="shared" si="21"/>
        <v>0.14181758039019327</v>
      </c>
      <c r="AV18" s="126">
        <f t="shared" si="22"/>
        <v>0.20124607962238034</v>
      </c>
      <c r="AW18" s="127">
        <f t="shared" si="23"/>
        <v>0.17227030097037327</v>
      </c>
      <c r="AX18" s="264">
        <f t="shared" si="24"/>
        <v>0.99999999999999978</v>
      </c>
    </row>
    <row r="19" spans="1:50" x14ac:dyDescent="0.4">
      <c r="A19" s="244"/>
      <c r="B19" s="251" t="s">
        <v>272</v>
      </c>
      <c r="C19" s="240">
        <f>(1-DC_rate_trt)*(1-Y8)*(1-(Trt_mci_mild))*(1-0)</f>
        <v>0.71550537453354779</v>
      </c>
      <c r="D19" s="239">
        <f>(1-DC_rate_trt)*(1-Y8)*(1-(Trt_mci_mild))*0</f>
        <v>0</v>
      </c>
      <c r="E19" s="240">
        <f>(1-DC_rate_trt)*(1-Y8)*Trt_mci_mild*(1-0)</f>
        <v>0.14138728957848551</v>
      </c>
      <c r="F19" s="240">
        <f>(1-DC_rate_trt)*(1-Y8)*Trt_mci_mild*(0)</f>
        <v>0</v>
      </c>
      <c r="G19" s="237">
        <v>0</v>
      </c>
      <c r="H19" s="237">
        <v>0</v>
      </c>
      <c r="I19" s="237">
        <v>0</v>
      </c>
      <c r="J19" s="237">
        <v>0</v>
      </c>
      <c r="K19" s="240">
        <f>(1-DC_rate_trt)*Y8*(1-0)</f>
        <v>1.310733588796662E-2</v>
      </c>
      <c r="L19" s="240">
        <f>(1-DC_rate_trt)*Y8*0</f>
        <v>0</v>
      </c>
      <c r="M19" s="240">
        <f>(DC_rate_trt)*(1-Y8)*(1-(0.23))*(1-0)</f>
        <v>9.8591903077717868E-2</v>
      </c>
      <c r="N19" s="239">
        <f>(DC_rate_trt)*(1-Y8)*(1-(0.23))*0</f>
        <v>0</v>
      </c>
      <c r="O19" s="240">
        <f>(DC_rate_trt)*(1-Y8)*0.23*(1-0)</f>
        <v>2.9449529490746897E-2</v>
      </c>
      <c r="P19" s="240">
        <f>(DC_rate_trt)*(1-Y8)*0.23*(0)</f>
        <v>0</v>
      </c>
      <c r="Q19" s="237">
        <v>0</v>
      </c>
      <c r="R19" s="237">
        <v>0</v>
      </c>
      <c r="S19" s="237">
        <v>0</v>
      </c>
      <c r="T19" s="237">
        <v>0</v>
      </c>
      <c r="U19" s="240">
        <f>(DC_rate_trt)*Y8*(1-0)</f>
        <v>1.958567431535242E-3</v>
      </c>
      <c r="V19" s="240">
        <f>(DC_rate_trt)*Y8*0</f>
        <v>0</v>
      </c>
      <c r="W19" s="230">
        <f>SUM(C19:V19)</f>
        <v>1</v>
      </c>
      <c r="X19">
        <f t="shared" si="3"/>
        <v>82</v>
      </c>
      <c r="Y19" s="111">
        <f>Lecanemab_hcc!F19</f>
        <v>6.6035982757058131E-2</v>
      </c>
      <c r="Z19" s="111">
        <f>Lecanemab_hcc!G19</f>
        <v>8.8704119559237626E-2</v>
      </c>
      <c r="AA19" s="111">
        <f>Lecanemab_hcc!H19</f>
        <v>0.15447457622922944</v>
      </c>
      <c r="AB19" s="111">
        <f>Lecanemab_hcc!I19</f>
        <v>0.27992707068676714</v>
      </c>
      <c r="AD19" s="266">
        <f t="shared" si="4"/>
        <v>1.8785790567300814E-2</v>
      </c>
      <c r="AE19" s="126">
        <f t="shared" si="5"/>
        <v>9.3075188942177566E-4</v>
      </c>
      <c r="AF19" s="126">
        <f t="shared" si="6"/>
        <v>1.4750327047200314E-2</v>
      </c>
      <c r="AG19" s="126">
        <f t="shared" si="7"/>
        <v>3.7455330103644373E-3</v>
      </c>
      <c r="AH19" s="126">
        <f t="shared" si="8"/>
        <v>8.660093106675924E-3</v>
      </c>
      <c r="AI19" s="126">
        <f t="shared" si="9"/>
        <v>5.6652676469576653E-3</v>
      </c>
      <c r="AJ19" s="126">
        <f t="shared" si="10"/>
        <v>1.0872732765646771E-2</v>
      </c>
      <c r="AK19" s="126">
        <f t="shared" si="11"/>
        <v>3.2746332860852545E-2</v>
      </c>
      <c r="AL19" s="126">
        <f t="shared" si="12"/>
        <v>6.3282239406784485E-2</v>
      </c>
      <c r="AM19" s="127">
        <f t="shared" si="13"/>
        <v>5.6689302045344281E-2</v>
      </c>
      <c r="AN19" s="125">
        <f t="shared" si="14"/>
        <v>4.3004758905756016E-2</v>
      </c>
      <c r="AO19" s="126">
        <f t="shared" si="15"/>
        <v>2.2379134204504507E-3</v>
      </c>
      <c r="AP19" s="126">
        <f t="shared" si="16"/>
        <v>3.9561138086735163E-2</v>
      </c>
      <c r="AQ19" s="126">
        <f t="shared" si="17"/>
        <v>8.6952277576272437E-3</v>
      </c>
      <c r="AR19" s="126">
        <f t="shared" si="18"/>
        <v>3.4138440719059422E-2</v>
      </c>
      <c r="AS19" s="126">
        <f t="shared" si="19"/>
        <v>2.1660074619208197E-2</v>
      </c>
      <c r="AT19" s="126">
        <f t="shared" si="20"/>
        <v>4.4984790016777611E-2</v>
      </c>
      <c r="AU19" s="126">
        <f t="shared" si="21"/>
        <v>0.13293049678008786</v>
      </c>
      <c r="AV19" s="126">
        <f t="shared" si="22"/>
        <v>0.23174754183526031</v>
      </c>
      <c r="AW19" s="127">
        <f t="shared" si="23"/>
        <v>0.22491124751248864</v>
      </c>
      <c r="AX19" s="264">
        <f t="shared" si="24"/>
        <v>1</v>
      </c>
    </row>
    <row r="20" spans="1:50" x14ac:dyDescent="0.4">
      <c r="A20" s="244"/>
      <c r="B20" s="251" t="s">
        <v>273</v>
      </c>
      <c r="C20" s="237">
        <v>0</v>
      </c>
      <c r="D20" s="239">
        <f>(1-DC_rate_trt)*(1-Y8)*(1-(Trt_mci_mild))</f>
        <v>0.71550537453354779</v>
      </c>
      <c r="E20" s="237">
        <v>0</v>
      </c>
      <c r="F20" s="240">
        <f>(1-DC_rate_trt)*(1-Y8)*Trt_mci_mild</f>
        <v>0.14138728957848551</v>
      </c>
      <c r="G20" s="237">
        <v>0</v>
      </c>
      <c r="H20" s="237">
        <v>0</v>
      </c>
      <c r="I20" s="237">
        <v>0</v>
      </c>
      <c r="J20" s="237">
        <v>0</v>
      </c>
      <c r="K20" s="237">
        <v>0</v>
      </c>
      <c r="L20" s="237">
        <f>(1-DC_rate_trt)*Y8</f>
        <v>1.310733588796662E-2</v>
      </c>
      <c r="M20" s="237">
        <v>0</v>
      </c>
      <c r="N20" s="239">
        <f>(DC_rate_trt)*(1-Y8)*(1-(0.23))</f>
        <v>9.8591903077717868E-2</v>
      </c>
      <c r="O20" s="237">
        <v>0</v>
      </c>
      <c r="P20" s="240">
        <f>(DC_rate_trt)*(1-Y8)*0.23</f>
        <v>2.9449529490746897E-2</v>
      </c>
      <c r="Q20" s="237">
        <v>0</v>
      </c>
      <c r="R20" s="237">
        <v>0</v>
      </c>
      <c r="S20" s="237">
        <v>0</v>
      </c>
      <c r="T20" s="237">
        <v>0</v>
      </c>
      <c r="U20" s="237">
        <v>0</v>
      </c>
      <c r="V20" s="237">
        <f>(DC_rate_trt)*Y8</f>
        <v>1.958567431535242E-3</v>
      </c>
      <c r="W20" s="230">
        <f>SUM(C20:V20)</f>
        <v>1</v>
      </c>
      <c r="X20">
        <f t="shared" si="3"/>
        <v>83</v>
      </c>
      <c r="Y20" s="111">
        <f>Lecanemab_hcc!F20</f>
        <v>7.6062995019991475E-2</v>
      </c>
      <c r="Z20" s="111">
        <f>Lecanemab_hcc!G20</f>
        <v>0.10198070718378116</v>
      </c>
      <c r="AA20" s="111">
        <f>Lecanemab_hcc!H20</f>
        <v>0.17659629300437474</v>
      </c>
      <c r="AB20" s="111">
        <f>Lecanemab_hcc!I20</f>
        <v>0.3163367593772809</v>
      </c>
      <c r="AD20" s="266">
        <f t="shared" si="4"/>
        <v>1.3077286669638324E-2</v>
      </c>
      <c r="AE20" s="126">
        <f t="shared" si="5"/>
        <v>7.398775324658763E-4</v>
      </c>
      <c r="AF20" s="126">
        <f t="shared" si="6"/>
        <v>1.0255730709293117E-2</v>
      </c>
      <c r="AG20" s="126">
        <f t="shared" si="7"/>
        <v>2.7501352838053333E-3</v>
      </c>
      <c r="AH20" s="126">
        <f t="shared" si="8"/>
        <v>5.9784265709092697E-3</v>
      </c>
      <c r="AI20" s="126">
        <f t="shared" si="9"/>
        <v>4.134019786971586E-3</v>
      </c>
      <c r="AJ20" s="126">
        <f t="shared" si="10"/>
        <v>7.328927965946733E-3</v>
      </c>
      <c r="AK20" s="126">
        <f t="shared" si="11"/>
        <v>2.4283858880823704E-2</v>
      </c>
      <c r="AL20" s="126">
        <f t="shared" si="12"/>
        <v>6.0084882818263227E-2</v>
      </c>
      <c r="AM20" s="127">
        <f t="shared" si="13"/>
        <v>5.9398535983380463E-2</v>
      </c>
      <c r="AN20" s="125">
        <f t="shared" si="14"/>
        <v>3.3903119733702546E-2</v>
      </c>
      <c r="AO20" s="126">
        <f t="shared" si="15"/>
        <v>2.0171603769908422E-3</v>
      </c>
      <c r="AP20" s="126">
        <f t="shared" si="16"/>
        <v>3.1282081988884866E-2</v>
      </c>
      <c r="AQ20" s="126">
        <f t="shared" si="17"/>
        <v>7.3013315049080766E-3</v>
      </c>
      <c r="AR20" s="126">
        <f t="shared" si="18"/>
        <v>2.7053691344670776E-2</v>
      </c>
      <c r="AS20" s="126">
        <f t="shared" si="19"/>
        <v>1.8359627912495548E-2</v>
      </c>
      <c r="AT20" s="126">
        <f t="shared" si="20"/>
        <v>3.5329000126171309E-2</v>
      </c>
      <c r="AU20" s="126">
        <f t="shared" si="21"/>
        <v>0.11651873142466711</v>
      </c>
      <c r="AV20" s="126">
        <f t="shared" si="22"/>
        <v>0.26032434073875549</v>
      </c>
      <c r="AW20" s="127">
        <f t="shared" si="23"/>
        <v>0.27987923264725567</v>
      </c>
      <c r="AX20" s="264">
        <f t="shared" si="24"/>
        <v>0.99999999999999989</v>
      </c>
    </row>
    <row r="21" spans="1:50" x14ac:dyDescent="0.4">
      <c r="A21" s="244"/>
      <c r="B21" s="251" t="s">
        <v>274</v>
      </c>
      <c r="C21" s="239">
        <f>(1-DC_rate_trt)*(1-Z8)*(0.03)*(1-LTC_Mild)</f>
        <v>2.4160637165579563E-2</v>
      </c>
      <c r="D21" s="239">
        <f>(1-DC_rate_trt)*(1-Z8)*(0.03)*(LTC_Mild)</f>
        <v>1.4061746498485459E-3</v>
      </c>
      <c r="E21" s="240">
        <f>(1-DC_rate_trt)*(1-Z8)*(1-(0.03+Trt_mild_mod+Trt_mild_sev))*(1-LTC_Mild)</f>
        <v>0.55174841740461866</v>
      </c>
      <c r="F21" s="240">
        <f>(1-DC_rate_trt)*(1-Z8)*(1-(0.03+Trt_mild_mod+Trt_mild_sev))*(LTC_Mild)</f>
        <v>3.2112341753707967E-2</v>
      </c>
      <c r="G21" s="240">
        <f>(1-DC_rate_trt)*(1-Z8)*(Trt_mild_mod)*(1-LTC_Mild)</f>
        <v>0.20705666050901683</v>
      </c>
      <c r="H21" s="240">
        <f>(1-DC_rate_trt)*(1-Z8)*(Trt_mild_mod)*(LTC_Mild)</f>
        <v>1.2050916749202039E-2</v>
      </c>
      <c r="I21" s="240">
        <f>(1-DC_rate_trt)*(1-Z8)*(Trt_mild_sev)*(1-LTC_Mild)</f>
        <v>2.2388857106770393E-2</v>
      </c>
      <c r="J21" s="240">
        <f>(1-DC_rate_trt)*(1-Z8)*(Trt_mild_sev)*(LTC_Mild)</f>
        <v>1.3030551755263192E-3</v>
      </c>
      <c r="K21" s="240">
        <f>(1-DC_rate_trt)*Z8*(1-LTC_Mild)</f>
        <v>1.6795427814014569E-2</v>
      </c>
      <c r="L21" s="240">
        <f>(1-DC_rate_trt)*Z8*LTC_Mild</f>
        <v>9.7751167171513374E-4</v>
      </c>
      <c r="M21" s="239">
        <f>(DC_rate_trt)*(1-Z8)*(0.03)*(1-LTC_Mild)</f>
        <v>3.6102101511785549E-3</v>
      </c>
      <c r="N21" s="239">
        <f>(DC_rate_trt)*(1-Z8)*(0.03)*(LTC_Mild)</f>
        <v>2.101180511267942E-4</v>
      </c>
      <c r="O21" s="240">
        <f>(DC_rate_trt)*(1-Z8)*(1-(0.03+0.35+0.04))*(1-LTC_Mild)</f>
        <v>6.9797396256118735E-2</v>
      </c>
      <c r="P21" s="240">
        <f>(DC_rate_trt)*(1-Z8)*(1-(0.03+0.35+0.04))*(LTC_Mild)</f>
        <v>4.0622823217846887E-3</v>
      </c>
      <c r="Q21" s="240">
        <f>(DC_rate_trt)*(1-Z8)*(0.35)*(1-LTC_Mild)</f>
        <v>4.2119118430416477E-2</v>
      </c>
      <c r="R21" s="240">
        <f>(DC_rate_trt)*(1-Z8)*(0.35)*(LTC_Mild)</f>
        <v>2.4513772631459328E-3</v>
      </c>
      <c r="S21" s="240">
        <f>(DC_rate_trt)*(1-Z8)*(0.04)*(1-LTC_Mild)</f>
        <v>4.8136135349047399E-3</v>
      </c>
      <c r="T21" s="240">
        <f>(DC_rate_trt)*(1-Z8)*(0.04)*(LTC_Mild)</f>
        <v>2.8015740150239227E-4</v>
      </c>
      <c r="U21" s="240">
        <f>(DC_rate_trt)*Z8*(1-LTC_Mild)</f>
        <v>2.5096616273814873E-3</v>
      </c>
      <c r="V21" s="240">
        <f>(DC_rate_trt)*Z8*LTC_Mild</f>
        <v>1.4606496244019241E-4</v>
      </c>
      <c r="W21" s="230">
        <f>SUM(C21:V21)</f>
        <v>1</v>
      </c>
      <c r="X21">
        <f t="shared" si="3"/>
        <v>84</v>
      </c>
      <c r="Y21" s="111">
        <f>Lecanemab_hcc!F21</f>
        <v>8.7161206574002503E-2</v>
      </c>
      <c r="Z21" s="111">
        <f>Lecanemab_hcc!G21</f>
        <v>0.1166153330973847</v>
      </c>
      <c r="AA21" s="111">
        <f>Lecanemab_hcc!H21</f>
        <v>0.20067697726655465</v>
      </c>
      <c r="AB21" s="111">
        <f>Lecanemab_hcc!I21</f>
        <v>0.35491983638905999</v>
      </c>
      <c r="AD21" s="266">
        <f t="shared" si="4"/>
        <v>9.0045530345987598E-3</v>
      </c>
      <c r="AE21" s="126">
        <f t="shared" si="5"/>
        <v>5.742806247820355E-4</v>
      </c>
      <c r="AF21" s="126">
        <f t="shared" si="6"/>
        <v>7.0334678900964573E-3</v>
      </c>
      <c r="AG21" s="126">
        <f t="shared" si="7"/>
        <v>1.9778687360426112E-3</v>
      </c>
      <c r="AH21" s="126">
        <f t="shared" si="8"/>
        <v>4.0526726463881351E-3</v>
      </c>
      <c r="AI21" s="126">
        <f t="shared" si="9"/>
        <v>2.9201149904710196E-3</v>
      </c>
      <c r="AJ21" s="126">
        <f t="shared" si="10"/>
        <v>4.7792695315502284E-3</v>
      </c>
      <c r="AK21" s="126">
        <f t="shared" si="11"/>
        <v>1.6972578135158577E-2</v>
      </c>
      <c r="AL21" s="126">
        <f t="shared" si="12"/>
        <v>5.6216363764357E-2</v>
      </c>
      <c r="AM21" s="127">
        <f t="shared" si="13"/>
        <v>6.0056394161858109E-2</v>
      </c>
      <c r="AN21" s="125">
        <f t="shared" si="14"/>
        <v>2.6261660780185974E-2</v>
      </c>
      <c r="AO21" s="126">
        <f t="shared" si="15"/>
        <v>1.7639372210174642E-3</v>
      </c>
      <c r="AP21" s="126">
        <f t="shared" si="16"/>
        <v>2.423282524171819E-2</v>
      </c>
      <c r="AQ21" s="126">
        <f t="shared" si="17"/>
        <v>5.9649754972922846E-3</v>
      </c>
      <c r="AR21" s="126">
        <f t="shared" si="18"/>
        <v>2.0871663031119932E-2</v>
      </c>
      <c r="AS21" s="126">
        <f t="shared" si="19"/>
        <v>1.4939951887733161E-2</v>
      </c>
      <c r="AT21" s="126">
        <f t="shared" si="20"/>
        <v>2.6560730068939789E-2</v>
      </c>
      <c r="AU21" s="126">
        <f t="shared" si="21"/>
        <v>9.551721807358135E-2</v>
      </c>
      <c r="AV21" s="126">
        <f t="shared" si="22"/>
        <v>0.28633271669875787</v>
      </c>
      <c r="AW21" s="127">
        <f t="shared" si="23"/>
        <v>0.33396675798435088</v>
      </c>
      <c r="AX21" s="264">
        <f t="shared" si="24"/>
        <v>0.99999999999999978</v>
      </c>
    </row>
    <row r="22" spans="1:50" x14ac:dyDescent="0.4">
      <c r="A22" s="244"/>
      <c r="B22" s="257" t="s">
        <v>275</v>
      </c>
      <c r="C22" s="110">
        <v>0</v>
      </c>
      <c r="D22" s="109">
        <f>(1-DC_rate_trt)*(1-Z8)*(0.03)</f>
        <v>2.5566811815428109E-2</v>
      </c>
      <c r="E22" s="110">
        <v>0</v>
      </c>
      <c r="F22" s="113">
        <f>(1-DC_rate_trt)*(1-Z8)*(1-(0.03+Trt_mild_mod+Trt_mild_sev))</f>
        <v>0.58386075915832669</v>
      </c>
      <c r="G22" s="110">
        <v>0</v>
      </c>
      <c r="H22" s="113">
        <f>(1-DC_rate_trt)*(1-Z8)*(Trt_mild_mod)</f>
        <v>0.21910757725821889</v>
      </c>
      <c r="I22" s="110">
        <v>0</v>
      </c>
      <c r="J22" s="113">
        <f>(1-DC_rate_trt)*(1-Z8)*(Trt_mild_sev)</f>
        <v>2.3691912282296713E-2</v>
      </c>
      <c r="K22" s="110">
        <v>0</v>
      </c>
      <c r="L22" s="110">
        <f>(1-DC_rate_trt)*Z8</f>
        <v>1.7772939485729704E-2</v>
      </c>
      <c r="M22" s="110">
        <v>0</v>
      </c>
      <c r="N22" s="109">
        <f>(DC_rate_trt)*(1-Z8)*(0.03)</f>
        <v>3.8203282023053491E-3</v>
      </c>
      <c r="O22" s="110">
        <v>0</v>
      </c>
      <c r="P22" s="113">
        <f>(DC_rate_trt)*(1-Z8)*(1-(0.03+0.35+0.04))</f>
        <v>7.3859678577903431E-2</v>
      </c>
      <c r="Q22" s="110">
        <v>0</v>
      </c>
      <c r="R22" s="113">
        <f>(DC_rate_trt)*(1-Z8)*(0.35)</f>
        <v>4.4570495693562411E-2</v>
      </c>
      <c r="S22" s="110">
        <v>0</v>
      </c>
      <c r="T22" s="113">
        <f>(DC_rate_trt)*(1-Z8)*(0.04)</f>
        <v>5.0937709364071325E-3</v>
      </c>
      <c r="U22" s="110">
        <v>0</v>
      </c>
      <c r="V22" s="110">
        <f>(DC_rate_trt)*Z8</f>
        <v>2.65572658982168E-3</v>
      </c>
      <c r="W22" s="258">
        <f>SUM(C22:V22)</f>
        <v>1</v>
      </c>
      <c r="X22">
        <f t="shared" si="3"/>
        <v>85</v>
      </c>
      <c r="Y22" s="111">
        <f>Lecanemab_hcc!F22</f>
        <v>9.9347691695008566E-2</v>
      </c>
      <c r="Z22" s="111">
        <f>Lecanemab_hcc!G22</f>
        <v>0.13261143750077753</v>
      </c>
      <c r="AA22" s="111">
        <f>Lecanemab_hcc!H22</f>
        <v>0.22663231220202829</v>
      </c>
      <c r="AB22" s="111">
        <f>Lecanemab_hcc!I22</f>
        <v>0.39527837169256685</v>
      </c>
      <c r="AD22" s="266">
        <f t="shared" si="4"/>
        <v>6.1244518293981868E-3</v>
      </c>
      <c r="AE22" s="126">
        <f t="shared" si="5"/>
        <v>4.3534525589552451E-4</v>
      </c>
      <c r="AF22" s="126">
        <f t="shared" si="6"/>
        <v>4.7529747777045588E-3</v>
      </c>
      <c r="AG22" s="126">
        <f t="shared" si="7"/>
        <v>1.3924237080574055E-3</v>
      </c>
      <c r="AH22" s="126">
        <f t="shared" si="8"/>
        <v>2.6965352009465193E-3</v>
      </c>
      <c r="AI22" s="126">
        <f t="shared" si="9"/>
        <v>1.9951160382621455E-3</v>
      </c>
      <c r="AJ22" s="126">
        <f t="shared" si="10"/>
        <v>3.0199559965410428E-3</v>
      </c>
      <c r="AK22" s="126">
        <f t="shared" si="11"/>
        <v>1.1172551547710515E-2</v>
      </c>
      <c r="AL22" s="126">
        <f t="shared" si="12"/>
        <v>5.1918468714674357E-2</v>
      </c>
      <c r="AM22" s="127">
        <f t="shared" si="13"/>
        <v>5.8813357189123304E-2</v>
      </c>
      <c r="AN22" s="125">
        <f t="shared" si="14"/>
        <v>1.9980984076575982E-2</v>
      </c>
      <c r="AO22" s="126">
        <f t="shared" si="15"/>
        <v>1.4983005719385186E-3</v>
      </c>
      <c r="AP22" s="126">
        <f t="shared" si="16"/>
        <v>1.8391482918508794E-2</v>
      </c>
      <c r="AQ22" s="126">
        <f t="shared" si="17"/>
        <v>4.7418416748212892E-3</v>
      </c>
      <c r="AR22" s="126">
        <f t="shared" si="18"/>
        <v>1.5689068750299753E-2</v>
      </c>
      <c r="AS22" s="126">
        <f t="shared" si="19"/>
        <v>1.1667456348220855E-2</v>
      </c>
      <c r="AT22" s="126">
        <f t="shared" si="20"/>
        <v>1.9163417890589247E-2</v>
      </c>
      <c r="AU22" s="126">
        <f t="shared" si="21"/>
        <v>7.3221934379321868E-2</v>
      </c>
      <c r="AV22" s="126">
        <f t="shared" si="22"/>
        <v>0.309322284219048</v>
      </c>
      <c r="AW22" s="127">
        <f t="shared" si="23"/>
        <v>0.38400204891236195</v>
      </c>
      <c r="AX22" s="264">
        <f t="shared" si="24"/>
        <v>0.99999999999999978</v>
      </c>
    </row>
    <row r="23" spans="1:50" x14ac:dyDescent="0.4">
      <c r="A23" s="244"/>
      <c r="B23" s="251" t="s">
        <v>276</v>
      </c>
      <c r="C23" s="237">
        <v>0</v>
      </c>
      <c r="D23" s="237">
        <v>0</v>
      </c>
      <c r="E23" s="237">
        <v>0</v>
      </c>
      <c r="F23" s="237">
        <v>0</v>
      </c>
      <c r="G23" s="237">
        <v>0</v>
      </c>
      <c r="H23" s="237">
        <v>0</v>
      </c>
      <c r="I23" s="237">
        <v>0</v>
      </c>
      <c r="J23" s="237">
        <v>0</v>
      </c>
      <c r="K23" s="237">
        <v>0</v>
      </c>
      <c r="L23" s="237">
        <v>0</v>
      </c>
      <c r="M23" s="237">
        <v>0</v>
      </c>
      <c r="N23" s="237">
        <v>0</v>
      </c>
      <c r="O23" s="237">
        <v>0</v>
      </c>
      <c r="P23" s="237">
        <v>0</v>
      </c>
      <c r="Q23" s="237">
        <v>0</v>
      </c>
      <c r="R23" s="237">
        <v>0</v>
      </c>
      <c r="S23" s="237">
        <v>0</v>
      </c>
      <c r="T23" s="237">
        <v>0</v>
      </c>
      <c r="U23" s="237">
        <v>0</v>
      </c>
      <c r="V23" s="237">
        <v>0</v>
      </c>
      <c r="W23" s="230"/>
      <c r="X23">
        <f t="shared" si="3"/>
        <v>86</v>
      </c>
      <c r="Y23" s="111">
        <f>Lecanemab_hcc!F23</f>
        <v>0.11276235934045675</v>
      </c>
      <c r="Z23" s="111">
        <f>Lecanemab_hcc!G23</f>
        <v>0.15012985180403171</v>
      </c>
      <c r="AA23" s="111">
        <f>Lecanemab_hcc!H23</f>
        <v>0.25461809611425101</v>
      </c>
      <c r="AB23" s="111">
        <f>Lecanemab_hcc!I23</f>
        <v>0.43736445209676178</v>
      </c>
      <c r="AD23" s="266">
        <f t="shared" si="4"/>
        <v>4.108783159654527E-3</v>
      </c>
      <c r="AE23" s="126">
        <f t="shared" si="5"/>
        <v>3.2227816275415467E-4</v>
      </c>
      <c r="AF23" s="126">
        <f t="shared" si="6"/>
        <v>3.1611843631556358E-3</v>
      </c>
      <c r="AG23" s="126">
        <f t="shared" si="7"/>
        <v>9.5876781685477817E-4</v>
      </c>
      <c r="AH23" s="126">
        <f t="shared" si="8"/>
        <v>1.7599516273271274E-3</v>
      </c>
      <c r="AI23" s="126">
        <f t="shared" si="9"/>
        <v>1.3178586020877437E-3</v>
      </c>
      <c r="AJ23" s="126">
        <f t="shared" si="10"/>
        <v>1.8518119855304997E-3</v>
      </c>
      <c r="AK23" s="126">
        <f t="shared" si="11"/>
        <v>6.9203705473510277E-3</v>
      </c>
      <c r="AL23" s="126">
        <f t="shared" si="12"/>
        <v>4.740924612227336E-2</v>
      </c>
      <c r="AM23" s="127">
        <f t="shared" si="13"/>
        <v>5.6009174437743947E-2</v>
      </c>
      <c r="AN23" s="125">
        <f t="shared" si="14"/>
        <v>1.4923069196753161E-2</v>
      </c>
      <c r="AO23" s="126">
        <f t="shared" si="15"/>
        <v>1.236943670143239E-3</v>
      </c>
      <c r="AP23" s="126">
        <f t="shared" si="16"/>
        <v>1.3670975771417003E-2</v>
      </c>
      <c r="AQ23" s="126">
        <f t="shared" si="17"/>
        <v>3.6668203982970727E-3</v>
      </c>
      <c r="AR23" s="126">
        <f t="shared" si="18"/>
        <v>1.1494951830907216E-2</v>
      </c>
      <c r="AS23" s="126">
        <f t="shared" si="19"/>
        <v>8.7414115767689652E-3</v>
      </c>
      <c r="AT23" s="126">
        <f t="shared" si="20"/>
        <v>1.3298234419358021E-2</v>
      </c>
      <c r="AU23" s="126">
        <f t="shared" si="21"/>
        <v>5.2451041042126126E-2</v>
      </c>
      <c r="AV23" s="126">
        <f t="shared" si="22"/>
        <v>0.32911529233246312</v>
      </c>
      <c r="AW23" s="127">
        <f t="shared" si="23"/>
        <v>0.42758183293703311</v>
      </c>
      <c r="AX23" s="264">
        <f t="shared" si="24"/>
        <v>0.99999999999999978</v>
      </c>
    </row>
    <row r="24" spans="1:50" x14ac:dyDescent="0.4">
      <c r="A24" s="244"/>
      <c r="B24" s="251" t="s">
        <v>277</v>
      </c>
      <c r="C24" s="237">
        <v>0</v>
      </c>
      <c r="D24" s="237">
        <v>0</v>
      </c>
      <c r="E24" s="237">
        <v>0</v>
      </c>
      <c r="F24" s="237">
        <v>0</v>
      </c>
      <c r="G24" s="237">
        <v>0</v>
      </c>
      <c r="H24" s="237">
        <v>0</v>
      </c>
      <c r="I24" s="237">
        <v>0</v>
      </c>
      <c r="J24" s="237">
        <v>0</v>
      </c>
      <c r="K24" s="237">
        <v>0</v>
      </c>
      <c r="L24" s="237">
        <v>0</v>
      </c>
      <c r="M24" s="237">
        <v>0</v>
      </c>
      <c r="N24" s="237">
        <v>0</v>
      </c>
      <c r="O24" s="237">
        <v>0</v>
      </c>
      <c r="P24" s="237">
        <v>0</v>
      </c>
      <c r="Q24" s="237">
        <v>0</v>
      </c>
      <c r="R24" s="237">
        <v>0</v>
      </c>
      <c r="S24" s="237">
        <v>0</v>
      </c>
      <c r="T24" s="237">
        <v>0</v>
      </c>
      <c r="U24" s="237">
        <v>0</v>
      </c>
      <c r="V24" s="237">
        <v>0</v>
      </c>
      <c r="W24" s="230"/>
      <c r="X24">
        <f t="shared" si="3"/>
        <v>87</v>
      </c>
      <c r="Y24" s="111">
        <f>Lecanemab_hcc!F24</f>
        <v>0.12744286062794341</v>
      </c>
      <c r="Z24" s="111">
        <f>Lecanemab_hcc!G24</f>
        <v>0.16919242833842307</v>
      </c>
      <c r="AA24" s="111">
        <f>Lecanemab_hcc!H24</f>
        <v>0.28454643736239738</v>
      </c>
      <c r="AB24" s="111">
        <f>Lecanemab_hcc!I24</f>
        <v>0.48072773765230914</v>
      </c>
      <c r="AD24" s="266">
        <f t="shared" si="4"/>
        <v>2.7145131103091897E-3</v>
      </c>
      <c r="AE24" s="126">
        <f t="shared" si="5"/>
        <v>2.3284278726345528E-4</v>
      </c>
      <c r="AF24" s="126">
        <f t="shared" si="6"/>
        <v>2.0662648448599484E-3</v>
      </c>
      <c r="AG24" s="126">
        <f t="shared" si="7"/>
        <v>6.4494389256239523E-4</v>
      </c>
      <c r="AH24" s="126">
        <f t="shared" si="8"/>
        <v>1.1254968253048715E-3</v>
      </c>
      <c r="AI24" s="126">
        <f t="shared" si="9"/>
        <v>8.4131762673802883E-4</v>
      </c>
      <c r="AJ24" s="126">
        <f t="shared" si="10"/>
        <v>1.1028528097041088E-3</v>
      </c>
      <c r="AK24" s="126">
        <f t="shared" si="11"/>
        <v>4.0281557507896451E-3</v>
      </c>
      <c r="AL24" s="126">
        <f t="shared" si="12"/>
        <v>4.2873768485057626E-2</v>
      </c>
      <c r="AM24" s="127">
        <f t="shared" si="13"/>
        <v>5.2092745204928272E-2</v>
      </c>
      <c r="AN24" s="125">
        <f t="shared" si="14"/>
        <v>1.0930040616502915E-2</v>
      </c>
      <c r="AO24" s="126">
        <f t="shared" si="15"/>
        <v>9.9249934800844843E-4</v>
      </c>
      <c r="AP24" s="126">
        <f t="shared" si="16"/>
        <v>9.9452668614039962E-3</v>
      </c>
      <c r="AQ24" s="126">
        <f t="shared" si="17"/>
        <v>2.756286076371539E-3</v>
      </c>
      <c r="AR24" s="126">
        <f t="shared" si="18"/>
        <v>8.2067867094363905E-3</v>
      </c>
      <c r="AS24" s="126">
        <f t="shared" si="19"/>
        <v>6.2802695842538508E-3</v>
      </c>
      <c r="AT24" s="126">
        <f t="shared" si="20"/>
        <v>8.8895950118771695E-3</v>
      </c>
      <c r="AU24" s="126">
        <f t="shared" si="21"/>
        <v>3.5054728479256801E-2</v>
      </c>
      <c r="AV24" s="126">
        <f t="shared" si="22"/>
        <v>0.34577908573464805</v>
      </c>
      <c r="AW24" s="127">
        <f t="shared" si="23"/>
        <v>0.46344254024072318</v>
      </c>
      <c r="AX24" s="264">
        <f t="shared" si="24"/>
        <v>0.99999999999999989</v>
      </c>
    </row>
    <row r="25" spans="1:50" x14ac:dyDescent="0.4">
      <c r="A25" s="244"/>
      <c r="B25" s="251" t="s">
        <v>278</v>
      </c>
      <c r="C25" s="237">
        <v>0</v>
      </c>
      <c r="D25" s="237">
        <v>0</v>
      </c>
      <c r="E25" s="237">
        <v>0</v>
      </c>
      <c r="F25" s="237">
        <v>0</v>
      </c>
      <c r="G25" s="237">
        <v>0</v>
      </c>
      <c r="H25" s="237">
        <v>0</v>
      </c>
      <c r="I25" s="237">
        <v>0</v>
      </c>
      <c r="J25" s="237">
        <v>0</v>
      </c>
      <c r="K25" s="237">
        <v>0</v>
      </c>
      <c r="L25" s="237">
        <v>0</v>
      </c>
      <c r="M25" s="237">
        <v>0</v>
      </c>
      <c r="N25" s="237">
        <v>0</v>
      </c>
      <c r="O25" s="237">
        <v>0</v>
      </c>
      <c r="P25" s="237">
        <v>0</v>
      </c>
      <c r="Q25" s="237">
        <v>0</v>
      </c>
      <c r="R25" s="237">
        <v>0</v>
      </c>
      <c r="S25" s="237">
        <v>0</v>
      </c>
      <c r="T25" s="237">
        <v>0</v>
      </c>
      <c r="U25" s="237">
        <v>0</v>
      </c>
      <c r="V25" s="237">
        <v>0</v>
      </c>
      <c r="W25" s="230"/>
      <c r="X25">
        <f t="shared" si="3"/>
        <v>88</v>
      </c>
      <c r="Y25" s="111">
        <f>Lecanemab_hcc!F25</f>
        <v>0.14342069010275205</v>
      </c>
      <c r="Z25" s="111">
        <f>Lecanemab_hcc!G25</f>
        <v>0.18980884192976633</v>
      </c>
      <c r="AA25" s="111">
        <f>Lecanemab_hcc!H25</f>
        <v>0.31629659848191671</v>
      </c>
      <c r="AB25" s="111">
        <f>Lecanemab_hcc!I25</f>
        <v>0.52486986315146156</v>
      </c>
      <c r="AD25" s="266">
        <f t="shared" si="4"/>
        <v>1.7629868438630467E-3</v>
      </c>
      <c r="AE25" s="126">
        <f t="shared" si="5"/>
        <v>1.6404114692432492E-4</v>
      </c>
      <c r="AF25" s="126">
        <f t="shared" si="6"/>
        <v>1.3251725177755077E-3</v>
      </c>
      <c r="AG25" s="126">
        <f t="shared" si="7"/>
        <v>4.2329625755290048E-4</v>
      </c>
      <c r="AH25" s="126">
        <f t="shared" si="8"/>
        <v>7.0432257520686181E-4</v>
      </c>
      <c r="AI25" s="126">
        <f t="shared" si="9"/>
        <v>5.1919680705579598E-4</v>
      </c>
      <c r="AJ25" s="126">
        <f t="shared" si="10"/>
        <v>6.383721920910642E-4</v>
      </c>
      <c r="AK25" s="126">
        <f t="shared" si="11"/>
        <v>2.2019437466619155E-3</v>
      </c>
      <c r="AL25" s="126">
        <f t="shared" si="12"/>
        <v>3.8455135972719059E-2</v>
      </c>
      <c r="AM25" s="127">
        <f t="shared" si="13"/>
        <v>4.7524456103789782E-2</v>
      </c>
      <c r="AN25" s="125">
        <f t="shared" si="14"/>
        <v>7.8412350407398145E-3</v>
      </c>
      <c r="AO25" s="126">
        <f t="shared" si="15"/>
        <v>7.7367303252614498E-4</v>
      </c>
      <c r="AP25" s="126">
        <f t="shared" si="16"/>
        <v>7.0731723458276313E-3</v>
      </c>
      <c r="AQ25" s="126">
        <f t="shared" si="17"/>
        <v>2.0122268630313124E-3</v>
      </c>
      <c r="AR25" s="126">
        <f t="shared" si="18"/>
        <v>5.7061843244611285E-3</v>
      </c>
      <c r="AS25" s="126">
        <f t="shared" si="19"/>
        <v>4.3270618203472902E-3</v>
      </c>
      <c r="AT25" s="126">
        <f t="shared" si="20"/>
        <v>5.7330102356303305E-3</v>
      </c>
      <c r="AU25" s="126">
        <f t="shared" si="21"/>
        <v>2.1829416290581379E-2</v>
      </c>
      <c r="AV25" s="126">
        <f t="shared" si="22"/>
        <v>0.35954381873517138</v>
      </c>
      <c r="AW25" s="127">
        <f t="shared" si="23"/>
        <v>0.4914412771480432</v>
      </c>
      <c r="AX25" s="264">
        <f t="shared" si="24"/>
        <v>0.99999999999999989</v>
      </c>
    </row>
    <row r="26" spans="1:50" x14ac:dyDescent="0.4">
      <c r="A26" s="244"/>
      <c r="B26" s="251" t="s">
        <v>279</v>
      </c>
      <c r="C26" s="237">
        <v>0</v>
      </c>
      <c r="D26" s="237">
        <v>0</v>
      </c>
      <c r="E26" s="237">
        <v>0</v>
      </c>
      <c r="F26" s="237">
        <v>0</v>
      </c>
      <c r="G26" s="237">
        <v>0</v>
      </c>
      <c r="H26" s="237">
        <v>0</v>
      </c>
      <c r="I26" s="237">
        <v>0</v>
      </c>
      <c r="J26" s="237">
        <v>0</v>
      </c>
      <c r="K26" s="237">
        <v>0</v>
      </c>
      <c r="L26" s="237">
        <v>0</v>
      </c>
      <c r="M26" s="237">
        <v>0</v>
      </c>
      <c r="N26" s="237">
        <v>0</v>
      </c>
      <c r="O26" s="237">
        <v>0</v>
      </c>
      <c r="P26" s="237">
        <v>0</v>
      </c>
      <c r="Q26" s="237">
        <v>0</v>
      </c>
      <c r="R26" s="237">
        <v>0</v>
      </c>
      <c r="S26" s="237">
        <v>0</v>
      </c>
      <c r="T26" s="237">
        <v>0</v>
      </c>
      <c r="U26" s="237">
        <v>0</v>
      </c>
      <c r="V26" s="237">
        <v>0</v>
      </c>
      <c r="W26" s="230"/>
      <c r="X26">
        <f t="shared" si="3"/>
        <v>89</v>
      </c>
      <c r="Y26" s="111">
        <f>Lecanemab_hcc!F26</f>
        <v>0.16070994032977881</v>
      </c>
      <c r="Z26" s="111">
        <f>Lecanemab_hcc!G26</f>
        <v>0.21196206263431105</v>
      </c>
      <c r="AA26" s="111">
        <f>Lecanemab_hcc!H26</f>
        <v>0.34969455826877838</v>
      </c>
      <c r="AB26" s="111">
        <f>Lecanemab_hcc!I26</f>
        <v>0.56923140754809931</v>
      </c>
      <c r="AD26" s="266">
        <f t="shared" si="4"/>
        <v>1.1235206585570776E-3</v>
      </c>
      <c r="AE26" s="126">
        <f t="shared" si="5"/>
        <v>1.1256881138526178E-4</v>
      </c>
      <c r="AF26" s="126">
        <f t="shared" si="6"/>
        <v>8.3242446780364316E-4</v>
      </c>
      <c r="AG26" s="126">
        <f t="shared" si="7"/>
        <v>2.7070236004925273E-4</v>
      </c>
      <c r="AH26" s="126">
        <f t="shared" si="8"/>
        <v>4.3066154879249559E-4</v>
      </c>
      <c r="AI26" s="126">
        <f t="shared" si="9"/>
        <v>3.0995648507235247E-4</v>
      </c>
      <c r="AJ26" s="126">
        <f t="shared" si="10"/>
        <v>3.5932589005529853E-4</v>
      </c>
      <c r="AK26" s="126">
        <f t="shared" si="11"/>
        <v>1.1312023502321451E-3</v>
      </c>
      <c r="AL26" s="126">
        <f t="shared" si="12"/>
        <v>3.4256191306812199E-2</v>
      </c>
      <c r="AM26" s="127">
        <f t="shared" si="13"/>
        <v>4.2708910143607302E-2</v>
      </c>
      <c r="AN26" s="125">
        <f t="shared" si="14"/>
        <v>5.5021580912363414E-3</v>
      </c>
      <c r="AO26" s="126">
        <f t="shared" si="15"/>
        <v>5.8547328561890709E-4</v>
      </c>
      <c r="AP26" s="126">
        <f t="shared" si="16"/>
        <v>4.9117569787699251E-3</v>
      </c>
      <c r="AQ26" s="126">
        <f t="shared" si="17"/>
        <v>1.4254498246111128E-3</v>
      </c>
      <c r="AR26" s="126">
        <f t="shared" si="18"/>
        <v>3.8606063138795018E-3</v>
      </c>
      <c r="AS26" s="126">
        <f t="shared" si="19"/>
        <v>2.8611645603026383E-3</v>
      </c>
      <c r="AT26" s="126">
        <f t="shared" si="20"/>
        <v>3.571872504665946E-3</v>
      </c>
      <c r="AU26" s="126">
        <f t="shared" si="21"/>
        <v>1.266021230508413E-2</v>
      </c>
      <c r="AV26" s="126">
        <f t="shared" si="22"/>
        <v>0.37074086794605349</v>
      </c>
      <c r="AW26" s="127">
        <f t="shared" si="23"/>
        <v>0.51234497416741087</v>
      </c>
      <c r="AX26" s="264">
        <f t="shared" si="24"/>
        <v>0.99999999999999989</v>
      </c>
    </row>
    <row r="27" spans="1:50" x14ac:dyDescent="0.4">
      <c r="A27" s="244"/>
      <c r="B27" s="251" t="s">
        <v>301</v>
      </c>
      <c r="C27" s="237">
        <v>0</v>
      </c>
      <c r="D27" s="237">
        <v>0</v>
      </c>
      <c r="E27" s="237">
        <v>0</v>
      </c>
      <c r="F27" s="237">
        <v>0</v>
      </c>
      <c r="G27" s="237">
        <v>0</v>
      </c>
      <c r="H27" s="237">
        <v>0</v>
      </c>
      <c r="I27" s="237">
        <v>0</v>
      </c>
      <c r="J27" s="237">
        <v>0</v>
      </c>
      <c r="K27" s="237">
        <v>0</v>
      </c>
      <c r="L27" s="237">
        <v>0</v>
      </c>
      <c r="M27" s="237">
        <v>0</v>
      </c>
      <c r="N27" s="237">
        <v>0</v>
      </c>
      <c r="O27" s="237">
        <v>0</v>
      </c>
      <c r="P27" s="237">
        <v>0</v>
      </c>
      <c r="Q27" s="237">
        <v>0</v>
      </c>
      <c r="R27" s="237">
        <v>0</v>
      </c>
      <c r="S27" s="237">
        <v>0</v>
      </c>
      <c r="T27" s="237">
        <v>0</v>
      </c>
      <c r="U27" s="237">
        <v>0</v>
      </c>
      <c r="V27" s="237">
        <v>0</v>
      </c>
      <c r="W27" s="230"/>
      <c r="X27">
        <f t="shared" si="3"/>
        <v>90</v>
      </c>
      <c r="Y27" s="111">
        <f>Lecanemab_hcc!F27</f>
        <v>0.17929445877373706</v>
      </c>
      <c r="Z27" s="111">
        <f>Lecanemab_hcc!G27</f>
        <v>0.23559252191517477</v>
      </c>
      <c r="AA27" s="111">
        <f>Lecanemab_hcc!H27</f>
        <v>0.38449423321545761</v>
      </c>
      <c r="AB27" s="111">
        <f>Lecanemab_hcc!I27</f>
        <v>0.61319047359581413</v>
      </c>
      <c r="AD27" s="266">
        <f t="shared" si="4"/>
        <v>7.0119255853578772E-4</v>
      </c>
      <c r="AE27" s="126">
        <f t="shared" si="5"/>
        <v>7.5142870726959223E-5</v>
      </c>
      <c r="AF27" s="126">
        <f t="shared" si="6"/>
        <v>5.1119175885612955E-4</v>
      </c>
      <c r="AG27" s="126">
        <f t="shared" si="7"/>
        <v>1.6844131371096454E-4</v>
      </c>
      <c r="AH27" s="126">
        <f t="shared" si="8"/>
        <v>2.5687432778905001E-4</v>
      </c>
      <c r="AI27" s="126">
        <f t="shared" si="9"/>
        <v>1.7920041747694875E-4</v>
      </c>
      <c r="AJ27" s="126">
        <f t="shared" si="10"/>
        <v>1.9672675983790366E-4</v>
      </c>
      <c r="AK27" s="126">
        <f t="shared" si="11"/>
        <v>5.477163468462664E-4</v>
      </c>
      <c r="AL27" s="126">
        <f t="shared" si="12"/>
        <v>3.0344040077384376E-2</v>
      </c>
      <c r="AM27" s="127">
        <f t="shared" si="13"/>
        <v>3.7955327268294932E-2</v>
      </c>
      <c r="AN27" s="125">
        <f t="shared" si="14"/>
        <v>3.7702969272054498E-3</v>
      </c>
      <c r="AO27" s="126">
        <f t="shared" si="15"/>
        <v>4.2967814491590335E-4</v>
      </c>
      <c r="AP27" s="126">
        <f t="shared" si="16"/>
        <v>3.3253825448901005E-3</v>
      </c>
      <c r="AQ27" s="126">
        <f t="shared" si="17"/>
        <v>9.789407421915944E-4</v>
      </c>
      <c r="AR27" s="126">
        <f t="shared" si="18"/>
        <v>2.5388131746568732E-3</v>
      </c>
      <c r="AS27" s="126">
        <f t="shared" si="19"/>
        <v>1.8182409459362153E-3</v>
      </c>
      <c r="AT27" s="126">
        <f t="shared" si="20"/>
        <v>2.1525069014048299E-3</v>
      </c>
      <c r="AU27" s="126">
        <f t="shared" si="21"/>
        <v>6.8468227329579858E-3</v>
      </c>
      <c r="AV27" s="126">
        <f t="shared" si="22"/>
        <v>0.37974634861379369</v>
      </c>
      <c r="AW27" s="127">
        <f t="shared" si="23"/>
        <v>0.5274571155725879</v>
      </c>
      <c r="AX27" s="264">
        <f t="shared" si="24"/>
        <v>0.99999999999999989</v>
      </c>
    </row>
    <row r="28" spans="1:50" x14ac:dyDescent="0.4">
      <c r="A28" s="244"/>
      <c r="B28" s="257" t="s">
        <v>302</v>
      </c>
      <c r="C28" s="237">
        <v>0</v>
      </c>
      <c r="D28" s="237">
        <v>0</v>
      </c>
      <c r="E28" s="237">
        <v>0</v>
      </c>
      <c r="F28" s="237">
        <v>0</v>
      </c>
      <c r="G28" s="237">
        <v>0</v>
      </c>
      <c r="H28" s="237">
        <v>0</v>
      </c>
      <c r="I28" s="237">
        <v>0</v>
      </c>
      <c r="J28" s="237">
        <v>0</v>
      </c>
      <c r="K28" s="237">
        <v>0</v>
      </c>
      <c r="L28" s="237">
        <v>0</v>
      </c>
      <c r="M28" s="237">
        <v>0</v>
      </c>
      <c r="N28" s="237">
        <v>0</v>
      </c>
      <c r="O28" s="237">
        <v>0</v>
      </c>
      <c r="P28" s="237">
        <v>0</v>
      </c>
      <c r="Q28" s="237">
        <v>0</v>
      </c>
      <c r="R28" s="237">
        <v>0</v>
      </c>
      <c r="S28" s="237">
        <v>0</v>
      </c>
      <c r="T28" s="237">
        <v>0</v>
      </c>
      <c r="U28" s="237">
        <v>0</v>
      </c>
      <c r="V28" s="237">
        <v>0</v>
      </c>
      <c r="W28" s="230"/>
      <c r="X28">
        <f t="shared" si="3"/>
        <v>91</v>
      </c>
      <c r="Y28" s="111">
        <f>Lecanemab_hcc!F28</f>
        <v>0.19916275711288256</v>
      </c>
      <c r="Z28" s="111">
        <f>Lecanemab_hcc!G28</f>
        <v>0.26064325341587646</v>
      </c>
      <c r="AA28" s="111">
        <f>Lecanemab_hcc!H28</f>
        <v>0.42044965421804492</v>
      </c>
      <c r="AB28" s="111">
        <f>Lecanemab_hcc!I28</f>
        <v>0.65617648638428305</v>
      </c>
      <c r="AD28" s="266">
        <f t="shared" si="4"/>
        <v>4.2768995403440397E-4</v>
      </c>
      <c r="AE28" s="126">
        <f t="shared" si="5"/>
        <v>4.8721808116560014E-5</v>
      </c>
      <c r="AF28" s="126">
        <f t="shared" si="6"/>
        <v>3.0628782711166798E-4</v>
      </c>
      <c r="AG28" s="126">
        <f t="shared" si="7"/>
        <v>1.01830547899157E-4</v>
      </c>
      <c r="AH28" s="126">
        <f t="shared" si="8"/>
        <v>1.4919679999225653E-4</v>
      </c>
      <c r="AI28" s="126">
        <f t="shared" si="9"/>
        <v>1.0045009899086473E-4</v>
      </c>
      <c r="AJ28" s="126">
        <f t="shared" si="10"/>
        <v>1.0475265101795693E-4</v>
      </c>
      <c r="AK28" s="126">
        <f t="shared" si="11"/>
        <v>2.5140084280302619E-4</v>
      </c>
      <c r="AL28" s="126">
        <f t="shared" si="12"/>
        <v>2.6756173888876522E-2</v>
      </c>
      <c r="AM28" s="127">
        <f t="shared" si="13"/>
        <v>3.3467688299687194E-2</v>
      </c>
      <c r="AN28" s="125">
        <f t="shared" si="14"/>
        <v>2.5185856565791897E-3</v>
      </c>
      <c r="AO28" s="126">
        <f t="shared" si="15"/>
        <v>3.0545598246301594E-4</v>
      </c>
      <c r="AP28" s="126">
        <f t="shared" si="16"/>
        <v>2.191389790894956E-3</v>
      </c>
      <c r="AQ28" s="126">
        <f t="shared" si="17"/>
        <v>6.5119302713959656E-4</v>
      </c>
      <c r="AR28" s="126">
        <f t="shared" si="18"/>
        <v>1.6207770815366105E-3</v>
      </c>
      <c r="AS28" s="126">
        <f t="shared" si="19"/>
        <v>1.1127224903965537E-3</v>
      </c>
      <c r="AT28" s="126">
        <f t="shared" si="20"/>
        <v>1.2558539112075371E-3</v>
      </c>
      <c r="AU28" s="126">
        <f t="shared" si="21"/>
        <v>3.4667332221611003E-3</v>
      </c>
      <c r="AV28" s="126">
        <f t="shared" si="22"/>
        <v>0.38693725058234635</v>
      </c>
      <c r="AW28" s="127">
        <f t="shared" si="23"/>
        <v>0.53822584553674535</v>
      </c>
      <c r="AX28" s="264">
        <f t="shared" si="24"/>
        <v>0.99999999999999989</v>
      </c>
    </row>
    <row r="29" spans="1:50" x14ac:dyDescent="0.4">
      <c r="A29" s="244"/>
      <c r="B29" s="251" t="s">
        <v>272</v>
      </c>
      <c r="C29" s="237">
        <v>0</v>
      </c>
      <c r="D29" s="237">
        <v>0</v>
      </c>
      <c r="E29" s="237">
        <v>0</v>
      </c>
      <c r="F29" s="237">
        <v>0</v>
      </c>
      <c r="G29" s="237">
        <v>0</v>
      </c>
      <c r="H29" s="237">
        <v>0</v>
      </c>
      <c r="I29" s="237">
        <v>0</v>
      </c>
      <c r="J29" s="237">
        <v>0</v>
      </c>
      <c r="K29" s="237">
        <v>0</v>
      </c>
      <c r="L29" s="237">
        <v>0</v>
      </c>
      <c r="M29" s="237">
        <v>0</v>
      </c>
      <c r="N29" s="237">
        <v>0</v>
      </c>
      <c r="O29" s="237">
        <v>0</v>
      </c>
      <c r="P29" s="237">
        <v>0</v>
      </c>
      <c r="Q29" s="237">
        <v>0</v>
      </c>
      <c r="R29" s="237">
        <v>0</v>
      </c>
      <c r="S29" s="237">
        <v>0</v>
      </c>
      <c r="T29" s="237">
        <v>0</v>
      </c>
      <c r="U29" s="237">
        <v>0</v>
      </c>
      <c r="V29" s="237">
        <v>0</v>
      </c>
      <c r="W29" s="230"/>
      <c r="X29">
        <f t="shared" si="3"/>
        <v>92</v>
      </c>
      <c r="Y29" s="111">
        <f>Lecanemab_hcc!F29</f>
        <v>0.22026361009796191</v>
      </c>
      <c r="Z29" s="111">
        <f>Lecanemab_hcc!G29</f>
        <v>0.28700427627571667</v>
      </c>
      <c r="AA29" s="111">
        <f>Lecanemab_hcc!H29</f>
        <v>0.4572389937665472</v>
      </c>
      <c r="AB29" s="111">
        <f>Lecanemab_hcc!I29</f>
        <v>0.69759345014968455</v>
      </c>
      <c r="AC29" s="112"/>
      <c r="AD29" s="266">
        <f t="shared" si="4"/>
        <v>2.5440184447870091E-4</v>
      </c>
      <c r="AE29" s="126">
        <f t="shared" si="5"/>
        <v>3.0634922468890362E-5</v>
      </c>
      <c r="AF29" s="126">
        <f t="shared" si="6"/>
        <v>1.7867866087114328E-4</v>
      </c>
      <c r="AG29" s="126">
        <f t="shared" si="7"/>
        <v>5.971717758183682E-5</v>
      </c>
      <c r="AH29" s="126">
        <f t="shared" si="8"/>
        <v>8.4221319056165581E-5</v>
      </c>
      <c r="AI29" s="126">
        <f t="shared" si="9"/>
        <v>5.4633602470046924E-5</v>
      </c>
      <c r="AJ29" s="126">
        <f t="shared" si="10"/>
        <v>5.4218492870024336E-5</v>
      </c>
      <c r="AK29" s="126">
        <f t="shared" si="11"/>
        <v>1.1035089623313428E-4</v>
      </c>
      <c r="AL29" s="126">
        <f t="shared" si="12"/>
        <v>2.3507082122293962E-2</v>
      </c>
      <c r="AM29" s="127">
        <f t="shared" si="13"/>
        <v>2.9357408626796859E-2</v>
      </c>
      <c r="AN29" s="125">
        <f t="shared" si="14"/>
        <v>1.6370197111968735E-3</v>
      </c>
      <c r="AO29" s="126">
        <f t="shared" si="15"/>
        <v>2.1005271754543744E-4</v>
      </c>
      <c r="AP29" s="126">
        <f t="shared" si="16"/>
        <v>1.4031057461161651E-3</v>
      </c>
      <c r="AQ29" s="126">
        <f t="shared" si="17"/>
        <v>4.1918612967256288E-4</v>
      </c>
      <c r="AR29" s="126">
        <f t="shared" si="18"/>
        <v>1.0029840880995562E-3</v>
      </c>
      <c r="AS29" s="126">
        <f t="shared" si="19"/>
        <v>6.5713839512442616E-4</v>
      </c>
      <c r="AT29" s="126">
        <f t="shared" si="20"/>
        <v>7.096870925775502E-4</v>
      </c>
      <c r="AU29" s="126">
        <f t="shared" si="21"/>
        <v>1.65559707985457E-3</v>
      </c>
      <c r="AV29" s="126">
        <f t="shared" si="22"/>
        <v>0.39266281070226638</v>
      </c>
      <c r="AW29" s="127">
        <f t="shared" si="23"/>
        <v>0.54595107067242565</v>
      </c>
      <c r="AX29" s="264">
        <f t="shared" si="24"/>
        <v>1</v>
      </c>
    </row>
    <row r="30" spans="1:50" x14ac:dyDescent="0.4">
      <c r="A30" s="244"/>
      <c r="B30" s="251" t="s">
        <v>273</v>
      </c>
      <c r="C30" s="237">
        <v>0</v>
      </c>
      <c r="D30" s="237">
        <v>0</v>
      </c>
      <c r="E30" s="237">
        <v>0</v>
      </c>
      <c r="F30" s="237">
        <v>0</v>
      </c>
      <c r="G30" s="237">
        <v>0</v>
      </c>
      <c r="H30" s="237">
        <v>0</v>
      </c>
      <c r="I30" s="237">
        <v>0</v>
      </c>
      <c r="J30" s="237">
        <v>0</v>
      </c>
      <c r="K30" s="237">
        <v>0</v>
      </c>
      <c r="L30" s="237">
        <v>0</v>
      </c>
      <c r="M30" s="237">
        <v>0</v>
      </c>
      <c r="N30" s="237">
        <v>0</v>
      </c>
      <c r="O30" s="237">
        <v>0</v>
      </c>
      <c r="P30" s="237">
        <v>0</v>
      </c>
      <c r="Q30" s="237">
        <v>0</v>
      </c>
      <c r="R30" s="237">
        <v>0</v>
      </c>
      <c r="S30" s="237">
        <v>0</v>
      </c>
      <c r="T30" s="237">
        <v>0</v>
      </c>
      <c r="U30" s="237">
        <v>0</v>
      </c>
      <c r="V30" s="237">
        <v>0</v>
      </c>
      <c r="W30" s="230"/>
      <c r="X30">
        <f t="shared" si="3"/>
        <v>93</v>
      </c>
      <c r="Y30" s="111">
        <f>Lecanemab_hcc!F30</f>
        <v>0.24252778516240336</v>
      </c>
      <c r="Z30" s="111">
        <f>Lecanemab_hcc!G30</f>
        <v>0.31454168523303749</v>
      </c>
      <c r="AA30" s="111">
        <f>Lecanemab_hcc!H30</f>
        <v>0.49451566511171885</v>
      </c>
      <c r="AB30" s="111">
        <f>Lecanemab_hcc!I30</f>
        <v>0.73690436438464824</v>
      </c>
      <c r="AC30" s="112"/>
      <c r="AD30" s="266">
        <f t="shared" si="4"/>
        <v>1.4724543999254414E-4</v>
      </c>
      <c r="AE30" s="126">
        <f t="shared" si="5"/>
        <v>1.8646996954491642E-5</v>
      </c>
      <c r="AF30" s="126">
        <f t="shared" si="6"/>
        <v>1.0126815154670705E-4</v>
      </c>
      <c r="AG30" s="126">
        <f t="shared" si="7"/>
        <v>3.3914887785533795E-5</v>
      </c>
      <c r="AH30" s="126">
        <f t="shared" si="8"/>
        <v>4.6115331856887464E-5</v>
      </c>
      <c r="AI30" s="126">
        <f t="shared" si="9"/>
        <v>2.8832327498633624E-5</v>
      </c>
      <c r="AJ30" s="126">
        <f t="shared" si="10"/>
        <v>2.7251515595362534E-5</v>
      </c>
      <c r="AK30" s="126">
        <f t="shared" si="11"/>
        <v>4.6829115241975829E-5</v>
      </c>
      <c r="AL30" s="126">
        <f t="shared" si="12"/>
        <v>2.0594319586947414E-2</v>
      </c>
      <c r="AM30" s="127">
        <f t="shared" si="13"/>
        <v>2.5667049115235516E-2</v>
      </c>
      <c r="AN30" s="125">
        <f t="shared" si="14"/>
        <v>1.0332255268867879E-3</v>
      </c>
      <c r="AO30" s="126">
        <f t="shared" si="15"/>
        <v>1.3951836997455098E-4</v>
      </c>
      <c r="AP30" s="126">
        <f t="shared" si="16"/>
        <v>8.7121362035033612E-4</v>
      </c>
      <c r="AQ30" s="126">
        <f t="shared" si="17"/>
        <v>2.6085650434344744E-4</v>
      </c>
      <c r="AR30" s="126">
        <f t="shared" si="18"/>
        <v>6.0068496315859767E-4</v>
      </c>
      <c r="AS30" s="126">
        <f t="shared" si="19"/>
        <v>3.7514723328848786E-4</v>
      </c>
      <c r="AT30" s="126">
        <f t="shared" si="20"/>
        <v>3.8841342199513366E-4</v>
      </c>
      <c r="AU30" s="126">
        <f t="shared" si="21"/>
        <v>7.5404032240408811E-4</v>
      </c>
      <c r="AV30" s="126">
        <f t="shared" si="22"/>
        <v>0.39722784691207541</v>
      </c>
      <c r="AW30" s="127">
        <f t="shared" si="23"/>
        <v>0.55163758065686808</v>
      </c>
      <c r="AX30" s="264">
        <f t="shared" si="24"/>
        <v>1</v>
      </c>
    </row>
    <row r="31" spans="1:50" x14ac:dyDescent="0.4">
      <c r="A31" s="244"/>
      <c r="B31" s="251" t="s">
        <v>274</v>
      </c>
      <c r="C31" s="237">
        <v>0</v>
      </c>
      <c r="D31" s="237">
        <v>0</v>
      </c>
      <c r="E31" s="237">
        <v>0</v>
      </c>
      <c r="F31" s="237">
        <v>0</v>
      </c>
      <c r="G31" s="237">
        <v>0</v>
      </c>
      <c r="H31" s="237">
        <v>0</v>
      </c>
      <c r="I31" s="237">
        <v>0</v>
      </c>
      <c r="J31" s="237">
        <v>0</v>
      </c>
      <c r="K31" s="237">
        <v>0</v>
      </c>
      <c r="L31" s="237">
        <v>0</v>
      </c>
      <c r="M31" s="237">
        <v>0</v>
      </c>
      <c r="N31" s="237">
        <v>0</v>
      </c>
      <c r="O31" s="237">
        <v>0</v>
      </c>
      <c r="P31" s="237">
        <v>0</v>
      </c>
      <c r="Q31" s="237">
        <v>0</v>
      </c>
      <c r="R31" s="237">
        <v>0</v>
      </c>
      <c r="S31" s="237">
        <v>0</v>
      </c>
      <c r="T31" s="237">
        <v>0</v>
      </c>
      <c r="U31" s="237">
        <v>0</v>
      </c>
      <c r="V31" s="237">
        <v>0</v>
      </c>
      <c r="W31" s="230"/>
      <c r="X31">
        <f t="shared" si="3"/>
        <v>94</v>
      </c>
      <c r="Y31" s="111">
        <f>Lecanemab_hcc!F31</f>
        <v>0.2658525512412393</v>
      </c>
      <c r="Z31" s="111">
        <f>Lecanemab_hcc!G31</f>
        <v>0.34308016776870653</v>
      </c>
      <c r="AA31" s="111">
        <f>Lecanemab_hcc!H31</f>
        <v>0.53189321895491859</v>
      </c>
      <c r="AB31" s="111">
        <f>Lecanemab_hcc!I31</f>
        <v>0.77363048563701819</v>
      </c>
      <c r="AD31" s="266">
        <f t="shared" si="4"/>
        <v>8.2736202353469391E-5</v>
      </c>
      <c r="AE31" s="126">
        <f t="shared" si="5"/>
        <v>1.0967201037040664E-5</v>
      </c>
      <c r="AF31" s="126">
        <f t="shared" si="6"/>
        <v>5.5637247235752497E-5</v>
      </c>
      <c r="AG31" s="126">
        <f t="shared" si="7"/>
        <v>1.8620066726738231E-5</v>
      </c>
      <c r="AH31" s="126">
        <f t="shared" si="8"/>
        <v>2.4442195122310772E-5</v>
      </c>
      <c r="AI31" s="126">
        <f t="shared" si="9"/>
        <v>1.4751278998762747E-5</v>
      </c>
      <c r="AJ31" s="126">
        <f t="shared" si="10"/>
        <v>1.3283390989487002E-5</v>
      </c>
      <c r="AK31" s="126">
        <f t="shared" si="11"/>
        <v>1.9418292811836463E-5</v>
      </c>
      <c r="AL31" s="126">
        <f t="shared" si="12"/>
        <v>1.8003835610807761E-2</v>
      </c>
      <c r="AM31" s="127">
        <f t="shared" si="13"/>
        <v>2.2395289561646745E-2</v>
      </c>
      <c r="AN31" s="125">
        <f t="shared" si="14"/>
        <v>6.3192546516245877E-4</v>
      </c>
      <c r="AO31" s="126">
        <f t="shared" si="15"/>
        <v>8.9362905296033168E-5</v>
      </c>
      <c r="AP31" s="126">
        <f t="shared" si="16"/>
        <v>5.2354212727545319E-4</v>
      </c>
      <c r="AQ31" s="126">
        <f t="shared" si="17"/>
        <v>1.5673803109852381E-4</v>
      </c>
      <c r="AR31" s="126">
        <f t="shared" si="18"/>
        <v>3.4756483252988522E-4</v>
      </c>
      <c r="AS31" s="126">
        <f t="shared" si="19"/>
        <v>2.0719590226973887E-4</v>
      </c>
      <c r="AT31" s="126">
        <f t="shared" si="20"/>
        <v>2.0575498735424922E-4</v>
      </c>
      <c r="AU31" s="126">
        <f t="shared" si="21"/>
        <v>3.3190656179172168E-4</v>
      </c>
      <c r="AV31" s="126">
        <f t="shared" si="22"/>
        <v>0.40088696145365116</v>
      </c>
      <c r="AW31" s="127">
        <f t="shared" si="23"/>
        <v>0.55598006668584077</v>
      </c>
      <c r="AX31" s="264">
        <f t="shared" si="24"/>
        <v>0.99999999999999989</v>
      </c>
    </row>
    <row r="32" spans="1:50" x14ac:dyDescent="0.4">
      <c r="A32" s="244"/>
      <c r="B32" s="257" t="s">
        <v>275</v>
      </c>
      <c r="C32" s="237">
        <v>0</v>
      </c>
      <c r="D32" s="237">
        <v>0</v>
      </c>
      <c r="E32" s="237">
        <v>0</v>
      </c>
      <c r="F32" s="237">
        <v>0</v>
      </c>
      <c r="G32" s="237">
        <v>0</v>
      </c>
      <c r="H32" s="237">
        <v>0</v>
      </c>
      <c r="I32" s="237">
        <v>0</v>
      </c>
      <c r="J32" s="237">
        <v>0</v>
      </c>
      <c r="K32" s="237">
        <v>0</v>
      </c>
      <c r="L32" s="237">
        <v>0</v>
      </c>
      <c r="M32" s="237">
        <v>0</v>
      </c>
      <c r="N32" s="237">
        <v>0</v>
      </c>
      <c r="O32" s="237">
        <v>0</v>
      </c>
      <c r="P32" s="237">
        <v>0</v>
      </c>
      <c r="Q32" s="237">
        <v>0</v>
      </c>
      <c r="R32" s="237">
        <v>0</v>
      </c>
      <c r="S32" s="237">
        <v>0</v>
      </c>
      <c r="T32" s="237">
        <v>0</v>
      </c>
      <c r="U32" s="237">
        <v>0</v>
      </c>
      <c r="V32" s="237">
        <v>0</v>
      </c>
      <c r="W32" s="230"/>
      <c r="X32">
        <f t="shared" si="3"/>
        <v>95</v>
      </c>
      <c r="Y32" s="111">
        <f>Lecanemab_hcc!F32</f>
        <v>0.2901356088312298</v>
      </c>
      <c r="Z32" s="111">
        <f>Lecanemab_hcc!G32</f>
        <v>0.37244650692233439</v>
      </c>
      <c r="AA32" s="111">
        <f>Lecanemab_hcc!H32</f>
        <v>0.56901131027435059</v>
      </c>
      <c r="AB32" s="111">
        <f>Lecanemab_hcc!I32</f>
        <v>0.80742606938445349</v>
      </c>
      <c r="AD32" s="266">
        <f t="shared" si="4"/>
        <v>4.5026456458286485E-5</v>
      </c>
      <c r="AE32" s="126">
        <f t="shared" si="5"/>
        <v>6.2207619168912135E-6</v>
      </c>
      <c r="AF32" s="126">
        <f t="shared" si="6"/>
        <v>2.9565039915061063E-5</v>
      </c>
      <c r="AG32" s="126">
        <f t="shared" si="7"/>
        <v>9.8642596363374887E-6</v>
      </c>
      <c r="AH32" s="126">
        <f t="shared" si="8"/>
        <v>1.2514528422246097E-5</v>
      </c>
      <c r="AI32" s="126">
        <f t="shared" si="9"/>
        <v>7.3043993274895923E-6</v>
      </c>
      <c r="AJ32" s="126">
        <f t="shared" si="10"/>
        <v>6.2691127121049984E-6</v>
      </c>
      <c r="AK32" s="126">
        <f t="shared" si="11"/>
        <v>7.9261141029901975E-6</v>
      </c>
      <c r="AL32" s="126">
        <f t="shared" si="12"/>
        <v>1.5714278082139252E-2</v>
      </c>
      <c r="AM32" s="127">
        <f t="shared" si="13"/>
        <v>1.9516944756894358E-2</v>
      </c>
      <c r="AN32" s="125">
        <f t="shared" si="14"/>
        <v>3.7370175119893286E-4</v>
      </c>
      <c r="AO32" s="126">
        <f t="shared" si="15"/>
        <v>5.5102218041698163E-5</v>
      </c>
      <c r="AP32" s="126">
        <f t="shared" si="16"/>
        <v>3.0386289960125515E-4</v>
      </c>
      <c r="AQ32" s="126">
        <f t="shared" si="17"/>
        <v>9.0807742532426089E-5</v>
      </c>
      <c r="AR32" s="126">
        <f t="shared" si="18"/>
        <v>1.939508133500096E-4</v>
      </c>
      <c r="AS32" s="126">
        <f t="shared" si="19"/>
        <v>1.1068416792727488E-4</v>
      </c>
      <c r="AT32" s="126">
        <f t="shared" si="20"/>
        <v>1.0538428784864747E-4</v>
      </c>
      <c r="AU32" s="126">
        <f t="shared" si="21"/>
        <v>1.4295704915729174E-4</v>
      </c>
      <c r="AV32" s="126">
        <f t="shared" si="22"/>
        <v>0.40384533538759826</v>
      </c>
      <c r="AW32" s="127">
        <f t="shared" si="23"/>
        <v>0.55942230017121908</v>
      </c>
      <c r="AX32" s="264">
        <f t="shared" si="24"/>
        <v>0.99999999999999989</v>
      </c>
    </row>
    <row r="33" spans="1:50" x14ac:dyDescent="0.4">
      <c r="A33" s="244"/>
      <c r="B33" s="251" t="s">
        <v>276</v>
      </c>
      <c r="C33" s="237">
        <v>0</v>
      </c>
      <c r="D33" s="237">
        <v>0</v>
      </c>
      <c r="E33" s="237">
        <v>0</v>
      </c>
      <c r="F33" s="237">
        <v>0</v>
      </c>
      <c r="G33" s="237">
        <v>0</v>
      </c>
      <c r="H33" s="237">
        <v>0</v>
      </c>
      <c r="I33" s="237">
        <v>0</v>
      </c>
      <c r="J33" s="237">
        <v>0</v>
      </c>
      <c r="K33" s="237">
        <v>0</v>
      </c>
      <c r="L33" s="237">
        <v>0</v>
      </c>
      <c r="M33" s="237">
        <v>0</v>
      </c>
      <c r="N33" s="237">
        <v>0</v>
      </c>
      <c r="O33" s="237">
        <v>0</v>
      </c>
      <c r="P33" s="237">
        <v>0</v>
      </c>
      <c r="Q33" s="237">
        <v>0</v>
      </c>
      <c r="R33" s="237">
        <v>0</v>
      </c>
      <c r="S33" s="237">
        <v>0</v>
      </c>
      <c r="T33" s="237">
        <v>0</v>
      </c>
      <c r="U33" s="237">
        <v>0</v>
      </c>
      <c r="V33" s="237">
        <v>0</v>
      </c>
      <c r="W33" s="230"/>
      <c r="X33">
        <f t="shared" si="3"/>
        <v>96</v>
      </c>
      <c r="Y33" s="111">
        <f>Lecanemab_hcc!F33</f>
        <v>0.31521903880574009</v>
      </c>
      <c r="Z33" s="111">
        <f>Lecanemab_hcc!G33</f>
        <v>0.402403586712895</v>
      </c>
      <c r="AA33" s="111">
        <f>Lecanemab_hcc!H33</f>
        <v>0.6054592744885694</v>
      </c>
      <c r="AB33" s="111">
        <f>Lecanemab_hcc!I33</f>
        <v>0.83800782838120458</v>
      </c>
      <c r="AD33" s="266">
        <f t="shared" si="4"/>
        <v>2.3676903860131534E-5</v>
      </c>
      <c r="AE33" s="126">
        <f t="shared" si="5"/>
        <v>3.396130551474623E-6</v>
      </c>
      <c r="AF33" s="126">
        <f t="shared" si="6"/>
        <v>1.5160865970576626E-5</v>
      </c>
      <c r="AG33" s="126">
        <f t="shared" si="7"/>
        <v>5.0325541349239806E-6</v>
      </c>
      <c r="AH33" s="126">
        <f t="shared" si="8"/>
        <v>6.1767361313076673E-6</v>
      </c>
      <c r="AI33" s="126">
        <f t="shared" si="9"/>
        <v>3.4927111125073258E-6</v>
      </c>
      <c r="AJ33" s="126">
        <f t="shared" si="10"/>
        <v>2.8593760008951117E-6</v>
      </c>
      <c r="AK33" s="126">
        <f t="shared" si="11"/>
        <v>3.1909252187853393E-6</v>
      </c>
      <c r="AL33" s="126">
        <f t="shared" si="12"/>
        <v>1.3700318141620369E-2</v>
      </c>
      <c r="AM33" s="127">
        <f t="shared" si="13"/>
        <v>1.6996340410425796E-2</v>
      </c>
      <c r="AN33" s="125">
        <f t="shared" si="14"/>
        <v>2.1320772190717196E-4</v>
      </c>
      <c r="AO33" s="126">
        <f t="shared" si="15"/>
        <v>3.26503370299053E-5</v>
      </c>
      <c r="AP33" s="126">
        <f t="shared" si="16"/>
        <v>1.6997326816794891E-4</v>
      </c>
      <c r="AQ33" s="126">
        <f t="shared" si="17"/>
        <v>5.0645905394598643E-5</v>
      </c>
      <c r="AR33" s="126">
        <f t="shared" si="18"/>
        <v>1.0418565119465604E-4</v>
      </c>
      <c r="AS33" s="126">
        <f t="shared" si="19"/>
        <v>5.7114446400439843E-5</v>
      </c>
      <c r="AT33" s="126">
        <f t="shared" si="20"/>
        <v>5.2110565576368359E-5</v>
      </c>
      <c r="AU33" s="126">
        <f t="shared" si="21"/>
        <v>6.0711743277569012E-5</v>
      </c>
      <c r="AV33" s="126">
        <f t="shared" si="22"/>
        <v>0.40626357776046135</v>
      </c>
      <c r="AW33" s="127">
        <f t="shared" si="23"/>
        <v>0.56223617784556312</v>
      </c>
      <c r="AX33" s="264">
        <f t="shared" si="24"/>
        <v>0.99999999999999989</v>
      </c>
    </row>
    <row r="34" spans="1:50" x14ac:dyDescent="0.4">
      <c r="A34" s="244"/>
      <c r="B34" s="251" t="s">
        <v>277</v>
      </c>
      <c r="C34" s="237">
        <v>0</v>
      </c>
      <c r="D34" s="237">
        <v>0</v>
      </c>
      <c r="E34" s="237">
        <v>0</v>
      </c>
      <c r="F34" s="237">
        <v>0</v>
      </c>
      <c r="G34" s="237">
        <v>0</v>
      </c>
      <c r="H34" s="237">
        <v>0</v>
      </c>
      <c r="I34" s="237">
        <v>0</v>
      </c>
      <c r="J34" s="237">
        <v>0</v>
      </c>
      <c r="K34" s="237">
        <v>0</v>
      </c>
      <c r="L34" s="237">
        <v>0</v>
      </c>
      <c r="M34" s="237">
        <v>0</v>
      </c>
      <c r="N34" s="237">
        <v>0</v>
      </c>
      <c r="O34" s="237">
        <v>0</v>
      </c>
      <c r="P34" s="237">
        <v>0</v>
      </c>
      <c r="Q34" s="237">
        <v>0</v>
      </c>
      <c r="R34" s="237">
        <v>0</v>
      </c>
      <c r="S34" s="237">
        <v>0</v>
      </c>
      <c r="T34" s="237">
        <v>0</v>
      </c>
      <c r="U34" s="237">
        <v>0</v>
      </c>
      <c r="V34" s="237">
        <v>0</v>
      </c>
      <c r="W34" s="230"/>
      <c r="X34">
        <f t="shared" si="3"/>
        <v>97</v>
      </c>
      <c r="Y34" s="111">
        <f>Lecanemab_hcc!F34</f>
        <v>0.3409522379612544</v>
      </c>
      <c r="Z34" s="111">
        <f>Lecanemab_hcc!G34</f>
        <v>0.43272909710547069</v>
      </c>
      <c r="AA34" s="111">
        <f>Lecanemab_hcc!H34</f>
        <v>0.64088423924472204</v>
      </c>
      <c r="AB34" s="111">
        <f>Lecanemab_hcc!I34</f>
        <v>0.86524952291683888</v>
      </c>
      <c r="AD34" s="266">
        <f t="shared" si="4"/>
        <v>1.2001754299435276E-5</v>
      </c>
      <c r="AE34" s="126">
        <f t="shared" si="5"/>
        <v>1.780935978022623E-6</v>
      </c>
      <c r="AF34" s="126">
        <f t="shared" si="6"/>
        <v>7.4857906265244312E-6</v>
      </c>
      <c r="AG34" s="126">
        <f t="shared" si="7"/>
        <v>2.4677539176677164E-6</v>
      </c>
      <c r="AH34" s="126">
        <f t="shared" si="8"/>
        <v>2.9329139567300845E-6</v>
      </c>
      <c r="AI34" s="126">
        <f t="shared" si="9"/>
        <v>1.6088385211097408E-6</v>
      </c>
      <c r="AJ34" s="126">
        <f t="shared" si="10"/>
        <v>1.2580279275233142E-6</v>
      </c>
      <c r="AK34" s="126">
        <f t="shared" si="11"/>
        <v>1.2634690958773354E-6</v>
      </c>
      <c r="AL34" s="126">
        <f t="shared" si="12"/>
        <v>1.1935077443385478E-2</v>
      </c>
      <c r="AM34" s="127">
        <f t="shared" si="13"/>
        <v>1.4795014009164919E-2</v>
      </c>
      <c r="AN34" s="125">
        <f t="shared" si="14"/>
        <v>1.1709348194295553E-4</v>
      </c>
      <c r="AO34" s="126">
        <f t="shared" si="15"/>
        <v>1.8557604112537923E-5</v>
      </c>
      <c r="AP34" s="126">
        <f t="shared" si="16"/>
        <v>9.1442573775232021E-5</v>
      </c>
      <c r="AQ34" s="126">
        <f t="shared" si="17"/>
        <v>2.7144383882690169E-5</v>
      </c>
      <c r="AR34" s="126">
        <f t="shared" si="18"/>
        <v>5.3776933832728113E-5</v>
      </c>
      <c r="AS34" s="126">
        <f t="shared" si="19"/>
        <v>2.8413376482539145E-5</v>
      </c>
      <c r="AT34" s="126">
        <f t="shared" si="20"/>
        <v>2.4836908774895611E-5</v>
      </c>
      <c r="AU34" s="126">
        <f t="shared" si="21"/>
        <v>2.5452892079955892E-5</v>
      </c>
      <c r="AV34" s="126">
        <f t="shared" si="22"/>
        <v>0.40826431984715778</v>
      </c>
      <c r="AW34" s="127">
        <f t="shared" si="23"/>
        <v>0.56458807106108533</v>
      </c>
      <c r="AX34" s="264">
        <f t="shared" si="24"/>
        <v>1</v>
      </c>
    </row>
    <row r="35" spans="1:50" x14ac:dyDescent="0.4">
      <c r="A35" s="244"/>
      <c r="B35" s="251" t="s">
        <v>278</v>
      </c>
      <c r="C35" s="237">
        <v>0</v>
      </c>
      <c r="D35" s="237">
        <v>0</v>
      </c>
      <c r="E35" s="237">
        <v>0</v>
      </c>
      <c r="F35" s="237">
        <v>0</v>
      </c>
      <c r="G35" s="237">
        <v>0</v>
      </c>
      <c r="H35" s="237">
        <v>0</v>
      </c>
      <c r="I35" s="237">
        <v>0</v>
      </c>
      <c r="J35" s="237">
        <v>0</v>
      </c>
      <c r="K35" s="237">
        <v>0</v>
      </c>
      <c r="L35" s="237">
        <v>0</v>
      </c>
      <c r="M35" s="237">
        <v>0</v>
      </c>
      <c r="N35" s="237">
        <v>0</v>
      </c>
      <c r="O35" s="237">
        <v>0</v>
      </c>
      <c r="P35" s="237">
        <v>0</v>
      </c>
      <c r="Q35" s="237">
        <v>0</v>
      </c>
      <c r="R35" s="237">
        <v>0</v>
      </c>
      <c r="S35" s="237">
        <v>0</v>
      </c>
      <c r="T35" s="237">
        <v>0</v>
      </c>
      <c r="U35" s="237">
        <v>0</v>
      </c>
      <c r="V35" s="237">
        <v>0</v>
      </c>
      <c r="W35" s="230"/>
      <c r="X35">
        <f t="shared" si="3"/>
        <v>98</v>
      </c>
      <c r="Y35" s="111">
        <f>Lecanemab_hcc!F35</f>
        <v>0.36713684560572502</v>
      </c>
      <c r="Z35" s="111">
        <f>Lecanemab_hcc!G35</f>
        <v>0.46315234601266697</v>
      </c>
      <c r="AA35" s="111">
        <f>Lecanemab_hcc!H35</f>
        <v>0.67492092832184647</v>
      </c>
      <c r="AB35" s="111">
        <f>Lecanemab_hcc!I35</f>
        <v>0.8891098991545856</v>
      </c>
      <c r="AD35" s="266">
        <f t="shared" si="4"/>
        <v>5.8507599474980872E-6</v>
      </c>
      <c r="AE35" s="126">
        <f t="shared" si="5"/>
        <v>8.9528306066947207E-7</v>
      </c>
      <c r="AF35" s="126">
        <f t="shared" si="6"/>
        <v>3.5511489296550446E-6</v>
      </c>
      <c r="AG35" s="126">
        <f t="shared" si="7"/>
        <v>1.1607871870741975E-6</v>
      </c>
      <c r="AH35" s="126">
        <f t="shared" si="8"/>
        <v>1.3371304896263148E-6</v>
      </c>
      <c r="AI35" s="126">
        <f t="shared" si="9"/>
        <v>7.1218220303099057E-7</v>
      </c>
      <c r="AJ35" s="126">
        <f t="shared" si="10"/>
        <v>5.3286548269609268E-7</v>
      </c>
      <c r="AK35" s="126">
        <f t="shared" si="11"/>
        <v>4.8936052890474934E-7</v>
      </c>
      <c r="AL35" s="126">
        <f t="shared" si="12"/>
        <v>1.0391826776148611E-2</v>
      </c>
      <c r="AM35" s="127">
        <f t="shared" si="13"/>
        <v>1.2875618821101996E-2</v>
      </c>
      <c r="AN35" s="125">
        <f t="shared" si="14"/>
        <v>6.1765894716619453E-5</v>
      </c>
      <c r="AO35" s="126">
        <f t="shared" si="15"/>
        <v>1.0098682020566488E-5</v>
      </c>
      <c r="AP35" s="126">
        <f t="shared" si="16"/>
        <v>4.7214098165658164E-5</v>
      </c>
      <c r="AQ35" s="126">
        <f t="shared" si="17"/>
        <v>1.3954724308578122E-5</v>
      </c>
      <c r="AR35" s="126">
        <f t="shared" si="18"/>
        <v>2.6623440922914908E-5</v>
      </c>
      <c r="AS35" s="126">
        <f t="shared" si="19"/>
        <v>1.3596845096532992E-5</v>
      </c>
      <c r="AT35" s="126">
        <f t="shared" si="20"/>
        <v>1.1389861587682468E-5</v>
      </c>
      <c r="AU35" s="126">
        <f t="shared" si="21"/>
        <v>1.0491416256528742E-5</v>
      </c>
      <c r="AV35" s="126">
        <f t="shared" si="22"/>
        <v>0.40993948283807413</v>
      </c>
      <c r="AW35" s="127">
        <f t="shared" si="23"/>
        <v>0.56658340708377097</v>
      </c>
      <c r="AX35" s="264">
        <f t="shared" si="24"/>
        <v>1</v>
      </c>
    </row>
    <row r="36" spans="1:50" x14ac:dyDescent="0.4">
      <c r="A36" s="244"/>
      <c r="B36" s="251" t="s">
        <v>279</v>
      </c>
      <c r="C36" s="237">
        <v>0</v>
      </c>
      <c r="D36" s="237">
        <v>0</v>
      </c>
      <c r="E36" s="237">
        <v>0</v>
      </c>
      <c r="F36" s="237">
        <v>0</v>
      </c>
      <c r="G36" s="237">
        <v>0</v>
      </c>
      <c r="H36" s="237">
        <v>0</v>
      </c>
      <c r="I36" s="237">
        <v>0</v>
      </c>
      <c r="J36" s="237">
        <v>0</v>
      </c>
      <c r="K36" s="237">
        <v>0</v>
      </c>
      <c r="L36" s="237">
        <v>0</v>
      </c>
      <c r="M36" s="237">
        <v>0</v>
      </c>
      <c r="N36" s="237">
        <v>0</v>
      </c>
      <c r="O36" s="237">
        <v>0</v>
      </c>
      <c r="P36" s="237">
        <v>0</v>
      </c>
      <c r="Q36" s="237">
        <v>0</v>
      </c>
      <c r="R36" s="237">
        <v>0</v>
      </c>
      <c r="S36" s="237">
        <v>0</v>
      </c>
      <c r="T36" s="237">
        <v>0</v>
      </c>
      <c r="U36" s="237">
        <v>0</v>
      </c>
      <c r="V36" s="237">
        <v>0</v>
      </c>
      <c r="W36" s="230"/>
      <c r="X36">
        <f t="shared" si="3"/>
        <v>99</v>
      </c>
      <c r="Y36" s="111">
        <f>Lecanemab_hcc!F36</f>
        <v>0.39356086132689128</v>
      </c>
      <c r="Z36" s="111">
        <f>Lecanemab_hcc!G36</f>
        <v>0.49339807318142703</v>
      </c>
      <c r="AA36" s="111">
        <f>Lecanemab_hcc!H36</f>
        <v>0.70725132923122391</v>
      </c>
      <c r="AB36" s="111">
        <f>Lecanemab_hcc!I36</f>
        <v>0.90966534992871451</v>
      </c>
      <c r="AD36" s="266">
        <f t="shared" si="4"/>
        <v>2.7368695395402949E-6</v>
      </c>
      <c r="AE36" s="126">
        <f t="shared" si="5"/>
        <v>4.3060181665423239E-7</v>
      </c>
      <c r="AF36" s="126">
        <f t="shared" si="6"/>
        <v>1.6151782754022689E-6</v>
      </c>
      <c r="AG36" s="126">
        <f t="shared" si="7"/>
        <v>5.2280076772715304E-7</v>
      </c>
      <c r="AH36" s="126">
        <f t="shared" si="8"/>
        <v>5.8423043652200854E-7</v>
      </c>
      <c r="AI36" s="126">
        <f t="shared" si="9"/>
        <v>3.0232472978126865E-7</v>
      </c>
      <c r="AJ36" s="126">
        <f t="shared" si="10"/>
        <v>2.1690421420844774E-7</v>
      </c>
      <c r="AK36" s="126">
        <f t="shared" si="11"/>
        <v>1.8434808948057498E-7</v>
      </c>
      <c r="AL36" s="126">
        <f t="shared" si="12"/>
        <v>9.0450819679418447E-3</v>
      </c>
      <c r="AM36" s="127">
        <f t="shared" si="13"/>
        <v>1.120364312430823E-2</v>
      </c>
      <c r="AN36" s="125">
        <f t="shared" si="14"/>
        <v>3.1226345071580307E-5</v>
      </c>
      <c r="AO36" s="126">
        <f t="shared" si="15"/>
        <v>5.2520463080766172E-6</v>
      </c>
      <c r="AP36" s="126">
        <f t="shared" si="16"/>
        <v>2.3349838970195378E-5</v>
      </c>
      <c r="AQ36" s="126">
        <f t="shared" si="17"/>
        <v>6.8686107148827374E-6</v>
      </c>
      <c r="AR36" s="126">
        <f t="shared" si="18"/>
        <v>1.2620293912189796E-5</v>
      </c>
      <c r="AS36" s="126">
        <f t="shared" si="19"/>
        <v>6.2452520682967829E-6</v>
      </c>
      <c r="AT36" s="126">
        <f t="shared" si="20"/>
        <v>5.0170699205460186E-6</v>
      </c>
      <c r="AU36" s="126">
        <f t="shared" si="21"/>
        <v>4.2257144001386608E-6</v>
      </c>
      <c r="AV36" s="126">
        <f t="shared" si="22"/>
        <v>0.41135711410495351</v>
      </c>
      <c r="AW36" s="127">
        <f t="shared" si="23"/>
        <v>0.56829276237356119</v>
      </c>
      <c r="AX36" s="264">
        <f t="shared" si="24"/>
        <v>1</v>
      </c>
    </row>
    <row r="37" spans="1:50" x14ac:dyDescent="0.4">
      <c r="A37" s="244"/>
      <c r="B37" s="251" t="s">
        <v>301</v>
      </c>
      <c r="C37" s="237">
        <v>0</v>
      </c>
      <c r="D37" s="237">
        <v>0</v>
      </c>
      <c r="E37" s="237">
        <v>0</v>
      </c>
      <c r="F37" s="237">
        <v>0</v>
      </c>
      <c r="G37" s="237">
        <v>0</v>
      </c>
      <c r="H37" s="237">
        <v>0</v>
      </c>
      <c r="I37" s="237">
        <v>0</v>
      </c>
      <c r="J37" s="237">
        <v>0</v>
      </c>
      <c r="K37" s="237">
        <v>0</v>
      </c>
      <c r="L37" s="237">
        <v>0</v>
      </c>
      <c r="M37" s="237">
        <v>0</v>
      </c>
      <c r="N37" s="237">
        <v>0</v>
      </c>
      <c r="O37" s="237">
        <v>0</v>
      </c>
      <c r="P37" s="237">
        <v>0</v>
      </c>
      <c r="Q37" s="237">
        <v>0</v>
      </c>
      <c r="R37" s="237">
        <v>0</v>
      </c>
      <c r="S37" s="237">
        <v>0</v>
      </c>
      <c r="T37" s="237">
        <v>0</v>
      </c>
      <c r="U37" s="237">
        <v>0</v>
      </c>
      <c r="V37" s="237">
        <v>0</v>
      </c>
      <c r="W37" s="230"/>
      <c r="X37">
        <f t="shared" si="3"/>
        <v>100</v>
      </c>
      <c r="Y37" s="111">
        <f>Lecanemab_hcc!F37</f>
        <v>1</v>
      </c>
      <c r="Z37" s="111">
        <f>Lecanemab_hcc!G37</f>
        <v>1</v>
      </c>
      <c r="AA37" s="111">
        <f>Lecanemab_hcc!H37</f>
        <v>1</v>
      </c>
      <c r="AB37" s="111">
        <f>Lecanemab_hcc!I37</f>
        <v>1</v>
      </c>
      <c r="AD37" s="266">
        <f t="shared" si="4"/>
        <v>1.2259034014509192E-6</v>
      </c>
      <c r="AE37" s="126">
        <f t="shared" si="5"/>
        <v>1.977878805634679E-7</v>
      </c>
      <c r="AF37" s="126">
        <f t="shared" si="6"/>
        <v>7.030158200107627E-7</v>
      </c>
      <c r="AG37" s="126">
        <f t="shared" si="7"/>
        <v>2.250704802560761E-7</v>
      </c>
      <c r="AH37" s="126">
        <f t="shared" si="8"/>
        <v>2.4423430539474722E-7</v>
      </c>
      <c r="AI37" s="126">
        <f t="shared" si="9"/>
        <v>1.2285077284446153E-7</v>
      </c>
      <c r="AJ37" s="126">
        <f t="shared" si="10"/>
        <v>8.470864088718289E-8</v>
      </c>
      <c r="AK37" s="126">
        <f t="shared" si="11"/>
        <v>6.7226629531794113E-8</v>
      </c>
      <c r="AL37" s="126">
        <f t="shared" si="12"/>
        <v>7.8712464822097462E-3</v>
      </c>
      <c r="AM37" s="127">
        <f t="shared" si="13"/>
        <v>9.7480096844631842E-3</v>
      </c>
      <c r="AN37" s="125">
        <f t="shared" si="14"/>
        <v>1.5099931112318436E-5</v>
      </c>
      <c r="AO37" s="126">
        <f t="shared" si="15"/>
        <v>2.6059477829951441E-6</v>
      </c>
      <c r="AP37" s="126">
        <f t="shared" si="16"/>
        <v>1.1040252088721538E-5</v>
      </c>
      <c r="AQ37" s="126">
        <f t="shared" si="17"/>
        <v>3.231216360646263E-6</v>
      </c>
      <c r="AR37" s="126">
        <f t="shared" si="18"/>
        <v>5.7191318387896732E-6</v>
      </c>
      <c r="AS37" s="126">
        <f t="shared" si="19"/>
        <v>2.748047450845112E-6</v>
      </c>
      <c r="AT37" s="126">
        <f t="shared" si="20"/>
        <v>2.119372852168799E-6</v>
      </c>
      <c r="AU37" s="126">
        <f t="shared" si="21"/>
        <v>1.6535266000860527E-6</v>
      </c>
      <c r="AV37" s="126">
        <f t="shared" si="22"/>
        <v>0.41256741444145961</v>
      </c>
      <c r="AW37" s="127">
        <f t="shared" si="23"/>
        <v>0.56976624116784991</v>
      </c>
      <c r="AX37" s="264">
        <f t="shared" si="24"/>
        <v>1</v>
      </c>
    </row>
    <row r="38" spans="1:50" ht="18" thickBot="1" x14ac:dyDescent="0.45">
      <c r="A38" s="244"/>
      <c r="B38" s="224" t="s">
        <v>302</v>
      </c>
      <c r="C38" s="225">
        <v>0</v>
      </c>
      <c r="D38" s="225">
        <v>0</v>
      </c>
      <c r="E38" s="225">
        <v>0</v>
      </c>
      <c r="F38" s="225">
        <v>0</v>
      </c>
      <c r="G38" s="225">
        <v>0</v>
      </c>
      <c r="H38" s="225">
        <v>0</v>
      </c>
      <c r="I38" s="225">
        <v>0</v>
      </c>
      <c r="J38" s="225">
        <v>0</v>
      </c>
      <c r="K38" s="225">
        <v>0</v>
      </c>
      <c r="L38" s="225">
        <v>0</v>
      </c>
      <c r="M38" s="225">
        <v>0</v>
      </c>
      <c r="N38" s="225">
        <v>0</v>
      </c>
      <c r="O38" s="225">
        <v>0</v>
      </c>
      <c r="P38" s="225">
        <v>0</v>
      </c>
      <c r="Q38" s="225">
        <v>0</v>
      </c>
      <c r="R38" s="225">
        <v>0</v>
      </c>
      <c r="S38" s="225">
        <v>0</v>
      </c>
      <c r="T38" s="225">
        <v>0</v>
      </c>
      <c r="U38" s="225">
        <v>0</v>
      </c>
      <c r="V38" s="225">
        <v>0</v>
      </c>
      <c r="W38" s="226"/>
      <c r="X38">
        <f t="shared" si="3"/>
        <v>101</v>
      </c>
      <c r="Y38" s="111">
        <f>Lecanemab_hcc!F38</f>
        <v>1</v>
      </c>
      <c r="Z38" s="111">
        <f>Lecanemab_hcc!G38</f>
        <v>1</v>
      </c>
      <c r="AA38" s="111">
        <f>Lecanemab_hcc!H38</f>
        <v>1</v>
      </c>
      <c r="AB38" s="111">
        <f>Lecanemab_hcc!I38</f>
        <v>1</v>
      </c>
      <c r="AD38" s="266">
        <f t="shared" si="4"/>
        <v>0</v>
      </c>
      <c r="AE38" s="126">
        <f t="shared" si="5"/>
        <v>0</v>
      </c>
      <c r="AF38" s="126">
        <f t="shared" si="6"/>
        <v>0</v>
      </c>
      <c r="AG38" s="126">
        <f t="shared" si="7"/>
        <v>0</v>
      </c>
      <c r="AH38" s="126">
        <f t="shared" si="8"/>
        <v>0</v>
      </c>
      <c r="AI38" s="126">
        <f t="shared" si="9"/>
        <v>0</v>
      </c>
      <c r="AJ38" s="126">
        <f t="shared" si="10"/>
        <v>0</v>
      </c>
      <c r="AK38" s="126">
        <f t="shared" si="11"/>
        <v>0</v>
      </c>
      <c r="AL38" s="126">
        <f t="shared" si="12"/>
        <v>6.8498652782645964E-3</v>
      </c>
      <c r="AM38" s="127">
        <f t="shared" si="13"/>
        <v>8.4813851809407721E-3</v>
      </c>
      <c r="AN38" s="125">
        <f t="shared" si="14"/>
        <v>0</v>
      </c>
      <c r="AO38" s="126">
        <f t="shared" si="15"/>
        <v>0</v>
      </c>
      <c r="AP38" s="126">
        <f t="shared" si="16"/>
        <v>0</v>
      </c>
      <c r="AQ38" s="126">
        <f t="shared" si="17"/>
        <v>0</v>
      </c>
      <c r="AR38" s="126">
        <f t="shared" si="18"/>
        <v>0</v>
      </c>
      <c r="AS38" s="126">
        <f t="shared" si="19"/>
        <v>0</v>
      </c>
      <c r="AT38" s="126">
        <f t="shared" si="20"/>
        <v>0</v>
      </c>
      <c r="AU38" s="126">
        <f t="shared" si="21"/>
        <v>0</v>
      </c>
      <c r="AV38" s="126">
        <f t="shared" si="22"/>
        <v>0.41362294674327654</v>
      </c>
      <c r="AW38" s="127">
        <f t="shared" si="23"/>
        <v>0.57104580279751804</v>
      </c>
      <c r="AX38" s="264">
        <f t="shared" si="24"/>
        <v>1</v>
      </c>
    </row>
    <row r="39" spans="1:50" x14ac:dyDescent="0.4">
      <c r="A39" s="244"/>
      <c r="B39" s="151"/>
      <c r="C39" s="245"/>
      <c r="D39" s="245"/>
      <c r="E39" s="245"/>
      <c r="F39" s="245"/>
      <c r="G39" s="245"/>
      <c r="H39" s="245"/>
      <c r="I39" s="245"/>
      <c r="J39" s="245"/>
      <c r="K39" s="245"/>
      <c r="L39" s="245"/>
      <c r="M39" s="245"/>
      <c r="N39" s="245"/>
      <c r="O39" s="245"/>
      <c r="P39" s="245"/>
      <c r="Q39" s="245"/>
      <c r="R39" s="245"/>
      <c r="S39" s="245"/>
      <c r="T39" s="245"/>
      <c r="U39" s="245"/>
      <c r="V39" s="245"/>
      <c r="W39" s="244"/>
      <c r="X39">
        <f t="shared" si="3"/>
        <v>102</v>
      </c>
      <c r="Y39" s="111">
        <f>Lecanemab_hcc!F39</f>
        <v>1</v>
      </c>
      <c r="Z39" s="111">
        <f>Lecanemab_hcc!G39</f>
        <v>1</v>
      </c>
      <c r="AA39" s="111">
        <f>Lecanemab_hcc!H39</f>
        <v>1</v>
      </c>
      <c r="AB39" s="111">
        <f>Lecanemab_hcc!I39</f>
        <v>1</v>
      </c>
      <c r="AD39" s="266">
        <f t="shared" si="4"/>
        <v>0</v>
      </c>
      <c r="AE39" s="126">
        <f t="shared" si="5"/>
        <v>0</v>
      </c>
      <c r="AF39" s="126">
        <f t="shared" si="6"/>
        <v>0</v>
      </c>
      <c r="AG39" s="126">
        <f t="shared" si="7"/>
        <v>0</v>
      </c>
      <c r="AH39" s="126">
        <f t="shared" si="8"/>
        <v>0</v>
      </c>
      <c r="AI39" s="126">
        <f t="shared" si="9"/>
        <v>0</v>
      </c>
      <c r="AJ39" s="126">
        <f t="shared" si="10"/>
        <v>0</v>
      </c>
      <c r="AK39" s="126">
        <f t="shared" si="11"/>
        <v>0</v>
      </c>
      <c r="AL39" s="126">
        <f t="shared" si="12"/>
        <v>5.959382792090199E-3</v>
      </c>
      <c r="AM39" s="127">
        <f t="shared" si="13"/>
        <v>7.3788051074184713E-3</v>
      </c>
      <c r="AN39" s="125">
        <f t="shared" si="14"/>
        <v>0</v>
      </c>
      <c r="AO39" s="126">
        <f t="shared" si="15"/>
        <v>0</v>
      </c>
      <c r="AP39" s="126">
        <f t="shared" si="16"/>
        <v>0</v>
      </c>
      <c r="AQ39" s="126">
        <f t="shared" si="17"/>
        <v>0</v>
      </c>
      <c r="AR39" s="126">
        <f t="shared" si="18"/>
        <v>0</v>
      </c>
      <c r="AS39" s="126">
        <f t="shared" si="19"/>
        <v>0</v>
      </c>
      <c r="AT39" s="126">
        <f t="shared" si="20"/>
        <v>0</v>
      </c>
      <c r="AU39" s="126">
        <f t="shared" si="21"/>
        <v>0</v>
      </c>
      <c r="AV39" s="126">
        <f t="shared" si="22"/>
        <v>0.41451342922945095</v>
      </c>
      <c r="AW39" s="127">
        <f t="shared" si="23"/>
        <v>0.57214838287104031</v>
      </c>
      <c r="AX39" s="264">
        <f t="shared" si="24"/>
        <v>1</v>
      </c>
    </row>
    <row r="40" spans="1:50" x14ac:dyDescent="0.4">
      <c r="A40" s="244"/>
      <c r="B40" s="151"/>
      <c r="C40" s="245"/>
      <c r="D40" s="244"/>
      <c r="E40" s="244"/>
      <c r="F40" s="244"/>
      <c r="G40" s="245"/>
      <c r="H40" s="245"/>
      <c r="I40" s="244"/>
      <c r="J40" s="244"/>
      <c r="K40" s="244"/>
      <c r="L40" s="245"/>
      <c r="M40" s="245"/>
      <c r="N40" s="244"/>
      <c r="O40" s="244"/>
      <c r="P40" s="244"/>
      <c r="Q40" s="245"/>
      <c r="R40" s="245"/>
      <c r="S40" s="244"/>
      <c r="T40" s="244"/>
      <c r="U40" s="244"/>
      <c r="V40" s="245"/>
      <c r="W40" s="244"/>
      <c r="X40">
        <f t="shared" si="3"/>
        <v>103</v>
      </c>
      <c r="Y40" s="111">
        <f>Lecanemab_hcc!F40</f>
        <v>1</v>
      </c>
      <c r="Z40" s="111">
        <f>Lecanemab_hcc!G40</f>
        <v>1</v>
      </c>
      <c r="AA40" s="111">
        <f>Lecanemab_hcc!H40</f>
        <v>1</v>
      </c>
      <c r="AB40" s="111">
        <f>Lecanemab_hcc!I40</f>
        <v>1</v>
      </c>
      <c r="AD40" s="266">
        <f t="shared" si="4"/>
        <v>0</v>
      </c>
      <c r="AE40" s="126">
        <f t="shared" si="5"/>
        <v>0</v>
      </c>
      <c r="AF40" s="126">
        <f t="shared" si="6"/>
        <v>0</v>
      </c>
      <c r="AG40" s="126">
        <f t="shared" si="7"/>
        <v>0</v>
      </c>
      <c r="AH40" s="126">
        <f t="shared" si="8"/>
        <v>0</v>
      </c>
      <c r="AI40" s="126">
        <f t="shared" si="9"/>
        <v>0</v>
      </c>
      <c r="AJ40" s="126">
        <f t="shared" si="10"/>
        <v>0</v>
      </c>
      <c r="AK40" s="126">
        <f t="shared" si="11"/>
        <v>0</v>
      </c>
      <c r="AL40" s="126">
        <f t="shared" si="12"/>
        <v>5.1846630291184732E-3</v>
      </c>
      <c r="AM40" s="127">
        <f t="shared" si="13"/>
        <v>6.4195604434540698E-3</v>
      </c>
      <c r="AN40" s="125">
        <f t="shared" si="14"/>
        <v>0</v>
      </c>
      <c r="AO40" s="126">
        <f t="shared" si="15"/>
        <v>0</v>
      </c>
      <c r="AP40" s="126">
        <f t="shared" si="16"/>
        <v>0</v>
      </c>
      <c r="AQ40" s="126">
        <f t="shared" si="17"/>
        <v>0</v>
      </c>
      <c r="AR40" s="126">
        <f t="shared" si="18"/>
        <v>0</v>
      </c>
      <c r="AS40" s="126">
        <f t="shared" si="19"/>
        <v>0</v>
      </c>
      <c r="AT40" s="126">
        <f t="shared" si="20"/>
        <v>0</v>
      </c>
      <c r="AU40" s="126">
        <f t="shared" si="21"/>
        <v>0</v>
      </c>
      <c r="AV40" s="126">
        <f t="shared" si="22"/>
        <v>0.41528814899242267</v>
      </c>
      <c r="AW40" s="127">
        <f t="shared" si="23"/>
        <v>0.57310762753500466</v>
      </c>
      <c r="AX40" s="264">
        <f t="shared" si="24"/>
        <v>0.99999999999999989</v>
      </c>
    </row>
    <row r="41" spans="1:50" x14ac:dyDescent="0.4">
      <c r="A41" s="244"/>
      <c r="B41" s="151"/>
      <c r="C41" s="245"/>
      <c r="D41" s="244"/>
      <c r="E41" s="244"/>
      <c r="F41" s="244"/>
      <c r="G41" s="245"/>
      <c r="H41" s="245"/>
      <c r="I41" s="244"/>
      <c r="J41" s="244"/>
      <c r="K41" s="244"/>
      <c r="L41" s="245"/>
      <c r="M41" s="245"/>
      <c r="N41" s="244"/>
      <c r="O41" s="244"/>
      <c r="P41" s="244"/>
      <c r="Q41" s="245"/>
      <c r="R41" s="245"/>
      <c r="S41" s="244"/>
      <c r="T41" s="244"/>
      <c r="U41" s="244"/>
      <c r="V41" s="245"/>
      <c r="W41" s="244"/>
      <c r="X41">
        <f t="shared" si="3"/>
        <v>104</v>
      </c>
      <c r="Y41" s="111">
        <f>Lecanemab_hcc!F41</f>
        <v>1</v>
      </c>
      <c r="Z41" s="111">
        <f>Lecanemab_hcc!G41</f>
        <v>1</v>
      </c>
      <c r="AA41" s="111">
        <f>Lecanemab_hcc!H41</f>
        <v>1</v>
      </c>
      <c r="AB41" s="111">
        <f>Lecanemab_hcc!I41</f>
        <v>1</v>
      </c>
      <c r="AD41" s="266">
        <f t="shared" si="4"/>
        <v>0</v>
      </c>
      <c r="AE41" s="126">
        <f t="shared" si="5"/>
        <v>0</v>
      </c>
      <c r="AF41" s="126">
        <f t="shared" si="6"/>
        <v>0</v>
      </c>
      <c r="AG41" s="126">
        <f t="shared" si="7"/>
        <v>0</v>
      </c>
      <c r="AH41" s="126">
        <f t="shared" si="8"/>
        <v>0</v>
      </c>
      <c r="AI41" s="126">
        <f t="shared" si="9"/>
        <v>0</v>
      </c>
      <c r="AJ41" s="126">
        <f t="shared" si="10"/>
        <v>0</v>
      </c>
      <c r="AK41" s="126">
        <f t="shared" si="11"/>
        <v>0</v>
      </c>
      <c r="AL41" s="126">
        <f t="shared" si="12"/>
        <v>4.5106568353330719E-3</v>
      </c>
      <c r="AM41" s="127">
        <f t="shared" si="13"/>
        <v>5.585017585805041E-3</v>
      </c>
      <c r="AN41" s="125">
        <f t="shared" si="14"/>
        <v>0</v>
      </c>
      <c r="AO41" s="126">
        <f t="shared" si="15"/>
        <v>0</v>
      </c>
      <c r="AP41" s="126">
        <f t="shared" si="16"/>
        <v>0</v>
      </c>
      <c r="AQ41" s="126">
        <f t="shared" si="17"/>
        <v>0</v>
      </c>
      <c r="AR41" s="126">
        <f t="shared" si="18"/>
        <v>0</v>
      </c>
      <c r="AS41" s="126">
        <f t="shared" si="19"/>
        <v>0</v>
      </c>
      <c r="AT41" s="126">
        <f t="shared" si="20"/>
        <v>0</v>
      </c>
      <c r="AU41" s="126">
        <f t="shared" si="21"/>
        <v>0</v>
      </c>
      <c r="AV41" s="126">
        <f t="shared" si="22"/>
        <v>0.41596215518620805</v>
      </c>
      <c r="AW41" s="127">
        <f t="shared" si="23"/>
        <v>0.57394217039265372</v>
      </c>
      <c r="AX41" s="264">
        <f t="shared" si="24"/>
        <v>0.99999999999999989</v>
      </c>
    </row>
    <row r="42" spans="1:50" x14ac:dyDescent="0.4">
      <c r="A42" s="244"/>
      <c r="B42" s="151"/>
      <c r="C42" s="245"/>
      <c r="D42" s="244"/>
      <c r="E42" s="244"/>
      <c r="F42" s="244"/>
      <c r="G42" s="245"/>
      <c r="H42" s="245"/>
      <c r="I42" s="244"/>
      <c r="J42" s="244"/>
      <c r="K42" s="244"/>
      <c r="L42" s="245"/>
      <c r="M42" s="245"/>
      <c r="N42" s="244"/>
      <c r="O42" s="244"/>
      <c r="P42" s="244"/>
      <c r="Q42" s="245"/>
      <c r="R42" s="245"/>
      <c r="S42" s="244"/>
      <c r="T42" s="244"/>
      <c r="U42" s="244"/>
      <c r="V42" s="245"/>
      <c r="W42" s="244"/>
      <c r="X42">
        <f t="shared" si="3"/>
        <v>105</v>
      </c>
      <c r="Y42" s="111">
        <f>Lecanemab_hcc!F42</f>
        <v>1</v>
      </c>
      <c r="Z42" s="111">
        <f>Lecanemab_hcc!G42</f>
        <v>1</v>
      </c>
      <c r="AA42" s="111">
        <f>Lecanemab_hcc!H42</f>
        <v>1</v>
      </c>
      <c r="AB42" s="111">
        <f>Lecanemab_hcc!I42</f>
        <v>1</v>
      </c>
      <c r="AD42" s="266">
        <f t="shared" si="4"/>
        <v>0</v>
      </c>
      <c r="AE42" s="126">
        <f t="shared" si="5"/>
        <v>0</v>
      </c>
      <c r="AF42" s="126">
        <f t="shared" si="6"/>
        <v>0</v>
      </c>
      <c r="AG42" s="126">
        <f t="shared" si="7"/>
        <v>0</v>
      </c>
      <c r="AH42" s="126">
        <f t="shared" si="8"/>
        <v>0</v>
      </c>
      <c r="AI42" s="126">
        <f t="shared" si="9"/>
        <v>0</v>
      </c>
      <c r="AJ42" s="126">
        <f t="shared" si="10"/>
        <v>0</v>
      </c>
      <c r="AK42" s="126">
        <f t="shared" si="11"/>
        <v>0</v>
      </c>
      <c r="AL42" s="126">
        <f t="shared" si="12"/>
        <v>3.9242714467397728E-3</v>
      </c>
      <c r="AM42" s="127">
        <f t="shared" si="13"/>
        <v>4.8589652996503859E-3</v>
      </c>
      <c r="AN42" s="125">
        <f t="shared" si="14"/>
        <v>0</v>
      </c>
      <c r="AO42" s="126">
        <f t="shared" si="15"/>
        <v>0</v>
      </c>
      <c r="AP42" s="126">
        <f t="shared" si="16"/>
        <v>0</v>
      </c>
      <c r="AQ42" s="126">
        <f t="shared" si="17"/>
        <v>0</v>
      </c>
      <c r="AR42" s="126">
        <f t="shared" si="18"/>
        <v>0</v>
      </c>
      <c r="AS42" s="126">
        <f t="shared" si="19"/>
        <v>0</v>
      </c>
      <c r="AT42" s="126">
        <f t="shared" si="20"/>
        <v>0</v>
      </c>
      <c r="AU42" s="126">
        <f t="shared" si="21"/>
        <v>0</v>
      </c>
      <c r="AV42" s="126">
        <f t="shared" si="22"/>
        <v>0.41654854057480134</v>
      </c>
      <c r="AW42" s="127">
        <f t="shared" si="23"/>
        <v>0.57466822267880835</v>
      </c>
      <c r="AX42" s="264">
        <f t="shared" si="24"/>
        <v>0.99999999999999978</v>
      </c>
    </row>
    <row r="43" spans="1:50" x14ac:dyDescent="0.4">
      <c r="A43" s="244"/>
      <c r="B43" s="151"/>
      <c r="C43" s="245"/>
      <c r="D43" s="244"/>
      <c r="E43" s="244"/>
      <c r="F43" s="244"/>
      <c r="G43" s="244"/>
      <c r="H43" s="245"/>
      <c r="I43" s="244"/>
      <c r="J43" s="244"/>
      <c r="K43" s="244"/>
      <c r="L43" s="247"/>
      <c r="M43" s="245"/>
      <c r="N43" s="244"/>
      <c r="O43" s="244"/>
      <c r="P43" s="244"/>
      <c r="Q43" s="244"/>
      <c r="R43" s="245"/>
      <c r="S43" s="244"/>
      <c r="T43" s="244"/>
      <c r="U43" s="244"/>
      <c r="V43" s="247"/>
      <c r="W43" s="244"/>
      <c r="X43">
        <f t="shared" si="3"/>
        <v>106</v>
      </c>
      <c r="Y43" s="111">
        <f>Lecanemab_hcc!F43</f>
        <v>1</v>
      </c>
      <c r="Z43" s="111">
        <f>Lecanemab_hcc!G43</f>
        <v>1</v>
      </c>
      <c r="AA43" s="111">
        <f>Lecanemab_hcc!H43</f>
        <v>1</v>
      </c>
      <c r="AB43" s="111">
        <f>Lecanemab_hcc!I43</f>
        <v>1</v>
      </c>
      <c r="AD43" s="266">
        <f t="shared" si="4"/>
        <v>0</v>
      </c>
      <c r="AE43" s="126">
        <f t="shared" si="5"/>
        <v>0</v>
      </c>
      <c r="AF43" s="126">
        <f t="shared" si="6"/>
        <v>0</v>
      </c>
      <c r="AG43" s="126">
        <f t="shared" si="7"/>
        <v>0</v>
      </c>
      <c r="AH43" s="126">
        <f t="shared" si="8"/>
        <v>0</v>
      </c>
      <c r="AI43" s="126">
        <f t="shared" si="9"/>
        <v>0</v>
      </c>
      <c r="AJ43" s="126">
        <f t="shared" si="10"/>
        <v>0</v>
      </c>
      <c r="AK43" s="126">
        <f t="shared" si="11"/>
        <v>0</v>
      </c>
      <c r="AL43" s="126">
        <f t="shared" si="12"/>
        <v>3.4141161586636022E-3</v>
      </c>
      <c r="AM43" s="127">
        <f t="shared" si="13"/>
        <v>4.2272998106958354E-3</v>
      </c>
      <c r="AN43" s="125">
        <f t="shared" si="14"/>
        <v>0</v>
      </c>
      <c r="AO43" s="126">
        <f t="shared" si="15"/>
        <v>0</v>
      </c>
      <c r="AP43" s="126">
        <f t="shared" si="16"/>
        <v>0</v>
      </c>
      <c r="AQ43" s="126">
        <f t="shared" si="17"/>
        <v>0</v>
      </c>
      <c r="AR43" s="126">
        <f t="shared" si="18"/>
        <v>0</v>
      </c>
      <c r="AS43" s="126">
        <f t="shared" si="19"/>
        <v>0</v>
      </c>
      <c r="AT43" s="126">
        <f t="shared" si="20"/>
        <v>0</v>
      </c>
      <c r="AU43" s="126">
        <f t="shared" si="21"/>
        <v>0</v>
      </c>
      <c r="AV43" s="126">
        <f t="shared" si="22"/>
        <v>0.41705869586287753</v>
      </c>
      <c r="AW43" s="127">
        <f t="shared" si="23"/>
        <v>0.5752998881677629</v>
      </c>
      <c r="AX43" s="264">
        <f t="shared" si="24"/>
        <v>0.99999999999999978</v>
      </c>
    </row>
    <row r="44" spans="1:50" x14ac:dyDescent="0.4">
      <c r="A44" s="244"/>
      <c r="B44" s="151"/>
      <c r="C44" s="245"/>
      <c r="D44" s="244"/>
      <c r="E44" s="244"/>
      <c r="F44" s="244"/>
      <c r="G44" s="244"/>
      <c r="H44" s="244"/>
      <c r="I44" s="244"/>
      <c r="J44" s="244"/>
      <c r="K44" s="244"/>
      <c r="L44" s="244"/>
      <c r="M44" s="244"/>
      <c r="N44" s="244"/>
      <c r="O44" s="244"/>
      <c r="P44" s="244"/>
      <c r="Q44" s="244"/>
      <c r="R44" s="244"/>
      <c r="S44" s="244"/>
      <c r="T44" s="244"/>
      <c r="U44" s="244"/>
      <c r="V44" s="244"/>
      <c r="W44" s="244"/>
      <c r="X44">
        <f t="shared" si="3"/>
        <v>107</v>
      </c>
      <c r="Y44" s="111">
        <f>Lecanemab_hcc!F44</f>
        <v>1</v>
      </c>
      <c r="Z44" s="111">
        <f>Lecanemab_hcc!G44</f>
        <v>1</v>
      </c>
      <c r="AA44" s="111">
        <f>Lecanemab_hcc!H44</f>
        <v>1</v>
      </c>
      <c r="AB44" s="111">
        <f>Lecanemab_hcc!I44</f>
        <v>1</v>
      </c>
      <c r="AD44" s="266">
        <f t="shared" si="4"/>
        <v>0</v>
      </c>
      <c r="AE44" s="126">
        <f t="shared" si="5"/>
        <v>0</v>
      </c>
      <c r="AF44" s="126">
        <f t="shared" si="6"/>
        <v>0</v>
      </c>
      <c r="AG44" s="126">
        <f t="shared" si="7"/>
        <v>0</v>
      </c>
      <c r="AH44" s="126">
        <f t="shared" si="8"/>
        <v>0</v>
      </c>
      <c r="AI44" s="126">
        <f t="shared" si="9"/>
        <v>0</v>
      </c>
      <c r="AJ44" s="126">
        <f t="shared" si="10"/>
        <v>0</v>
      </c>
      <c r="AK44" s="126">
        <f t="shared" si="11"/>
        <v>0</v>
      </c>
      <c r="AL44" s="126">
        <f t="shared" si="12"/>
        <v>2.970281058037334E-3</v>
      </c>
      <c r="AM44" s="127">
        <f t="shared" si="13"/>
        <v>3.677750835305377E-3</v>
      </c>
      <c r="AN44" s="125">
        <f t="shared" si="14"/>
        <v>0</v>
      </c>
      <c r="AO44" s="126">
        <f t="shared" si="15"/>
        <v>0</v>
      </c>
      <c r="AP44" s="126">
        <f t="shared" si="16"/>
        <v>0</v>
      </c>
      <c r="AQ44" s="126">
        <f t="shared" si="17"/>
        <v>0</v>
      </c>
      <c r="AR44" s="126">
        <f t="shared" si="18"/>
        <v>0</v>
      </c>
      <c r="AS44" s="126">
        <f t="shared" si="19"/>
        <v>0</v>
      </c>
      <c r="AT44" s="126">
        <f t="shared" si="20"/>
        <v>0</v>
      </c>
      <c r="AU44" s="126">
        <f t="shared" si="21"/>
        <v>0</v>
      </c>
      <c r="AV44" s="126">
        <f t="shared" si="22"/>
        <v>0.41750253096350382</v>
      </c>
      <c r="AW44" s="127">
        <f t="shared" si="23"/>
        <v>0.5758494371431534</v>
      </c>
      <c r="AX44" s="264">
        <f t="shared" si="24"/>
        <v>1</v>
      </c>
    </row>
    <row r="45" spans="1:50" x14ac:dyDescent="0.4">
      <c r="A45" s="244"/>
      <c r="B45" s="151"/>
      <c r="C45" s="245"/>
      <c r="D45" s="244"/>
      <c r="E45" s="244"/>
      <c r="F45" s="244"/>
      <c r="G45" s="244"/>
      <c r="H45" s="244"/>
      <c r="I45" s="244"/>
      <c r="J45" s="244"/>
      <c r="K45" s="244"/>
      <c r="L45" s="244"/>
      <c r="M45" s="244"/>
      <c r="N45" s="244"/>
      <c r="O45" s="244"/>
      <c r="P45" s="244"/>
      <c r="Q45" s="244"/>
      <c r="R45" s="244"/>
      <c r="S45" s="244"/>
      <c r="T45" s="244"/>
      <c r="U45" s="244"/>
      <c r="V45" s="244"/>
      <c r="W45" s="244"/>
      <c r="X45">
        <f t="shared" si="3"/>
        <v>108</v>
      </c>
      <c r="Y45" s="111">
        <f>Lecanemab_hcc!F45</f>
        <v>1</v>
      </c>
      <c r="Z45" s="111">
        <f>Lecanemab_hcc!G45</f>
        <v>1</v>
      </c>
      <c r="AA45" s="111">
        <f>Lecanemab_hcc!H45</f>
        <v>1</v>
      </c>
      <c r="AB45" s="111">
        <f>Lecanemab_hcc!I45</f>
        <v>1</v>
      </c>
      <c r="AD45" s="266">
        <f t="shared" si="4"/>
        <v>0</v>
      </c>
      <c r="AE45" s="126">
        <f t="shared" si="5"/>
        <v>0</v>
      </c>
      <c r="AF45" s="126">
        <f t="shared" si="6"/>
        <v>0</v>
      </c>
      <c r="AG45" s="126">
        <f t="shared" si="7"/>
        <v>0</v>
      </c>
      <c r="AH45" s="126">
        <f t="shared" si="8"/>
        <v>0</v>
      </c>
      <c r="AI45" s="126">
        <f t="shared" si="9"/>
        <v>0</v>
      </c>
      <c r="AJ45" s="126">
        <f t="shared" si="10"/>
        <v>0</v>
      </c>
      <c r="AK45" s="126">
        <f t="shared" si="11"/>
        <v>0</v>
      </c>
      <c r="AL45" s="126">
        <f t="shared" si="12"/>
        <v>2.5841445204924807E-3</v>
      </c>
      <c r="AM45" s="127">
        <f t="shared" si="13"/>
        <v>3.1996432267156778E-3</v>
      </c>
      <c r="AN45" s="125">
        <f t="shared" si="14"/>
        <v>0</v>
      </c>
      <c r="AO45" s="126">
        <f t="shared" si="15"/>
        <v>0</v>
      </c>
      <c r="AP45" s="126">
        <f t="shared" si="16"/>
        <v>0</v>
      </c>
      <c r="AQ45" s="126">
        <f t="shared" si="17"/>
        <v>0</v>
      </c>
      <c r="AR45" s="126">
        <f t="shared" si="18"/>
        <v>0</v>
      </c>
      <c r="AS45" s="126">
        <f t="shared" si="19"/>
        <v>0</v>
      </c>
      <c r="AT45" s="126">
        <f t="shared" si="20"/>
        <v>0</v>
      </c>
      <c r="AU45" s="126">
        <f t="shared" si="21"/>
        <v>0</v>
      </c>
      <c r="AV45" s="126">
        <f t="shared" si="22"/>
        <v>0.41788866750104869</v>
      </c>
      <c r="AW45" s="127">
        <f t="shared" si="23"/>
        <v>0.57632754475174308</v>
      </c>
      <c r="AX45" s="264">
        <f t="shared" si="24"/>
        <v>1</v>
      </c>
    </row>
    <row r="46" spans="1:50" x14ac:dyDescent="0.4">
      <c r="A46" s="244"/>
      <c r="B46" s="244"/>
      <c r="C46" s="244"/>
      <c r="D46" s="244"/>
      <c r="E46" s="244"/>
      <c r="F46" s="244"/>
      <c r="G46" s="244"/>
      <c r="H46" s="244"/>
      <c r="I46" s="244"/>
      <c r="J46" s="244"/>
      <c r="K46" s="244"/>
      <c r="L46" s="244"/>
      <c r="M46" s="244"/>
      <c r="N46" s="244"/>
      <c r="O46" s="244"/>
      <c r="P46" s="244"/>
      <c r="Q46" s="244"/>
      <c r="R46" s="244"/>
      <c r="S46" s="244"/>
      <c r="T46" s="244"/>
      <c r="U46" s="244"/>
      <c r="V46" s="244"/>
      <c r="W46" s="244"/>
      <c r="X46">
        <f t="shared" si="3"/>
        <v>109</v>
      </c>
      <c r="Y46" s="111">
        <f>Lecanemab_hcc!F46</f>
        <v>1</v>
      </c>
      <c r="Z46" s="111">
        <f>Lecanemab_hcc!G46</f>
        <v>1</v>
      </c>
      <c r="AA46" s="111">
        <f>Lecanemab_hcc!H46</f>
        <v>1</v>
      </c>
      <c r="AB46" s="111">
        <f>Lecanemab_hcc!I46</f>
        <v>1</v>
      </c>
      <c r="AD46" s="266">
        <f t="shared" si="4"/>
        <v>0</v>
      </c>
      <c r="AE46" s="126">
        <f t="shared" si="5"/>
        <v>0</v>
      </c>
      <c r="AF46" s="126">
        <f t="shared" si="6"/>
        <v>0</v>
      </c>
      <c r="AG46" s="126">
        <f t="shared" si="7"/>
        <v>0</v>
      </c>
      <c r="AH46" s="126">
        <f t="shared" si="8"/>
        <v>0</v>
      </c>
      <c r="AI46" s="126">
        <f t="shared" si="9"/>
        <v>0</v>
      </c>
      <c r="AJ46" s="126">
        <f t="shared" si="10"/>
        <v>0</v>
      </c>
      <c r="AK46" s="126">
        <f t="shared" si="11"/>
        <v>0</v>
      </c>
      <c r="AL46" s="126">
        <f t="shared" si="12"/>
        <v>2.2482057328284582E-3</v>
      </c>
      <c r="AM46" s="127">
        <f t="shared" si="13"/>
        <v>2.7836896072426396E-3</v>
      </c>
      <c r="AN46" s="125">
        <f t="shared" si="14"/>
        <v>0</v>
      </c>
      <c r="AO46" s="126">
        <f t="shared" si="15"/>
        <v>0</v>
      </c>
      <c r="AP46" s="126">
        <f t="shared" si="16"/>
        <v>0</v>
      </c>
      <c r="AQ46" s="126">
        <f t="shared" si="17"/>
        <v>0</v>
      </c>
      <c r="AR46" s="126">
        <f t="shared" si="18"/>
        <v>0</v>
      </c>
      <c r="AS46" s="126">
        <f t="shared" si="19"/>
        <v>0</v>
      </c>
      <c r="AT46" s="126">
        <f t="shared" si="20"/>
        <v>0</v>
      </c>
      <c r="AU46" s="126">
        <f t="shared" si="21"/>
        <v>0</v>
      </c>
      <c r="AV46" s="126">
        <f t="shared" si="22"/>
        <v>0.41822460628871272</v>
      </c>
      <c r="AW46" s="127">
        <f t="shared" si="23"/>
        <v>0.57674349837121608</v>
      </c>
      <c r="AX46" s="264">
        <f t="shared" si="24"/>
        <v>0.99999999999999989</v>
      </c>
    </row>
    <row r="47" spans="1:50" ht="18" thickBot="1" x14ac:dyDescent="0.45">
      <c r="A47" s="244"/>
      <c r="B47" s="151"/>
      <c r="C47" s="151"/>
      <c r="D47" s="151"/>
      <c r="E47" s="151"/>
      <c r="F47" s="151"/>
      <c r="G47" s="151"/>
      <c r="H47" s="151"/>
      <c r="I47" s="151"/>
      <c r="J47" s="151"/>
      <c r="K47" s="151"/>
      <c r="L47" s="244"/>
      <c r="M47" s="244"/>
      <c r="N47" s="244"/>
      <c r="O47" s="244"/>
      <c r="P47" s="244"/>
      <c r="Q47" s="244"/>
      <c r="R47" s="244"/>
      <c r="S47" s="244"/>
      <c r="T47" s="244"/>
      <c r="U47" s="244"/>
      <c r="V47" s="244"/>
      <c r="W47" s="244"/>
      <c r="X47">
        <f t="shared" si="3"/>
        <v>110</v>
      </c>
      <c r="Y47" s="111">
        <f>Lecanemab_hcc!F47</f>
        <v>1</v>
      </c>
      <c r="Z47" s="111">
        <f>Lecanemab_hcc!G47</f>
        <v>1</v>
      </c>
      <c r="AA47" s="111">
        <f>Lecanemab_hcc!H47</f>
        <v>1</v>
      </c>
      <c r="AB47" s="111">
        <f>Lecanemab_hcc!I47</f>
        <v>1</v>
      </c>
      <c r="AD47" s="267">
        <f t="shared" si="4"/>
        <v>0</v>
      </c>
      <c r="AE47" s="268">
        <f t="shared" si="5"/>
        <v>0</v>
      </c>
      <c r="AF47" s="268">
        <f t="shared" si="6"/>
        <v>0</v>
      </c>
      <c r="AG47" s="268">
        <f t="shared" si="7"/>
        <v>0</v>
      </c>
      <c r="AH47" s="268">
        <f t="shared" si="8"/>
        <v>0</v>
      </c>
      <c r="AI47" s="268">
        <f t="shared" si="9"/>
        <v>0</v>
      </c>
      <c r="AJ47" s="268">
        <f t="shared" si="10"/>
        <v>0</v>
      </c>
      <c r="AK47" s="268">
        <f t="shared" si="11"/>
        <v>0</v>
      </c>
      <c r="AL47" s="268">
        <f t="shared" si="12"/>
        <v>1.9559389875607584E-3</v>
      </c>
      <c r="AM47" s="269">
        <f t="shared" si="13"/>
        <v>2.4218099583010965E-3</v>
      </c>
      <c r="AN47" s="270">
        <f t="shared" si="14"/>
        <v>0</v>
      </c>
      <c r="AO47" s="268">
        <f t="shared" si="15"/>
        <v>0</v>
      </c>
      <c r="AP47" s="268">
        <f t="shared" si="16"/>
        <v>0</v>
      </c>
      <c r="AQ47" s="268">
        <f t="shared" si="17"/>
        <v>0</v>
      </c>
      <c r="AR47" s="268">
        <f t="shared" si="18"/>
        <v>0</v>
      </c>
      <c r="AS47" s="268">
        <f t="shared" si="19"/>
        <v>0</v>
      </c>
      <c r="AT47" s="268">
        <f t="shared" si="20"/>
        <v>0</v>
      </c>
      <c r="AU47" s="268">
        <f t="shared" si="21"/>
        <v>0</v>
      </c>
      <c r="AV47" s="268">
        <f t="shared" si="22"/>
        <v>0.41851687303398044</v>
      </c>
      <c r="AW47" s="269">
        <f t="shared" si="23"/>
        <v>0.5771053780201576</v>
      </c>
      <c r="AX47" s="271">
        <f t="shared" si="24"/>
        <v>0.99999999999999989</v>
      </c>
    </row>
    <row r="48" spans="1:50" x14ac:dyDescent="0.4">
      <c r="A48" s="244"/>
      <c r="B48" s="151"/>
      <c r="C48" s="287"/>
      <c r="D48" s="287"/>
      <c r="E48" s="287"/>
      <c r="F48" s="287"/>
      <c r="G48" s="287"/>
      <c r="H48" s="287"/>
      <c r="I48" s="287"/>
      <c r="J48" s="287"/>
      <c r="K48" s="287"/>
      <c r="L48" s="287"/>
      <c r="M48" s="244"/>
      <c r="N48" s="244"/>
      <c r="O48" s="244"/>
      <c r="P48" s="244"/>
      <c r="Q48" s="244"/>
      <c r="R48" s="244"/>
      <c r="S48" s="244"/>
      <c r="T48" s="244"/>
      <c r="U48" s="244"/>
      <c r="V48" s="244"/>
      <c r="W48" s="244"/>
      <c r="X48">
        <f t="shared" si="3"/>
        <v>111</v>
      </c>
      <c r="Y48" s="111">
        <f>Lecanemab_hcc!F48</f>
        <v>1</v>
      </c>
      <c r="Z48" s="111">
        <f>Lecanemab_hcc!G48</f>
        <v>1</v>
      </c>
      <c r="AA48" s="111">
        <f>Lecanemab_hcc!H48</f>
        <v>1</v>
      </c>
      <c r="AB48" s="111">
        <f>Lecanemab_hcc!I48</f>
        <v>1</v>
      </c>
    </row>
    <row r="49" spans="1:44" x14ac:dyDescent="0.4">
      <c r="A49" s="244"/>
      <c r="B49" s="246"/>
      <c r="C49" s="151"/>
      <c r="D49" s="151"/>
      <c r="E49" s="151"/>
      <c r="F49" s="151"/>
      <c r="G49" s="151"/>
      <c r="H49" s="151"/>
      <c r="I49" s="151"/>
      <c r="J49" s="151"/>
      <c r="K49" s="151"/>
      <c r="L49" s="151"/>
      <c r="M49" s="151"/>
      <c r="N49" s="244"/>
      <c r="O49" s="244"/>
      <c r="P49" s="244"/>
      <c r="Q49" s="244"/>
      <c r="R49" s="244"/>
      <c r="S49" s="244"/>
      <c r="T49" s="244"/>
      <c r="U49" s="244"/>
      <c r="V49" s="244"/>
      <c r="W49" s="244"/>
      <c r="X49">
        <f t="shared" si="3"/>
        <v>112</v>
      </c>
      <c r="Y49" s="111">
        <f>Lecanemab_hcc!F49</f>
        <v>1</v>
      </c>
      <c r="Z49" s="111">
        <f>Lecanemab_hcc!G49</f>
        <v>1</v>
      </c>
      <c r="AA49" s="111">
        <f>Lecanemab_hcc!H49</f>
        <v>1</v>
      </c>
      <c r="AB49" s="111">
        <f>Lecanemab_hcc!I49</f>
        <v>1</v>
      </c>
    </row>
    <row r="50" spans="1:44" x14ac:dyDescent="0.4">
      <c r="A50" s="244"/>
      <c r="B50" s="151"/>
      <c r="C50" s="244"/>
      <c r="D50" s="245"/>
      <c r="E50" s="244"/>
      <c r="F50" s="244"/>
      <c r="G50" s="244"/>
      <c r="H50" s="244"/>
      <c r="I50" s="244"/>
      <c r="J50" s="244"/>
      <c r="K50" s="244"/>
      <c r="L50" s="244"/>
      <c r="M50" s="244"/>
      <c r="N50" s="244"/>
      <c r="O50" s="244"/>
      <c r="P50" s="244"/>
      <c r="Q50" s="244"/>
      <c r="R50" s="244"/>
      <c r="S50" s="244"/>
      <c r="T50" s="244"/>
      <c r="U50" s="244"/>
      <c r="V50" s="244"/>
      <c r="W50" s="244"/>
      <c r="X50">
        <f t="shared" si="3"/>
        <v>113</v>
      </c>
      <c r="Y50" s="111">
        <f>Lecanemab_hcc!F50</f>
        <v>1</v>
      </c>
      <c r="Z50" s="111">
        <f>Lecanemab_hcc!G50</f>
        <v>1</v>
      </c>
      <c r="AA50" s="111">
        <f>Lecanemab_hcc!H50</f>
        <v>1</v>
      </c>
      <c r="AB50" s="111">
        <f>Lecanemab_hcc!I50</f>
        <v>1</v>
      </c>
      <c r="AC50" s="112"/>
      <c r="AD50" s="112"/>
      <c r="AE50" s="112"/>
      <c r="AF50" s="112"/>
      <c r="AG50" s="112"/>
      <c r="AH50" s="112"/>
      <c r="AI50" s="112"/>
      <c r="AJ50" s="112"/>
      <c r="AK50" s="112"/>
      <c r="AL50" s="112"/>
      <c r="AM50" s="112"/>
      <c r="AN50" s="112"/>
      <c r="AO50" s="112"/>
      <c r="AP50" s="112"/>
      <c r="AQ50" s="112"/>
      <c r="AR50" s="112"/>
    </row>
    <row r="51" spans="1:44" x14ac:dyDescent="0.4">
      <c r="A51" s="244"/>
      <c r="B51" s="151"/>
      <c r="C51" s="244"/>
      <c r="D51" s="245"/>
      <c r="E51" s="244"/>
      <c r="F51" s="244"/>
      <c r="G51" s="244"/>
      <c r="H51" s="244"/>
      <c r="I51" s="244"/>
      <c r="J51" s="244"/>
      <c r="K51" s="244"/>
      <c r="L51" s="244"/>
      <c r="M51" s="244"/>
      <c r="N51" s="244"/>
      <c r="O51" s="244"/>
      <c r="P51" s="244"/>
      <c r="Q51" s="244"/>
      <c r="R51" s="244"/>
      <c r="S51" s="244"/>
      <c r="T51" s="244"/>
      <c r="U51" s="244"/>
      <c r="V51" s="244"/>
      <c r="W51" s="244"/>
      <c r="X51">
        <f t="shared" si="3"/>
        <v>114</v>
      </c>
      <c r="Y51" s="111">
        <f>Lecanemab_hcc!F51</f>
        <v>1</v>
      </c>
      <c r="Z51" s="111">
        <f>Lecanemab_hcc!G51</f>
        <v>1</v>
      </c>
      <c r="AA51" s="111">
        <f>Lecanemab_hcc!H51</f>
        <v>1</v>
      </c>
      <c r="AB51" s="111">
        <f>Lecanemab_hcc!I51</f>
        <v>1</v>
      </c>
    </row>
    <row r="52" spans="1:44" x14ac:dyDescent="0.4">
      <c r="A52" s="244"/>
      <c r="B52" s="151"/>
      <c r="C52" s="245"/>
      <c r="D52" s="245"/>
      <c r="E52" s="244"/>
      <c r="F52" s="244"/>
      <c r="G52" s="244"/>
      <c r="H52" s="244"/>
      <c r="I52" s="244"/>
      <c r="J52" s="244"/>
      <c r="K52" s="244"/>
      <c r="L52" s="244"/>
      <c r="M52" s="244"/>
      <c r="N52" s="244"/>
      <c r="O52" s="244"/>
      <c r="P52" s="244"/>
      <c r="Q52" s="244"/>
      <c r="R52" s="244"/>
      <c r="S52" s="244"/>
      <c r="T52" s="244"/>
      <c r="U52" s="244"/>
      <c r="V52" s="244"/>
      <c r="W52" s="244"/>
      <c r="X52">
        <f t="shared" si="3"/>
        <v>115</v>
      </c>
      <c r="Y52" s="111">
        <f>Lecanemab_hcc!F52</f>
        <v>1</v>
      </c>
      <c r="Z52" s="111">
        <f>Lecanemab_hcc!G52</f>
        <v>1</v>
      </c>
      <c r="AA52" s="111">
        <f>Lecanemab_hcc!H52</f>
        <v>1</v>
      </c>
      <c r="AB52" s="111">
        <f>Lecanemab_hcc!I52</f>
        <v>1</v>
      </c>
    </row>
    <row r="53" spans="1:44" x14ac:dyDescent="0.4">
      <c r="A53" s="244"/>
      <c r="B53" s="151"/>
      <c r="C53" s="244"/>
      <c r="D53" s="245"/>
      <c r="E53" s="244"/>
      <c r="F53" s="244"/>
      <c r="G53" s="244"/>
      <c r="H53" s="244"/>
      <c r="I53" s="244"/>
      <c r="J53" s="244"/>
      <c r="K53" s="244"/>
      <c r="L53" s="244"/>
      <c r="M53" s="244"/>
      <c r="N53" s="244"/>
      <c r="O53" s="244"/>
      <c r="P53" s="244"/>
      <c r="Q53" s="244"/>
      <c r="R53" s="244"/>
      <c r="S53" s="244"/>
      <c r="T53" s="244"/>
      <c r="U53" s="244"/>
      <c r="V53" s="244"/>
      <c r="W53" s="244"/>
      <c r="X53">
        <f t="shared" si="3"/>
        <v>116</v>
      </c>
      <c r="Y53" s="111">
        <f>Lecanemab_hcc!F53</f>
        <v>1</v>
      </c>
      <c r="Z53" s="111">
        <f>Lecanemab_hcc!G53</f>
        <v>1</v>
      </c>
      <c r="AA53" s="111">
        <f>Lecanemab_hcc!H53</f>
        <v>1</v>
      </c>
      <c r="AB53" s="111">
        <f>Lecanemab_hcc!I53</f>
        <v>1</v>
      </c>
    </row>
    <row r="54" spans="1:44" x14ac:dyDescent="0.4">
      <c r="A54" s="244"/>
      <c r="B54" s="151"/>
      <c r="C54" s="244"/>
      <c r="D54" s="244"/>
      <c r="E54" s="244"/>
      <c r="F54" s="244"/>
      <c r="G54" s="244"/>
      <c r="H54" s="244"/>
      <c r="I54" s="244"/>
      <c r="J54" s="244"/>
      <c r="K54" s="244"/>
      <c r="L54" s="244"/>
      <c r="M54" s="244"/>
      <c r="N54" s="244"/>
      <c r="O54" s="244"/>
      <c r="P54" s="244"/>
      <c r="Q54" s="244"/>
      <c r="R54" s="244"/>
      <c r="S54" s="244"/>
      <c r="T54" s="244"/>
      <c r="U54" s="244"/>
      <c r="V54" s="244"/>
      <c r="W54" s="244"/>
    </row>
    <row r="55" spans="1:44" x14ac:dyDescent="0.4">
      <c r="A55" s="244"/>
      <c r="B55" s="151"/>
      <c r="C55" s="244"/>
      <c r="D55" s="244"/>
      <c r="E55" s="244"/>
      <c r="F55" s="244"/>
      <c r="G55" s="244"/>
      <c r="H55" s="244"/>
      <c r="I55" s="244"/>
      <c r="J55" s="244"/>
      <c r="K55" s="244"/>
      <c r="L55" s="244"/>
      <c r="M55" s="244"/>
      <c r="N55" s="244"/>
      <c r="O55" s="244"/>
      <c r="P55" s="244"/>
      <c r="Q55" s="244"/>
      <c r="R55" s="244"/>
      <c r="S55" s="244"/>
      <c r="T55" s="244"/>
      <c r="U55" s="244"/>
      <c r="V55" s="244"/>
      <c r="W55" s="244"/>
    </row>
    <row r="56" spans="1:44" x14ac:dyDescent="0.4">
      <c r="A56" s="244"/>
      <c r="B56" s="151"/>
      <c r="C56" s="244"/>
      <c r="D56" s="244"/>
      <c r="E56" s="244"/>
      <c r="F56" s="244"/>
      <c r="G56" s="244"/>
      <c r="H56" s="244"/>
      <c r="I56" s="244"/>
      <c r="J56" s="244"/>
      <c r="K56" s="244"/>
      <c r="L56" s="244"/>
      <c r="M56" s="244"/>
      <c r="N56" s="244"/>
      <c r="O56" s="244"/>
      <c r="P56" s="244"/>
      <c r="Q56" s="244"/>
      <c r="R56" s="244"/>
      <c r="S56" s="244"/>
      <c r="T56" s="244"/>
      <c r="U56" s="244"/>
      <c r="V56" s="244"/>
      <c r="W56" s="244"/>
    </row>
    <row r="57" spans="1:44" x14ac:dyDescent="0.4">
      <c r="A57" s="244"/>
      <c r="B57" s="151"/>
      <c r="C57" s="244"/>
      <c r="D57" s="244"/>
      <c r="E57" s="244"/>
      <c r="F57" s="244"/>
      <c r="G57" s="244"/>
      <c r="H57" s="244"/>
      <c r="I57" s="244"/>
      <c r="J57" s="244"/>
      <c r="K57" s="244"/>
      <c r="L57" s="244"/>
      <c r="M57" s="244"/>
      <c r="N57" s="244"/>
      <c r="O57" s="244"/>
      <c r="P57" s="244"/>
      <c r="Q57" s="244"/>
      <c r="R57" s="244"/>
      <c r="S57" s="244"/>
      <c r="T57" s="244"/>
      <c r="U57" s="244"/>
      <c r="V57" s="244"/>
      <c r="W57" s="244"/>
    </row>
    <row r="58" spans="1:44" x14ac:dyDescent="0.4">
      <c r="A58" s="244"/>
      <c r="B58" s="151"/>
      <c r="C58" s="244"/>
      <c r="D58" s="244"/>
      <c r="E58" s="244"/>
      <c r="F58" s="244"/>
      <c r="G58" s="244"/>
      <c r="H58" s="244"/>
      <c r="I58" s="244"/>
      <c r="J58" s="244"/>
      <c r="K58" s="244"/>
      <c r="L58" s="244"/>
      <c r="M58" s="244"/>
      <c r="N58" s="244"/>
      <c r="O58" s="244"/>
      <c r="P58" s="244"/>
      <c r="Q58" s="244"/>
      <c r="R58" s="244"/>
      <c r="S58" s="244"/>
      <c r="T58" s="244"/>
      <c r="U58" s="244"/>
      <c r="V58" s="244"/>
      <c r="W58" s="244"/>
    </row>
    <row r="59" spans="1:44" x14ac:dyDescent="0.4">
      <c r="A59" s="244"/>
      <c r="B59" s="151"/>
      <c r="C59" s="244"/>
      <c r="D59" s="244"/>
      <c r="E59" s="244"/>
      <c r="F59" s="244"/>
      <c r="G59" s="244"/>
      <c r="H59" s="244"/>
      <c r="I59" s="244"/>
      <c r="J59" s="244"/>
      <c r="K59" s="244"/>
      <c r="L59" s="244"/>
      <c r="M59" s="244"/>
      <c r="N59" s="244"/>
      <c r="O59" s="244"/>
      <c r="P59" s="244"/>
      <c r="Q59" s="244"/>
      <c r="R59" s="244"/>
      <c r="S59" s="244"/>
      <c r="T59" s="244"/>
      <c r="U59" s="244"/>
      <c r="V59" s="244"/>
      <c r="W59" s="244"/>
    </row>
    <row r="60" spans="1:44" x14ac:dyDescent="0.4">
      <c r="A60" s="244"/>
      <c r="B60" s="151"/>
      <c r="C60" s="244"/>
      <c r="D60" s="244"/>
      <c r="E60" s="244"/>
      <c r="F60" s="244"/>
      <c r="G60" s="244"/>
      <c r="H60" s="244"/>
      <c r="I60" s="244"/>
      <c r="J60" s="244"/>
      <c r="K60" s="244"/>
      <c r="L60" s="244"/>
      <c r="M60" s="244"/>
      <c r="N60" s="244"/>
      <c r="O60" s="244"/>
      <c r="P60" s="244"/>
      <c r="Q60" s="244"/>
      <c r="R60" s="244"/>
      <c r="S60" s="244"/>
      <c r="T60" s="244"/>
      <c r="U60" s="244"/>
      <c r="V60" s="244"/>
      <c r="W60" s="244"/>
    </row>
    <row r="61" spans="1:44" x14ac:dyDescent="0.4">
      <c r="A61" s="244"/>
      <c r="B61" s="151"/>
      <c r="C61" s="151"/>
      <c r="D61" s="151"/>
      <c r="E61" s="151"/>
      <c r="F61" s="151"/>
      <c r="G61" s="151"/>
      <c r="H61" s="151"/>
      <c r="I61" s="151"/>
      <c r="J61" s="151"/>
      <c r="K61" s="151"/>
      <c r="L61" s="244"/>
      <c r="M61" s="151"/>
      <c r="N61" s="151"/>
      <c r="O61" s="151"/>
      <c r="P61" s="151"/>
      <c r="Q61" s="151"/>
      <c r="R61" s="151"/>
      <c r="S61" s="151"/>
      <c r="T61" s="151"/>
      <c r="U61" s="151"/>
      <c r="V61" s="244"/>
      <c r="W61" s="244"/>
    </row>
    <row r="62" spans="1:44" x14ac:dyDescent="0.4">
      <c r="A62" s="244"/>
      <c r="B62" s="151"/>
      <c r="C62" s="287"/>
      <c r="D62" s="287"/>
      <c r="E62" s="287"/>
      <c r="F62" s="287"/>
      <c r="G62" s="287"/>
      <c r="H62" s="287"/>
      <c r="I62" s="287"/>
      <c r="J62" s="287"/>
      <c r="K62" s="287"/>
      <c r="L62" s="287"/>
      <c r="M62" s="246"/>
      <c r="N62" s="246"/>
      <c r="O62" s="246"/>
      <c r="P62" s="246"/>
      <c r="Q62" s="246"/>
      <c r="R62" s="246"/>
      <c r="S62" s="246"/>
      <c r="T62" s="246"/>
      <c r="U62" s="246"/>
      <c r="V62" s="246"/>
      <c r="W62" s="244"/>
    </row>
    <row r="63" spans="1:44" x14ac:dyDescent="0.4">
      <c r="A63" s="244"/>
      <c r="B63" s="246"/>
      <c r="C63" s="151"/>
      <c r="D63" s="151"/>
      <c r="E63" s="151"/>
      <c r="F63" s="151"/>
      <c r="G63" s="151"/>
      <c r="H63" s="151"/>
      <c r="I63" s="151"/>
      <c r="J63" s="151"/>
      <c r="K63" s="151"/>
      <c r="L63" s="151"/>
      <c r="M63" s="151"/>
      <c r="N63" s="151"/>
      <c r="O63" s="151"/>
      <c r="P63" s="151"/>
      <c r="Q63" s="151"/>
      <c r="R63" s="151"/>
      <c r="S63" s="151"/>
      <c r="T63" s="151"/>
      <c r="U63" s="151"/>
      <c r="V63" s="151"/>
      <c r="W63" s="151"/>
    </row>
    <row r="64" spans="1:44" x14ac:dyDescent="0.4">
      <c r="A64" s="244"/>
      <c r="B64" s="151"/>
      <c r="C64" s="244"/>
      <c r="D64" s="245"/>
      <c r="E64" s="244"/>
      <c r="F64" s="244"/>
      <c r="G64" s="244"/>
      <c r="H64" s="244"/>
      <c r="I64" s="244"/>
      <c r="J64" s="244"/>
      <c r="K64" s="244"/>
      <c r="L64" s="244"/>
      <c r="M64" s="244"/>
      <c r="N64" s="245"/>
      <c r="O64" s="244"/>
      <c r="P64" s="244"/>
      <c r="Q64" s="244"/>
      <c r="R64" s="244"/>
      <c r="S64" s="244"/>
      <c r="T64" s="244"/>
      <c r="U64" s="244"/>
      <c r="V64" s="244"/>
      <c r="W64" s="244"/>
      <c r="Y64" s="112"/>
      <c r="Z64" s="112"/>
      <c r="AA64" s="112"/>
      <c r="AB64" s="112"/>
      <c r="AC64" s="112"/>
      <c r="AD64" s="112"/>
      <c r="AE64" s="112"/>
      <c r="AF64" s="112"/>
      <c r="AG64" s="112"/>
      <c r="AH64" s="112"/>
      <c r="AI64" s="112"/>
      <c r="AJ64" s="112"/>
      <c r="AK64" s="112"/>
      <c r="AL64" s="112"/>
      <c r="AM64" s="112"/>
      <c r="AN64" s="112"/>
      <c r="AO64" s="112"/>
      <c r="AP64" s="112"/>
      <c r="AQ64" s="112"/>
      <c r="AR64" s="112"/>
    </row>
    <row r="65" spans="1:44" x14ac:dyDescent="0.4">
      <c r="A65" s="244"/>
      <c r="B65" s="151"/>
      <c r="C65" s="244"/>
      <c r="D65" s="245"/>
      <c r="E65" s="244"/>
      <c r="F65" s="244"/>
      <c r="G65" s="244"/>
      <c r="H65" s="244"/>
      <c r="I65" s="244"/>
      <c r="J65" s="244"/>
      <c r="K65" s="244"/>
      <c r="L65" s="244"/>
      <c r="M65" s="244"/>
      <c r="N65" s="245"/>
      <c r="O65" s="244"/>
      <c r="P65" s="244"/>
      <c r="Q65" s="244"/>
      <c r="R65" s="244"/>
      <c r="S65" s="244"/>
      <c r="T65" s="244"/>
      <c r="U65" s="244"/>
      <c r="V65" s="244"/>
      <c r="W65" s="244"/>
    </row>
    <row r="66" spans="1:44" x14ac:dyDescent="0.4">
      <c r="A66" s="244"/>
      <c r="B66" s="151"/>
      <c r="C66" s="245"/>
      <c r="D66" s="245"/>
      <c r="E66" s="244"/>
      <c r="F66" s="244"/>
      <c r="G66" s="244"/>
      <c r="H66" s="244"/>
      <c r="I66" s="244"/>
      <c r="J66" s="244"/>
      <c r="K66" s="244"/>
      <c r="L66" s="244"/>
      <c r="M66" s="245"/>
      <c r="N66" s="245"/>
      <c r="O66" s="244"/>
      <c r="P66" s="244"/>
      <c r="Q66" s="244"/>
      <c r="R66" s="244"/>
      <c r="S66" s="244"/>
      <c r="T66" s="244"/>
      <c r="U66" s="244"/>
      <c r="V66" s="244"/>
      <c r="W66" s="244"/>
    </row>
    <row r="67" spans="1:44" x14ac:dyDescent="0.4">
      <c r="A67" s="244"/>
      <c r="B67" s="151"/>
      <c r="C67" s="244"/>
      <c r="D67" s="245"/>
      <c r="E67" s="244"/>
      <c r="F67" s="244"/>
      <c r="G67" s="244"/>
      <c r="H67" s="244"/>
      <c r="I67" s="244"/>
      <c r="J67" s="244"/>
      <c r="K67" s="244"/>
      <c r="L67" s="244"/>
      <c r="M67" s="244"/>
      <c r="N67" s="245"/>
      <c r="O67" s="244"/>
      <c r="P67" s="244"/>
      <c r="Q67" s="244"/>
      <c r="R67" s="244"/>
      <c r="S67" s="244"/>
      <c r="T67" s="244"/>
      <c r="U67" s="244"/>
      <c r="V67" s="244"/>
      <c r="W67" s="244"/>
    </row>
    <row r="68" spans="1:44" x14ac:dyDescent="0.4">
      <c r="A68" s="244"/>
      <c r="B68" s="151"/>
      <c r="C68" s="244"/>
      <c r="D68" s="244"/>
      <c r="E68" s="244"/>
      <c r="F68" s="244"/>
      <c r="G68" s="244"/>
      <c r="H68" s="244"/>
      <c r="I68" s="244"/>
      <c r="J68" s="244"/>
      <c r="K68" s="244"/>
      <c r="L68" s="244"/>
      <c r="M68" s="244"/>
      <c r="N68" s="244"/>
      <c r="O68" s="244"/>
      <c r="P68" s="244"/>
      <c r="Q68" s="244"/>
      <c r="R68" s="244"/>
      <c r="S68" s="244"/>
      <c r="T68" s="244"/>
      <c r="U68" s="244"/>
      <c r="V68" s="244"/>
      <c r="W68" s="244"/>
    </row>
    <row r="69" spans="1:44" x14ac:dyDescent="0.4">
      <c r="A69" s="244"/>
      <c r="B69" s="151"/>
      <c r="C69" s="244"/>
      <c r="D69" s="244"/>
      <c r="E69" s="244"/>
      <c r="F69" s="244"/>
      <c r="G69" s="244"/>
      <c r="H69" s="244"/>
      <c r="I69" s="244"/>
      <c r="J69" s="244"/>
      <c r="K69" s="244"/>
      <c r="L69" s="244"/>
      <c r="M69" s="244"/>
      <c r="N69" s="244"/>
      <c r="O69" s="244"/>
      <c r="P69" s="244"/>
      <c r="Q69" s="244"/>
      <c r="R69" s="244"/>
      <c r="S69" s="244"/>
      <c r="T69" s="244"/>
      <c r="U69" s="244"/>
      <c r="V69" s="244"/>
      <c r="W69" s="244"/>
    </row>
    <row r="70" spans="1:44" x14ac:dyDescent="0.4">
      <c r="A70" s="244"/>
      <c r="B70" s="151"/>
      <c r="C70" s="244"/>
      <c r="D70" s="244"/>
      <c r="E70" s="244"/>
      <c r="F70" s="244"/>
      <c r="G70" s="244"/>
      <c r="H70" s="244"/>
      <c r="I70" s="244"/>
      <c r="J70" s="244"/>
      <c r="K70" s="244"/>
      <c r="L70" s="244"/>
      <c r="M70" s="244"/>
      <c r="N70" s="244"/>
      <c r="O70" s="244"/>
      <c r="P70" s="244"/>
      <c r="Q70" s="244"/>
      <c r="R70" s="244"/>
      <c r="S70" s="244"/>
      <c r="T70" s="244"/>
      <c r="U70" s="244"/>
      <c r="V70" s="244"/>
      <c r="W70" s="244"/>
    </row>
    <row r="71" spans="1:44" x14ac:dyDescent="0.4">
      <c r="A71" s="244"/>
      <c r="B71" s="151"/>
      <c r="C71" s="244"/>
      <c r="D71" s="244"/>
      <c r="E71" s="244"/>
      <c r="F71" s="244"/>
      <c r="G71" s="244"/>
      <c r="H71" s="244"/>
      <c r="I71" s="244"/>
      <c r="J71" s="244"/>
      <c r="K71" s="244"/>
      <c r="L71" s="244"/>
      <c r="M71" s="244"/>
      <c r="N71" s="244"/>
      <c r="O71" s="244"/>
      <c r="P71" s="244"/>
      <c r="Q71" s="244"/>
      <c r="R71" s="244"/>
      <c r="S71" s="244"/>
      <c r="T71" s="244"/>
      <c r="U71" s="244"/>
      <c r="V71" s="244"/>
      <c r="W71" s="244"/>
    </row>
    <row r="72" spans="1:44" x14ac:dyDescent="0.4">
      <c r="A72" s="244"/>
      <c r="B72" s="151"/>
      <c r="C72" s="244"/>
      <c r="D72" s="244"/>
      <c r="E72" s="244"/>
      <c r="F72" s="244"/>
      <c r="G72" s="244"/>
      <c r="H72" s="244"/>
      <c r="I72" s="244"/>
      <c r="J72" s="244"/>
      <c r="K72" s="244"/>
      <c r="L72" s="244"/>
      <c r="M72" s="244"/>
      <c r="N72" s="244"/>
      <c r="O72" s="244"/>
      <c r="P72" s="244"/>
      <c r="Q72" s="244"/>
      <c r="R72" s="244"/>
      <c r="S72" s="244"/>
      <c r="T72" s="244"/>
      <c r="U72" s="244"/>
      <c r="V72" s="244"/>
      <c r="W72" s="244"/>
    </row>
    <row r="73" spans="1:44" x14ac:dyDescent="0.4">
      <c r="A73" s="244"/>
      <c r="B73" s="151"/>
      <c r="C73" s="244"/>
      <c r="D73" s="244"/>
      <c r="E73" s="244"/>
      <c r="F73" s="244"/>
      <c r="G73" s="244"/>
      <c r="H73" s="244"/>
      <c r="I73" s="244"/>
      <c r="J73" s="244"/>
      <c r="K73" s="244"/>
      <c r="L73" s="244"/>
      <c r="M73" s="244"/>
      <c r="N73" s="244"/>
      <c r="O73" s="244"/>
      <c r="P73" s="244"/>
      <c r="Q73" s="244"/>
      <c r="R73" s="244"/>
      <c r="S73" s="244"/>
      <c r="T73" s="244"/>
      <c r="U73" s="244"/>
      <c r="V73" s="244"/>
      <c r="W73" s="244"/>
    </row>
    <row r="74" spans="1:44" x14ac:dyDescent="0.4">
      <c r="A74" s="244"/>
      <c r="B74" s="151"/>
      <c r="C74" s="244"/>
      <c r="D74" s="245"/>
      <c r="E74" s="244"/>
      <c r="F74" s="244"/>
      <c r="G74" s="244"/>
      <c r="H74" s="244"/>
      <c r="I74" s="244"/>
      <c r="J74" s="244"/>
      <c r="K74" s="244"/>
      <c r="L74" s="244"/>
      <c r="M74" s="244"/>
      <c r="N74" s="245"/>
      <c r="O74" s="244"/>
      <c r="P74" s="244"/>
      <c r="Q74" s="244"/>
      <c r="R74" s="244"/>
      <c r="S74" s="244"/>
      <c r="T74" s="244"/>
      <c r="U74" s="244"/>
      <c r="V74" s="244"/>
      <c r="W74" s="244"/>
      <c r="Y74" s="112"/>
      <c r="Z74" s="112"/>
      <c r="AA74" s="112"/>
      <c r="AB74" s="112"/>
      <c r="AC74" s="112"/>
      <c r="AD74" s="112"/>
      <c r="AE74" s="112"/>
      <c r="AF74" s="112"/>
      <c r="AG74" s="112"/>
      <c r="AH74" s="112"/>
      <c r="AI74" s="112"/>
      <c r="AJ74" s="112"/>
      <c r="AK74" s="112"/>
      <c r="AL74" s="112"/>
      <c r="AM74" s="112"/>
      <c r="AN74" s="112"/>
      <c r="AO74" s="112"/>
      <c r="AP74" s="112"/>
      <c r="AQ74" s="112"/>
      <c r="AR74" s="112"/>
    </row>
    <row r="75" spans="1:44" x14ac:dyDescent="0.4">
      <c r="A75" s="244"/>
      <c r="B75" s="151"/>
      <c r="C75" s="244"/>
      <c r="D75" s="245"/>
      <c r="E75" s="244"/>
      <c r="F75" s="244"/>
      <c r="G75" s="244"/>
      <c r="H75" s="244"/>
      <c r="I75" s="244"/>
      <c r="J75" s="244"/>
      <c r="K75" s="244"/>
      <c r="L75" s="244"/>
      <c r="M75" s="244"/>
      <c r="N75" s="245"/>
      <c r="O75" s="244"/>
      <c r="P75" s="244"/>
      <c r="Q75" s="244"/>
      <c r="R75" s="244"/>
      <c r="S75" s="244"/>
      <c r="T75" s="244"/>
      <c r="U75" s="244"/>
      <c r="V75" s="244"/>
      <c r="W75" s="244"/>
    </row>
    <row r="76" spans="1:44" x14ac:dyDescent="0.4">
      <c r="A76" s="244"/>
      <c r="B76" s="151"/>
      <c r="C76" s="245"/>
      <c r="D76" s="245"/>
      <c r="E76" s="244"/>
      <c r="F76" s="244"/>
      <c r="G76" s="244"/>
      <c r="H76" s="244"/>
      <c r="I76" s="244"/>
      <c r="J76" s="244"/>
      <c r="K76" s="244"/>
      <c r="L76" s="244"/>
      <c r="M76" s="245"/>
      <c r="N76" s="245"/>
      <c r="O76" s="244"/>
      <c r="P76" s="244"/>
      <c r="Q76" s="244"/>
      <c r="R76" s="244"/>
      <c r="S76" s="244"/>
      <c r="T76" s="244"/>
      <c r="U76" s="244"/>
      <c r="V76" s="244"/>
      <c r="W76" s="244"/>
    </row>
    <row r="77" spans="1:44" x14ac:dyDescent="0.4">
      <c r="A77" s="244"/>
      <c r="B77" s="151"/>
      <c r="C77" s="244"/>
      <c r="D77" s="245"/>
      <c r="E77" s="244"/>
      <c r="F77" s="244"/>
      <c r="G77" s="244"/>
      <c r="H77" s="244"/>
      <c r="I77" s="244"/>
      <c r="J77" s="244"/>
      <c r="K77" s="244"/>
      <c r="L77" s="244"/>
      <c r="M77" s="244"/>
      <c r="N77" s="245"/>
      <c r="O77" s="244"/>
      <c r="P77" s="244"/>
      <c r="Q77" s="244"/>
      <c r="R77" s="244"/>
      <c r="S77" s="244"/>
      <c r="T77" s="244"/>
      <c r="U77" s="244"/>
      <c r="V77" s="244"/>
      <c r="W77" s="244"/>
    </row>
    <row r="78" spans="1:44" x14ac:dyDescent="0.4">
      <c r="A78" s="244"/>
      <c r="B78" s="151"/>
      <c r="C78" s="244"/>
      <c r="D78" s="244"/>
      <c r="E78" s="244"/>
      <c r="F78" s="244"/>
      <c r="G78" s="244"/>
      <c r="H78" s="244"/>
      <c r="I78" s="244"/>
      <c r="J78" s="244"/>
      <c r="K78" s="244"/>
      <c r="L78" s="244"/>
      <c r="M78" s="244"/>
      <c r="N78" s="244"/>
      <c r="O78" s="244"/>
      <c r="P78" s="244"/>
      <c r="Q78" s="244"/>
      <c r="R78" s="244"/>
      <c r="S78" s="244"/>
      <c r="T78" s="244"/>
      <c r="U78" s="244"/>
      <c r="V78" s="244"/>
      <c r="W78" s="244"/>
    </row>
    <row r="79" spans="1:44" x14ac:dyDescent="0.4">
      <c r="A79" s="244"/>
      <c r="B79" s="151"/>
      <c r="C79" s="244"/>
      <c r="D79" s="244"/>
      <c r="E79" s="244"/>
      <c r="F79" s="244"/>
      <c r="G79" s="244"/>
      <c r="H79" s="244"/>
      <c r="I79" s="244"/>
      <c r="J79" s="244"/>
      <c r="K79" s="244"/>
      <c r="L79" s="244"/>
      <c r="M79" s="244"/>
      <c r="N79" s="244"/>
      <c r="O79" s="244"/>
      <c r="P79" s="244"/>
      <c r="Q79" s="244"/>
      <c r="R79" s="244"/>
      <c r="S79" s="244"/>
      <c r="T79" s="244"/>
      <c r="U79" s="244"/>
      <c r="V79" s="244"/>
      <c r="W79" s="244"/>
    </row>
    <row r="80" spans="1:44" x14ac:dyDescent="0.4">
      <c r="A80" s="244"/>
      <c r="B80" s="151"/>
      <c r="C80" s="244"/>
      <c r="D80" s="244"/>
      <c r="E80" s="244"/>
      <c r="F80" s="244"/>
      <c r="G80" s="244"/>
      <c r="H80" s="244"/>
      <c r="I80" s="244"/>
      <c r="J80" s="244"/>
      <c r="K80" s="244"/>
      <c r="L80" s="244"/>
      <c r="M80" s="244"/>
      <c r="N80" s="244"/>
      <c r="O80" s="244"/>
      <c r="P80" s="244"/>
      <c r="Q80" s="244"/>
      <c r="R80" s="244"/>
      <c r="S80" s="244"/>
      <c r="T80" s="244"/>
      <c r="U80" s="244"/>
      <c r="V80" s="244"/>
      <c r="W80" s="244"/>
    </row>
    <row r="81" spans="1:23" x14ac:dyDescent="0.4">
      <c r="A81" s="244"/>
      <c r="B81" s="151"/>
      <c r="C81" s="244"/>
      <c r="D81" s="244"/>
      <c r="E81" s="244"/>
      <c r="F81" s="244"/>
      <c r="G81" s="244"/>
      <c r="H81" s="244"/>
      <c r="I81" s="244"/>
      <c r="J81" s="244"/>
      <c r="K81" s="244"/>
      <c r="L81" s="244"/>
      <c r="M81" s="244"/>
      <c r="N81" s="244"/>
      <c r="O81" s="244"/>
      <c r="P81" s="244"/>
      <c r="Q81" s="244"/>
      <c r="R81" s="244"/>
      <c r="S81" s="244"/>
      <c r="T81" s="244"/>
      <c r="U81" s="244"/>
      <c r="V81" s="244"/>
      <c r="W81" s="244"/>
    </row>
    <row r="82" spans="1:23" x14ac:dyDescent="0.4">
      <c r="A82" s="244"/>
      <c r="B82" s="151"/>
      <c r="C82" s="244"/>
      <c r="D82" s="244"/>
      <c r="E82" s="244"/>
      <c r="F82" s="244"/>
      <c r="G82" s="244"/>
      <c r="H82" s="244"/>
      <c r="I82" s="244"/>
      <c r="J82" s="244"/>
      <c r="K82" s="244"/>
      <c r="L82" s="244"/>
      <c r="M82" s="244"/>
      <c r="N82" s="244"/>
      <c r="O82" s="244"/>
      <c r="P82" s="244"/>
      <c r="Q82" s="244"/>
      <c r="R82" s="244"/>
      <c r="S82" s="244"/>
      <c r="T82" s="244"/>
      <c r="U82" s="244"/>
      <c r="V82" s="244"/>
      <c r="W82" s="244"/>
    </row>
    <row r="83" spans="1:23" x14ac:dyDescent="0.4">
      <c r="A83" s="244"/>
      <c r="B83" s="151"/>
      <c r="C83" s="244"/>
      <c r="D83" s="244"/>
      <c r="E83" s="244"/>
      <c r="F83" s="244"/>
      <c r="G83" s="244"/>
      <c r="H83" s="244"/>
      <c r="I83" s="244"/>
      <c r="J83" s="244"/>
      <c r="K83" s="244"/>
      <c r="L83" s="244"/>
      <c r="M83" s="244"/>
      <c r="N83" s="244"/>
      <c r="O83" s="244"/>
      <c r="P83" s="244"/>
      <c r="Q83" s="244"/>
      <c r="R83" s="244"/>
      <c r="S83" s="244"/>
      <c r="T83" s="244"/>
      <c r="U83" s="244"/>
      <c r="V83" s="244"/>
      <c r="W83" s="244"/>
    </row>
    <row r="84" spans="1:23" x14ac:dyDescent="0.4">
      <c r="A84" s="244"/>
      <c r="B84" s="151"/>
      <c r="C84" s="244"/>
      <c r="D84" s="245"/>
      <c r="E84" s="244"/>
      <c r="F84" s="244"/>
      <c r="G84" s="244"/>
      <c r="H84" s="244"/>
      <c r="I84" s="244"/>
      <c r="J84" s="244"/>
      <c r="K84" s="244"/>
      <c r="L84" s="244"/>
      <c r="M84" s="244"/>
      <c r="N84" s="245"/>
      <c r="O84" s="244"/>
      <c r="P84" s="244"/>
      <c r="Q84" s="244"/>
      <c r="R84" s="244"/>
      <c r="S84" s="244"/>
      <c r="T84" s="244"/>
      <c r="U84" s="244"/>
      <c r="V84" s="244"/>
      <c r="W84" s="244"/>
    </row>
    <row r="85" spans="1:23" x14ac:dyDescent="0.4">
      <c r="A85" s="244"/>
      <c r="B85" s="244"/>
      <c r="C85" s="244"/>
      <c r="D85" s="244"/>
      <c r="E85" s="244"/>
      <c r="F85" s="244"/>
      <c r="G85" s="244"/>
      <c r="H85" s="244"/>
      <c r="I85" s="244"/>
      <c r="J85" s="244"/>
      <c r="K85" s="244"/>
      <c r="L85" s="244"/>
      <c r="M85" s="244"/>
      <c r="N85" s="244"/>
      <c r="O85" s="244"/>
      <c r="P85" s="244"/>
      <c r="Q85" s="244"/>
      <c r="R85" s="244"/>
      <c r="S85" s="244"/>
      <c r="T85" s="244"/>
      <c r="U85" s="244"/>
      <c r="V85" s="244"/>
      <c r="W85" s="244"/>
    </row>
  </sheetData>
  <mergeCells count="16">
    <mergeCell ref="C48:L48"/>
    <mergeCell ref="C62:L62"/>
    <mergeCell ref="C17:L17"/>
    <mergeCell ref="M17:V17"/>
    <mergeCell ref="AD5:AM5"/>
    <mergeCell ref="AN5:AW5"/>
    <mergeCell ref="AD6:AE6"/>
    <mergeCell ref="AF6:AG6"/>
    <mergeCell ref="AH6:AI6"/>
    <mergeCell ref="AJ6:AK6"/>
    <mergeCell ref="AL6:AM6"/>
    <mergeCell ref="AN6:AO6"/>
    <mergeCell ref="AP6:AQ6"/>
    <mergeCell ref="AR6:AS6"/>
    <mergeCell ref="AT6:AU6"/>
    <mergeCell ref="AV6:AW6"/>
  </mergeCells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B1:V78"/>
  <sheetViews>
    <sheetView zoomScale="70" zoomScaleNormal="70" workbookViewId="0">
      <selection activeCell="AG29" sqref="AG29"/>
    </sheetView>
  </sheetViews>
  <sheetFormatPr defaultColWidth="9.09765625" defaultRowHeight="11.1" customHeight="1" outlineLevelCol="1" x14ac:dyDescent="0.3"/>
  <cols>
    <col min="1" max="1" width="2.09765625" style="4" customWidth="1"/>
    <col min="2" max="2" width="6.59765625" style="4" customWidth="1"/>
    <col min="3" max="3" width="6.09765625" style="4" customWidth="1"/>
    <col min="4" max="4" width="1.09765625" style="1" customWidth="1"/>
    <col min="5" max="5" width="7.59765625" style="4" customWidth="1" outlineLevel="1"/>
    <col min="6" max="6" width="7.09765625" style="4" customWidth="1" outlineLevel="1"/>
    <col min="7" max="7" width="7.59765625" style="4" customWidth="1" outlineLevel="1"/>
    <col min="8" max="8" width="7" style="4" customWidth="1" outlineLevel="1"/>
    <col min="9" max="9" width="1.09765625" style="1" customWidth="1"/>
    <col min="10" max="20" width="9.59765625" style="4" customWidth="1"/>
    <col min="21" max="21" width="1.59765625" style="4" customWidth="1"/>
    <col min="22" max="22" width="1.09765625" style="1" customWidth="1"/>
    <col min="23" max="23" width="2.09765625" style="4" customWidth="1"/>
    <col min="24" max="16384" width="9.09765625" style="4"/>
  </cols>
  <sheetData>
    <row r="1" spans="2:20" s="1" customFormat="1" ht="6.75" customHeight="1" x14ac:dyDescent="0.3">
      <c r="P1" s="1" t="s">
        <v>259</v>
      </c>
    </row>
    <row r="2" spans="2:20" s="1" customFormat="1" ht="15" customHeight="1" x14ac:dyDescent="0.45">
      <c r="J2" s="10" t="s">
        <v>26</v>
      </c>
      <c r="P2" s="10"/>
    </row>
    <row r="3" spans="2:20" s="1" customFormat="1" ht="5.25" customHeight="1" x14ac:dyDescent="0.3"/>
    <row r="4" spans="2:20" s="1" customFormat="1" ht="11.1" customHeight="1" x14ac:dyDescent="0.3">
      <c r="N4" s="99"/>
    </row>
    <row r="5" spans="2:20" s="1" customFormat="1" ht="11.1" customHeight="1" x14ac:dyDescent="0.3">
      <c r="E5" s="289" t="s">
        <v>30</v>
      </c>
      <c r="F5" s="289"/>
      <c r="G5" s="289"/>
      <c r="H5" s="289"/>
      <c r="J5" s="290" t="s">
        <v>260</v>
      </c>
      <c r="K5" s="288"/>
      <c r="L5" s="288" t="s">
        <v>261</v>
      </c>
      <c r="M5" s="288"/>
      <c r="N5" s="288" t="s">
        <v>262</v>
      </c>
      <c r="O5" s="291"/>
      <c r="P5" s="290" t="s">
        <v>265</v>
      </c>
      <c r="Q5" s="288"/>
      <c r="R5" s="288" t="s">
        <v>266</v>
      </c>
      <c r="S5" s="288"/>
      <c r="T5" s="14"/>
    </row>
    <row r="6" spans="2:20" s="1" customFormat="1" ht="11.1" customHeight="1" x14ac:dyDescent="0.3">
      <c r="B6" s="11" t="s">
        <v>35</v>
      </c>
      <c r="C6" s="11" t="s">
        <v>0</v>
      </c>
      <c r="E6" s="11" t="s">
        <v>22</v>
      </c>
      <c r="F6" s="11" t="s">
        <v>23</v>
      </c>
      <c r="G6" s="11" t="s">
        <v>24</v>
      </c>
      <c r="H6" s="11" t="s">
        <v>25</v>
      </c>
      <c r="J6" s="11" t="s">
        <v>263</v>
      </c>
      <c r="K6" s="11" t="s">
        <v>264</v>
      </c>
      <c r="L6" s="11" t="s">
        <v>263</v>
      </c>
      <c r="M6" s="11" t="s">
        <v>264</v>
      </c>
      <c r="N6" s="11" t="s">
        <v>263</v>
      </c>
      <c r="O6" s="11" t="s">
        <v>264</v>
      </c>
      <c r="P6" s="11" t="s">
        <v>263</v>
      </c>
      <c r="Q6" s="11" t="s">
        <v>264</v>
      </c>
      <c r="R6" s="11" t="s">
        <v>263</v>
      </c>
      <c r="S6" s="11" t="s">
        <v>264</v>
      </c>
      <c r="T6" s="14" t="s">
        <v>267</v>
      </c>
    </row>
    <row r="7" spans="2:20" ht="6.6" customHeight="1" x14ac:dyDescent="0.3"/>
    <row r="8" spans="2:20" ht="11.1" customHeight="1" x14ac:dyDescent="0.3">
      <c r="B8" s="19">
        <v>0</v>
      </c>
      <c r="C8" s="19">
        <f t="shared" ref="C8:C39" si="0">start_age+Alz_cycle</f>
        <v>71</v>
      </c>
      <c r="E8" s="20">
        <f t="shared" ref="E8:E39" si="1">VLOOKUP(Alz_age,table_mort_MCI,2)</f>
        <v>1.5065903319501861E-2</v>
      </c>
      <c r="F8" s="20">
        <f t="shared" ref="F8:F39" si="2">VLOOKUP(Alz_age,table_mort_Mild,2)</f>
        <v>2.0428666075551383E-2</v>
      </c>
      <c r="G8" s="20">
        <f t="shared" ref="G8:G39" si="3">VLOOKUP(Alz_age,table_mort_Moderate,2)</f>
        <v>3.659900690724005E-2</v>
      </c>
      <c r="H8" s="20">
        <f t="shared" ref="H8:H39" si="4">VLOOKUP(Alz_age,table_mort_Severe,2)</f>
        <v>7.037421508009889E-2</v>
      </c>
      <c r="J8" s="96">
        <f>Initial_MCI</f>
        <v>0.7</v>
      </c>
      <c r="K8" s="96">
        <v>0</v>
      </c>
      <c r="L8" s="96">
        <f>Initial_Mild*95%</f>
        <v>0.28500000000000003</v>
      </c>
      <c r="M8" s="96">
        <f>Initial_Mild*5%</f>
        <v>1.5000000000000003E-2</v>
      </c>
      <c r="N8" s="95">
        <v>0</v>
      </c>
      <c r="O8" s="21">
        <v>0</v>
      </c>
      <c r="P8" s="21">
        <v>0</v>
      </c>
      <c r="Q8" s="21">
        <v>0</v>
      </c>
      <c r="R8" s="21">
        <v>0</v>
      </c>
      <c r="S8" s="21">
        <v>0</v>
      </c>
      <c r="T8" s="21">
        <f>SUM(J8:S8)</f>
        <v>1</v>
      </c>
    </row>
    <row r="9" spans="2:20" ht="11.1" customHeight="1" x14ac:dyDescent="0.3">
      <c r="B9" s="19">
        <v>1</v>
      </c>
      <c r="C9" s="19">
        <f t="shared" si="0"/>
        <v>72</v>
      </c>
      <c r="E9" s="20">
        <f t="shared" si="1"/>
        <v>1.6894035107792305E-2</v>
      </c>
      <c r="F9" s="20">
        <f t="shared" si="2"/>
        <v>2.2899924743828737E-2</v>
      </c>
      <c r="G9" s="20">
        <f t="shared" si="3"/>
        <v>4.0985055867230225E-2</v>
      </c>
      <c r="H9" s="20">
        <f t="shared" si="4"/>
        <v>7.8639346209840366E-2</v>
      </c>
      <c r="J9" s="21">
        <f t="shared" ref="J9:J40" si="5">(J8*(1-E8)*(1-0.23)*(1-0))+(L8*(1-F8)*(0.03)*(1-LTC_Mild))</f>
        <v>0.53879416959606452</v>
      </c>
      <c r="K9" s="21">
        <f t="shared" ref="K9:K40" si="6">(J8*(1-E8)*(1-0.23)*(0))+(K8*(1-E8)*(1-0.23))+(L8*(1-F8)*(0.03)*(LTC_Mild))+(M8*(1-F8)*(0.03))</f>
        <v>9.0145052004397385E-4</v>
      </c>
      <c r="L9" s="21">
        <f t="shared" ref="L9:L40" si="7">(J8*(1-E8)*(0.23)*(1-0))+(L8*(1-F8)*(1-(0.03+0.35+0.04))*(1-LTC_Mild))+(N8*(1-G8)*(0.03)*(1-LTC_Moderate))</f>
        <v>0.31159175828089747</v>
      </c>
      <c r="M9" s="21">
        <f t="shared" ref="M9:M40" si="8">(J8*(1-E8)*0.23*(0))+(K8*(1-E8)*0.23)+(L8*(1-F8)*(1-(0.03+0.35+0.04))*(LTC_Mild))+(M8*(1-F8)*(1-(0.03+0.35+0.04)))+(N8*(1-G8)*(0.03)*(LTC_Moderate))+(O8*(1-G8)*(0.03))</f>
        <v>1.7428043387516832E-2</v>
      </c>
      <c r="N9" s="21">
        <f t="shared" ref="N9:N40" si="9">(L8*(1-F8)*(0.35)*(1-LTC_Mild))+(N8*(1-G8)*(1-(0.03+0.42))*(1-LTC_Moderate))+(P8*(1-H8)*(0.02)*(1-LTC_Severe))</f>
        <v>9.2338067328220738E-2</v>
      </c>
      <c r="O9" s="21">
        <f t="shared" ref="O9:O40" si="10">(L8*(1-F8)*(0.35)*(LTC_Mild))+(M8*(1-F8)*(0.35))+(N8*(1-G8)*(1-(0.03+0.42))*(LTC_Moderate))+(O8*(1-G8)*(1-(0.03+0.42)))+(P8*(1-H8)*(0.02)*(LTC_Severe))+(Q8*(1-H8)*(0.02))</f>
        <v>1.0516922733846362E-2</v>
      </c>
      <c r="P9" s="21">
        <f t="shared" ref="P9:P40" si="11">(L8*(1-F8)*(0.04)*(1-LTC_Mild))+(N8*(1-G8)*(0.42)*(1-LTC_Moderate))+(P8*(1-H8)*(1-0.02)*(1-LTC_Severe))</f>
        <v>1.0552921980368083E-2</v>
      </c>
      <c r="Q9" s="21">
        <f t="shared" ref="Q9:Q40" si="12">(L8*(1-F8)*(0.04)*(LTC_Mild))+(M8*(1-F8)*(0.04))+(N8*(1-G8)*(0.42)*(LTC_Moderate))+(O8*(1-G8)*(0.42))+(P8*(1-H8)*(1-0.02)*(LTC_Severe))+(Q8*(1-H8)*(1-0.02))</f>
        <v>1.2019340267252986E-3</v>
      </c>
      <c r="R9" s="21">
        <f t="shared" ref="R9:R40" si="13">(J8*E8*(1-0))+(L8*F8*(1-LTC_Mild))+(N8*G8*(1-LTC_Moderate))+(P8*H8*(1-LTC_Severe))+R8</f>
        <v>1.604808281444918E-2</v>
      </c>
      <c r="S9" s="21">
        <f t="shared" ref="S9:S40" si="14">J8*E8*0+K8*E8+L8*F8*LTC_Mild+M8*F8+N8*G8*LTC_Moderate+O8*G8+P8*H8*LTC_Severe+Q8*H8+S8</f>
        <v>6.2664933186753883E-4</v>
      </c>
      <c r="T9" s="21">
        <f>SUM(J9:S9)</f>
        <v>0.99999999999999989</v>
      </c>
    </row>
    <row r="10" spans="2:20" ht="11.1" customHeight="1" x14ac:dyDescent="0.3">
      <c r="B10" s="19">
        <v>2</v>
      </c>
      <c r="C10" s="19">
        <f t="shared" si="0"/>
        <v>73</v>
      </c>
      <c r="E10" s="20">
        <f t="shared" si="1"/>
        <v>1.8890986464756621E-2</v>
      </c>
      <c r="F10" s="20">
        <f t="shared" si="2"/>
        <v>2.559750463291266E-2</v>
      </c>
      <c r="G10" s="20">
        <f t="shared" si="3"/>
        <v>4.5762582894734338E-2</v>
      </c>
      <c r="H10" s="20">
        <f t="shared" si="4"/>
        <v>8.7601105096929643E-2</v>
      </c>
      <c r="J10" s="21">
        <f t="shared" si="5"/>
        <v>0.4164939936925528</v>
      </c>
      <c r="K10" s="21">
        <f t="shared" si="6"/>
        <v>1.6956116855823553E-3</v>
      </c>
      <c r="L10" s="21">
        <f t="shared" si="7"/>
        <v>0.2910075553752427</v>
      </c>
      <c r="M10" s="21">
        <f t="shared" si="8"/>
        <v>2.0446023297708567E-2</v>
      </c>
      <c r="N10" s="21">
        <f t="shared" si="9"/>
        <v>0.14311131399015473</v>
      </c>
      <c r="O10" s="21">
        <f t="shared" si="10"/>
        <v>2.3876850687488162E-2</v>
      </c>
      <c r="P10" s="21">
        <f t="shared" si="11"/>
        <v>5.0499669430720526E-2</v>
      </c>
      <c r="Q10" s="21">
        <f t="shared" si="12"/>
        <v>1.4402172537928189E-2</v>
      </c>
      <c r="R10" s="21">
        <f t="shared" si="13"/>
        <v>3.576263101236582E-2</v>
      </c>
      <c r="S10" s="21">
        <f t="shared" si="14"/>
        <v>2.7041782902561878E-3</v>
      </c>
      <c r="T10" s="21">
        <f t="shared" ref="T10:T73" si="15">SUM(J10:S10)</f>
        <v>1</v>
      </c>
    </row>
    <row r="11" spans="2:20" ht="11.1" customHeight="1" x14ac:dyDescent="0.3">
      <c r="B11" s="19">
        <v>3</v>
      </c>
      <c r="C11" s="19">
        <f t="shared" si="0"/>
        <v>74</v>
      </c>
      <c r="E11" s="20">
        <f t="shared" si="1"/>
        <v>2.110847797105786E-2</v>
      </c>
      <c r="F11" s="20">
        <f t="shared" si="2"/>
        <v>2.8590687833229156E-2</v>
      </c>
      <c r="G11" s="20">
        <f t="shared" si="3"/>
        <v>5.1051165766922146E-2</v>
      </c>
      <c r="H11" s="20">
        <f t="shared" si="4"/>
        <v>9.7471547764780064E-2</v>
      </c>
      <c r="J11" s="21">
        <f t="shared" si="5"/>
        <v>0.32268091183562952</v>
      </c>
      <c r="K11" s="21">
        <f t="shared" si="6"/>
        <v>2.3465077183593528E-3</v>
      </c>
      <c r="L11" s="21">
        <f t="shared" si="7"/>
        <v>0.25295846886394846</v>
      </c>
      <c r="M11" s="21">
        <f t="shared" si="8"/>
        <v>2.220759142623108E-2</v>
      </c>
      <c r="N11" s="21">
        <f t="shared" si="9"/>
        <v>0.15963049806621721</v>
      </c>
      <c r="O11" s="21">
        <f t="shared" si="10"/>
        <v>3.5412725021075279E-2</v>
      </c>
      <c r="P11" s="21">
        <f t="shared" si="11"/>
        <v>9.2292261086531546E-2</v>
      </c>
      <c r="Q11" s="21">
        <f t="shared" si="12"/>
        <v>4.4804495273687121E-2</v>
      </c>
      <c r="R11" s="21">
        <f t="shared" si="13"/>
        <v>5.9469012504877794E-2</v>
      </c>
      <c r="S11" s="21">
        <f t="shared" si="14"/>
        <v>8.1975282034426715E-3</v>
      </c>
      <c r="T11" s="21">
        <f t="shared" si="15"/>
        <v>1.0000000000000002</v>
      </c>
    </row>
    <row r="12" spans="2:20" ht="11.1" customHeight="1" x14ac:dyDescent="0.3">
      <c r="B12" s="19">
        <v>4</v>
      </c>
      <c r="C12" s="19">
        <f t="shared" si="0"/>
        <v>75</v>
      </c>
      <c r="E12" s="20">
        <f t="shared" si="1"/>
        <v>2.3646350507162905E-2</v>
      </c>
      <c r="F12" s="20">
        <f t="shared" si="2"/>
        <v>3.2013331721284177E-2</v>
      </c>
      <c r="G12" s="20">
        <f t="shared" si="3"/>
        <v>5.708246662973393E-2</v>
      </c>
      <c r="H12" s="20">
        <f t="shared" si="4"/>
        <v>0.10866408383875836</v>
      </c>
      <c r="J12" s="21">
        <f t="shared" si="5"/>
        <v>0.25018593698284997</v>
      </c>
      <c r="K12" s="21">
        <f t="shared" si="6"/>
        <v>2.8212999977184228E-3</v>
      </c>
      <c r="L12" s="21">
        <f t="shared" si="7"/>
        <v>0.21127711678100775</v>
      </c>
      <c r="M12" s="21">
        <f t="shared" si="8"/>
        <v>2.2487125590435392E-2</v>
      </c>
      <c r="N12" s="21">
        <f t="shared" si="9"/>
        <v>0.15476387086128232</v>
      </c>
      <c r="O12" s="21">
        <f t="shared" si="10"/>
        <v>4.3062730826107641E-2</v>
      </c>
      <c r="P12" s="21">
        <f t="shared" si="11"/>
        <v>0.12198027445774701</v>
      </c>
      <c r="Q12" s="21">
        <f t="shared" si="12"/>
        <v>8.7706865787324284E-2</v>
      </c>
      <c r="R12" s="21">
        <f t="shared" si="13"/>
        <v>8.652150246044632E-2</v>
      </c>
      <c r="S12" s="21">
        <f t="shared" si="14"/>
        <v>1.9193276255080945E-2</v>
      </c>
      <c r="T12" s="21">
        <f t="shared" si="15"/>
        <v>1</v>
      </c>
    </row>
    <row r="13" spans="2:20" ht="11.1" customHeight="1" x14ac:dyDescent="0.3">
      <c r="B13" s="19">
        <v>5</v>
      </c>
      <c r="C13" s="19">
        <f t="shared" si="0"/>
        <v>76</v>
      </c>
      <c r="E13" s="20">
        <f t="shared" si="1"/>
        <v>2.6875157268125505E-2</v>
      </c>
      <c r="F13" s="20">
        <f t="shared" si="2"/>
        <v>3.6363164851724306E-2</v>
      </c>
      <c r="G13" s="20">
        <f t="shared" si="3"/>
        <v>6.4722854266430319E-2</v>
      </c>
      <c r="H13" s="20">
        <f t="shared" si="4"/>
        <v>0.12274458220862894</v>
      </c>
      <c r="J13" s="21">
        <f t="shared" si="5"/>
        <v>0.19388581932854609</v>
      </c>
      <c r="K13" s="21">
        <f t="shared" si="6"/>
        <v>3.1114959395681634E-3</v>
      </c>
      <c r="L13" s="21">
        <f t="shared" si="7"/>
        <v>0.17207590731252609</v>
      </c>
      <c r="M13" s="21">
        <f t="shared" si="8"/>
        <v>2.1578550515236761E-2</v>
      </c>
      <c r="N13" s="21">
        <f t="shared" si="9"/>
        <v>0.13884044684064664</v>
      </c>
      <c r="O13" s="21">
        <f t="shared" si="10"/>
        <v>4.6689615505998518E-2</v>
      </c>
      <c r="P13" s="21">
        <f t="shared" si="11"/>
        <v>0.13594251857484202</v>
      </c>
      <c r="Q13" s="21">
        <f t="shared" si="12"/>
        <v>0.13461670584821145</v>
      </c>
      <c r="R13" s="21">
        <f t="shared" si="13"/>
        <v>0.1158287758706347</v>
      </c>
      <c r="S13" s="21">
        <f t="shared" si="14"/>
        <v>3.7430164263789603E-2</v>
      </c>
      <c r="T13" s="21">
        <f t="shared" si="15"/>
        <v>1</v>
      </c>
    </row>
    <row r="14" spans="2:20" ht="11.1" customHeight="1" x14ac:dyDescent="0.3">
      <c r="B14" s="19">
        <v>6</v>
      </c>
      <c r="C14" s="19">
        <f t="shared" si="0"/>
        <v>77</v>
      </c>
      <c r="E14" s="20">
        <f t="shared" si="1"/>
        <v>3.1262370100638814E-2</v>
      </c>
      <c r="F14" s="20">
        <f t="shared" si="2"/>
        <v>4.2265281802119969E-2</v>
      </c>
      <c r="G14" s="20">
        <f t="shared" si="3"/>
        <v>7.5045398384775641E-2</v>
      </c>
      <c r="H14" s="20">
        <f t="shared" si="4"/>
        <v>0.14159385725097229</v>
      </c>
      <c r="J14" s="21">
        <f t="shared" si="5"/>
        <v>0.14998079238570095</v>
      </c>
      <c r="K14" s="21">
        <f t="shared" si="6"/>
        <v>3.2288803878456653E-3</v>
      </c>
      <c r="L14" s="21">
        <f t="shared" si="7"/>
        <v>0.13766190060437938</v>
      </c>
      <c r="M14" s="21">
        <f t="shared" si="8"/>
        <v>1.9870735876374817E-2</v>
      </c>
      <c r="N14" s="21">
        <f t="shared" si="9"/>
        <v>0.11851609947843221</v>
      </c>
      <c r="O14" s="21">
        <f t="shared" si="10"/>
        <v>4.6982405467101931E-2</v>
      </c>
      <c r="P14" s="21">
        <f t="shared" si="11"/>
        <v>0.13588494269616827</v>
      </c>
      <c r="Q14" s="21">
        <f t="shared" si="12"/>
        <v>0.17706136601427919</v>
      </c>
      <c r="R14" s="21">
        <f t="shared" si="13"/>
        <v>0.14649963337920718</v>
      </c>
      <c r="S14" s="21">
        <f t="shared" si="14"/>
        <v>6.4313243710510434E-2</v>
      </c>
      <c r="T14" s="21">
        <f t="shared" si="15"/>
        <v>1.0000000000000002</v>
      </c>
    </row>
    <row r="15" spans="2:20" ht="11.1" customHeight="1" x14ac:dyDescent="0.3">
      <c r="B15" s="19">
        <v>7</v>
      </c>
      <c r="C15" s="19">
        <f t="shared" si="0"/>
        <v>78</v>
      </c>
      <c r="E15" s="20">
        <f t="shared" si="1"/>
        <v>3.6659890087681335E-2</v>
      </c>
      <c r="F15" s="20">
        <f t="shared" si="2"/>
        <v>4.9513383819471346E-2</v>
      </c>
      <c r="G15" s="20">
        <f t="shared" si="3"/>
        <v>8.7651994744920803E-2</v>
      </c>
      <c r="H15" s="20">
        <f t="shared" si="4"/>
        <v>0.16434222218004213</v>
      </c>
      <c r="J15" s="21">
        <f t="shared" si="5"/>
        <v>0.11561263429438454</v>
      </c>
      <c r="K15" s="21">
        <f t="shared" si="6"/>
        <v>3.1969809276541062E-3</v>
      </c>
      <c r="L15" s="21">
        <f t="shared" si="7"/>
        <v>0.10853519283615803</v>
      </c>
      <c r="M15" s="21">
        <f t="shared" si="8"/>
        <v>1.7700955209587071E-2</v>
      </c>
      <c r="N15" s="21">
        <f t="shared" si="9"/>
        <v>9.7583167066393806E-2</v>
      </c>
      <c r="O15" s="21">
        <f t="shared" si="10"/>
        <v>4.4788831971358779E-2</v>
      </c>
      <c r="P15" s="21">
        <f t="shared" si="11"/>
        <v>0.12542284033420242</v>
      </c>
      <c r="Q15" s="21">
        <f t="shared" si="12"/>
        <v>0.2081674853049211</v>
      </c>
      <c r="R15" s="21">
        <f t="shared" si="13"/>
        <v>0.17795206131028946</v>
      </c>
      <c r="S15" s="21">
        <f t="shared" si="14"/>
        <v>0.10103985074505073</v>
      </c>
      <c r="T15" s="21">
        <f t="shared" si="15"/>
        <v>1</v>
      </c>
    </row>
    <row r="16" spans="2:20" ht="11.1" customHeight="1" x14ac:dyDescent="0.3">
      <c r="B16" s="19">
        <v>8</v>
      </c>
      <c r="C16" s="19">
        <f t="shared" si="0"/>
        <v>79</v>
      </c>
      <c r="E16" s="20">
        <f t="shared" si="1"/>
        <v>4.2849273174327962E-2</v>
      </c>
      <c r="F16" s="20">
        <f t="shared" si="2"/>
        <v>5.7806883397622633E-2</v>
      </c>
      <c r="G16" s="20">
        <f t="shared" si="3"/>
        <v>0.10198202532948608</v>
      </c>
      <c r="H16" s="20">
        <f t="shared" si="4"/>
        <v>0.18983751460326992</v>
      </c>
      <c r="J16" s="21">
        <f t="shared" si="5"/>
        <v>8.8682823013642845E-2</v>
      </c>
      <c r="K16" s="21">
        <f t="shared" si="6"/>
        <v>3.0463822579391161E-3</v>
      </c>
      <c r="L16" s="21">
        <f t="shared" si="7"/>
        <v>8.4477102521057293E-2</v>
      </c>
      <c r="M16" s="21">
        <f t="shared" si="8"/>
        <v>1.5335863483143248E-2</v>
      </c>
      <c r="N16" s="21">
        <f t="shared" si="9"/>
        <v>7.8099145941367146E-2</v>
      </c>
      <c r="O16" s="21">
        <f t="shared" si="10"/>
        <v>4.0912265411081367E-2</v>
      </c>
      <c r="P16" s="21">
        <f t="shared" si="11"/>
        <v>0.10866711178260799</v>
      </c>
      <c r="Q16" s="21">
        <f t="shared" si="12"/>
        <v>0.22387930212356222</v>
      </c>
      <c r="R16" s="21">
        <f t="shared" si="13"/>
        <v>0.20920413818507638</v>
      </c>
      <c r="S16" s="21">
        <f t="shared" si="14"/>
        <v>0.14769586528052242</v>
      </c>
      <c r="T16" s="21">
        <f t="shared" si="15"/>
        <v>1</v>
      </c>
    </row>
    <row r="17" spans="2:20" ht="11.1" customHeight="1" x14ac:dyDescent="0.3">
      <c r="B17" s="19">
        <v>9</v>
      </c>
      <c r="C17" s="19">
        <f t="shared" si="0"/>
        <v>80</v>
      </c>
      <c r="E17" s="20">
        <f t="shared" si="1"/>
        <v>4.972845894543243E-2</v>
      </c>
      <c r="F17" s="20">
        <f t="shared" si="2"/>
        <v>6.7002078676466792E-2</v>
      </c>
      <c r="G17" s="20">
        <f t="shared" si="3"/>
        <v>0.11775156048840807</v>
      </c>
      <c r="H17" s="20">
        <f t="shared" si="4"/>
        <v>0.21744726008184811</v>
      </c>
      <c r="J17" s="21">
        <f t="shared" si="5"/>
        <v>6.7616260605175671E-2</v>
      </c>
      <c r="K17" s="21">
        <f t="shared" si="6"/>
        <v>2.8100122128927457E-3</v>
      </c>
      <c r="L17" s="21">
        <f t="shared" si="7"/>
        <v>6.4974682655564595E-2</v>
      </c>
      <c r="M17" s="21">
        <f t="shared" si="8"/>
        <v>1.2970236226028244E-2</v>
      </c>
      <c r="N17" s="21">
        <f t="shared" si="9"/>
        <v>6.1047386437583458E-2</v>
      </c>
      <c r="O17" s="21">
        <f t="shared" si="10"/>
        <v>3.603694009927795E-2</v>
      </c>
      <c r="P17" s="21">
        <f t="shared" si="11"/>
        <v>8.9316042783507271E-2</v>
      </c>
      <c r="Q17" s="21">
        <f t="shared" si="12"/>
        <v>0.22336121977902865</v>
      </c>
      <c r="R17" s="21">
        <f t="shared" si="13"/>
        <v>0.23905515597135008</v>
      </c>
      <c r="S17" s="21">
        <f t="shared" si="14"/>
        <v>0.20281206322959139</v>
      </c>
      <c r="T17" s="21">
        <f t="shared" si="15"/>
        <v>1</v>
      </c>
    </row>
    <row r="18" spans="2:20" ht="11.1" customHeight="1" x14ac:dyDescent="0.3">
      <c r="B18" s="19">
        <v>10</v>
      </c>
      <c r="C18" s="19">
        <f t="shared" si="0"/>
        <v>81</v>
      </c>
      <c r="E18" s="20">
        <f t="shared" si="1"/>
        <v>5.7251654003104502E-2</v>
      </c>
      <c r="F18" s="20">
        <f t="shared" si="2"/>
        <v>7.7030725748545636E-2</v>
      </c>
      <c r="G18" s="20">
        <f t="shared" si="3"/>
        <v>0.13480810978755453</v>
      </c>
      <c r="H18" s="20">
        <f t="shared" si="4"/>
        <v>0.24678309076341653</v>
      </c>
      <c r="J18" s="21">
        <f t="shared" si="5"/>
        <v>5.1194044550859255E-2</v>
      </c>
      <c r="K18" s="21">
        <f t="shared" si="6"/>
        <v>2.5191726251660418E-3</v>
      </c>
      <c r="L18" s="21">
        <f t="shared" si="7"/>
        <v>4.9407366991129388E-2</v>
      </c>
      <c r="M18" s="21">
        <f t="shared" si="8"/>
        <v>1.0733766351543087E-2</v>
      </c>
      <c r="N18" s="21">
        <f t="shared" si="9"/>
        <v>4.6746859344873846E-2</v>
      </c>
      <c r="O18" s="21">
        <f t="shared" si="10"/>
        <v>3.0708598752183579E-2</v>
      </c>
      <c r="P18" s="21">
        <f t="shared" si="11"/>
        <v>7.0147929091449512E-2</v>
      </c>
      <c r="Q18" s="21">
        <f t="shared" si="12"/>
        <v>0.20852773650520778</v>
      </c>
      <c r="R18" s="21">
        <f t="shared" si="13"/>
        <v>0.26644391725513383</v>
      </c>
      <c r="S18" s="21">
        <f t="shared" si="14"/>
        <v>0.26357060853245373</v>
      </c>
      <c r="T18" s="21">
        <f t="shared" si="15"/>
        <v>1</v>
      </c>
    </row>
    <row r="19" spans="2:20" ht="11.1" customHeight="1" x14ac:dyDescent="0.3">
      <c r="B19" s="19">
        <v>11</v>
      </c>
      <c r="C19" s="19">
        <f t="shared" si="0"/>
        <v>82</v>
      </c>
      <c r="E19" s="20">
        <f t="shared" si="1"/>
        <v>6.6035982757058131E-2</v>
      </c>
      <c r="F19" s="20">
        <f t="shared" si="2"/>
        <v>8.8704119559237626E-2</v>
      </c>
      <c r="G19" s="20">
        <f t="shared" si="3"/>
        <v>0.15447457622922944</v>
      </c>
      <c r="H19" s="20">
        <f t="shared" si="4"/>
        <v>0.27992707068676714</v>
      </c>
      <c r="J19" s="21">
        <f t="shared" si="5"/>
        <v>3.8455389640319186E-2</v>
      </c>
      <c r="K19" s="21">
        <f t="shared" si="6"/>
        <v>2.201158826669017E-3</v>
      </c>
      <c r="L19" s="21">
        <f t="shared" si="7"/>
        <v>3.7147873178312758E-2</v>
      </c>
      <c r="M19" s="21">
        <f t="shared" si="8"/>
        <v>8.7041751298241304E-3</v>
      </c>
      <c r="N19" s="21">
        <f t="shared" si="9"/>
        <v>3.5135074192206878E-2</v>
      </c>
      <c r="O19" s="21">
        <f t="shared" si="10"/>
        <v>2.534854545512278E-2</v>
      </c>
      <c r="P19" s="21">
        <f t="shared" si="11"/>
        <v>5.292139796408054E-2</v>
      </c>
      <c r="Q19" s="21">
        <f t="shared" si="12"/>
        <v>0.18314990817670684</v>
      </c>
      <c r="R19" s="21">
        <f t="shared" si="13"/>
        <v>0.29062860462942197</v>
      </c>
      <c r="S19" s="21">
        <f t="shared" si="14"/>
        <v>0.32630787280733597</v>
      </c>
      <c r="T19" s="21">
        <f t="shared" si="15"/>
        <v>1</v>
      </c>
    </row>
    <row r="20" spans="2:20" ht="11.1" customHeight="1" x14ac:dyDescent="0.3">
      <c r="B20" s="19">
        <v>12</v>
      </c>
      <c r="C20" s="19">
        <f t="shared" si="0"/>
        <v>83</v>
      </c>
      <c r="E20" s="20">
        <f t="shared" si="1"/>
        <v>7.6062995019991475E-2</v>
      </c>
      <c r="F20" s="20">
        <f t="shared" si="2"/>
        <v>0.10198070718378116</v>
      </c>
      <c r="G20" s="20">
        <f t="shared" si="3"/>
        <v>0.17659629300437474</v>
      </c>
      <c r="H20" s="20">
        <f t="shared" si="4"/>
        <v>0.3163367593772809</v>
      </c>
      <c r="J20" s="21">
        <f t="shared" si="5"/>
        <v>2.861500580127363E-2</v>
      </c>
      <c r="K20" s="21">
        <f t="shared" si="6"/>
        <v>1.8767877474803662E-3</v>
      </c>
      <c r="L20" s="21">
        <f t="shared" si="7"/>
        <v>2.7588921359024621E-2</v>
      </c>
      <c r="M20" s="21">
        <f t="shared" si="8"/>
        <v>6.9139690368023553E-3</v>
      </c>
      <c r="N20" s="21">
        <f t="shared" si="9"/>
        <v>2.5915739607892254E-2</v>
      </c>
      <c r="O20" s="21">
        <f t="shared" si="10"/>
        <v>2.0235946460865472E-2</v>
      </c>
      <c r="P20" s="21">
        <f t="shared" si="11"/>
        <v>3.8400799307888013E-2</v>
      </c>
      <c r="Q20" s="21">
        <f t="shared" si="12"/>
        <v>0.15133836181830618</v>
      </c>
      <c r="R20" s="21">
        <f t="shared" si="13"/>
        <v>0.31142217691271645</v>
      </c>
      <c r="S20" s="21">
        <f t="shared" si="14"/>
        <v>0.38769229194775068</v>
      </c>
      <c r="T20" s="21">
        <f t="shared" si="15"/>
        <v>1</v>
      </c>
    </row>
    <row r="21" spans="2:20" ht="11.1" customHeight="1" x14ac:dyDescent="0.3">
      <c r="B21" s="19">
        <v>13</v>
      </c>
      <c r="C21" s="19">
        <f t="shared" si="0"/>
        <v>84</v>
      </c>
      <c r="E21" s="20">
        <f t="shared" si="1"/>
        <v>8.7161206574002503E-2</v>
      </c>
      <c r="F21" s="20">
        <f t="shared" si="2"/>
        <v>0.1166153330973847</v>
      </c>
      <c r="G21" s="20">
        <f t="shared" si="3"/>
        <v>0.20067697726655465</v>
      </c>
      <c r="H21" s="20">
        <f t="shared" si="4"/>
        <v>0.35491983638905999</v>
      </c>
      <c r="J21" s="21">
        <f t="shared" si="5"/>
        <v>2.1059998449717988E-2</v>
      </c>
      <c r="K21" s="21">
        <f t="shared" si="6"/>
        <v>1.5623516213697673E-3</v>
      </c>
      <c r="L21" s="21">
        <f t="shared" si="7"/>
        <v>2.0215904794184784E-2</v>
      </c>
      <c r="M21" s="21">
        <f t="shared" si="8"/>
        <v>5.3746849767847688E-3</v>
      </c>
      <c r="N21" s="21">
        <f t="shared" si="9"/>
        <v>1.875139741578016E-2</v>
      </c>
      <c r="O21" s="21">
        <f t="shared" si="10"/>
        <v>1.5588255977485269E-2</v>
      </c>
      <c r="P21" s="21">
        <f t="shared" si="11"/>
        <v>2.6828515675685172E-2</v>
      </c>
      <c r="Q21" s="21">
        <f t="shared" si="12"/>
        <v>0.11749480789195628</v>
      </c>
      <c r="R21" s="21">
        <f t="shared" si="13"/>
        <v>0.32878192175530391</v>
      </c>
      <c r="S21" s="21">
        <f t="shared" si="14"/>
        <v>0.44434216144173194</v>
      </c>
      <c r="T21" s="21">
        <f t="shared" si="15"/>
        <v>1</v>
      </c>
    </row>
    <row r="22" spans="2:20" ht="11.1" customHeight="1" x14ac:dyDescent="0.3">
      <c r="B22" s="19">
        <v>14</v>
      </c>
      <c r="C22" s="19">
        <f t="shared" si="0"/>
        <v>85</v>
      </c>
      <c r="E22" s="20">
        <f t="shared" si="1"/>
        <v>9.9347691695008566E-2</v>
      </c>
      <c r="F22" s="20">
        <f t="shared" si="2"/>
        <v>0.13261143750077753</v>
      </c>
      <c r="G22" s="20">
        <f t="shared" si="3"/>
        <v>0.22663231220202829</v>
      </c>
      <c r="H22" s="20">
        <f t="shared" si="4"/>
        <v>0.39527837169256685</v>
      </c>
      <c r="J22" s="21">
        <f t="shared" si="5"/>
        <v>1.5309061568433185E-2</v>
      </c>
      <c r="K22" s="21">
        <f t="shared" si="6"/>
        <v>1.2700587025681494E-3</v>
      </c>
      <c r="L22" s="21">
        <f t="shared" si="7"/>
        <v>1.460010695318845E-2</v>
      </c>
      <c r="M22" s="21">
        <f t="shared" si="8"/>
        <v>4.0846499042685456E-3</v>
      </c>
      <c r="N22" s="21">
        <f t="shared" si="9"/>
        <v>1.3305822107800042E-2</v>
      </c>
      <c r="O22" s="21">
        <f t="shared" si="10"/>
        <v>1.1565058825490082E-2</v>
      </c>
      <c r="P22" s="21">
        <f t="shared" si="11"/>
        <v>1.8079358359510276E-2</v>
      </c>
      <c r="Q22" s="21">
        <f t="shared" si="12"/>
        <v>8.5591365672575484E-2</v>
      </c>
      <c r="R22" s="21">
        <f t="shared" si="13"/>
        <v>0.34281508923917409</v>
      </c>
      <c r="S22" s="21">
        <f t="shared" si="14"/>
        <v>0.49337942866699175</v>
      </c>
      <c r="T22" s="21">
        <f t="shared" si="15"/>
        <v>1</v>
      </c>
    </row>
    <row r="23" spans="2:20" ht="11.1" customHeight="1" x14ac:dyDescent="0.3">
      <c r="B23" s="19">
        <v>15</v>
      </c>
      <c r="C23" s="19">
        <f t="shared" si="0"/>
        <v>86</v>
      </c>
      <c r="E23" s="20">
        <f t="shared" si="1"/>
        <v>0.11276235934045675</v>
      </c>
      <c r="F23" s="20">
        <f t="shared" si="2"/>
        <v>0.15012985180403171</v>
      </c>
      <c r="G23" s="20">
        <f t="shared" si="3"/>
        <v>0.25461809611425101</v>
      </c>
      <c r="H23" s="20">
        <f t="shared" si="4"/>
        <v>0.43736445209676178</v>
      </c>
      <c r="J23" s="21">
        <f t="shared" si="5"/>
        <v>1.0975892492419058E-2</v>
      </c>
      <c r="K23" s="21">
        <f t="shared" si="6"/>
        <v>1.0079735044604948E-3</v>
      </c>
      <c r="L23" s="21">
        <f t="shared" si="7"/>
        <v>1.038035144901007E-2</v>
      </c>
      <c r="M23" s="21">
        <f t="shared" si="8"/>
        <v>3.0310716449347638E-3</v>
      </c>
      <c r="N23" s="21">
        <f t="shared" si="9"/>
        <v>9.255128847076733E-3</v>
      </c>
      <c r="O23" s="21">
        <f t="shared" si="10"/>
        <v>8.2500248952286099E-3</v>
      </c>
      <c r="P23" s="21">
        <f t="shared" si="11"/>
        <v>1.1773007967653796E-2</v>
      </c>
      <c r="Q23" s="21">
        <f t="shared" si="12"/>
        <v>5.8391781257567707E-2</v>
      </c>
      <c r="R23" s="21">
        <f t="shared" si="13"/>
        <v>0.35381419299687639</v>
      </c>
      <c r="S23" s="21">
        <f t="shared" si="14"/>
        <v>0.5331205749447725</v>
      </c>
      <c r="T23" s="21">
        <f t="shared" si="15"/>
        <v>1</v>
      </c>
    </row>
    <row r="24" spans="2:20" ht="11.1" customHeight="1" x14ac:dyDescent="0.3">
      <c r="B24" s="19">
        <v>16</v>
      </c>
      <c r="C24" s="19">
        <f t="shared" si="0"/>
        <v>87</v>
      </c>
      <c r="E24" s="20">
        <f t="shared" si="1"/>
        <v>0.12744286062794341</v>
      </c>
      <c r="F24" s="20">
        <f t="shared" si="2"/>
        <v>0.16919242833842307</v>
      </c>
      <c r="G24" s="20">
        <f t="shared" si="3"/>
        <v>0.28454643736239738</v>
      </c>
      <c r="H24" s="20">
        <f t="shared" si="4"/>
        <v>0.48072773765230914</v>
      </c>
      <c r="J24" s="21">
        <f t="shared" si="5"/>
        <v>7.7485355243809458E-3</v>
      </c>
      <c r="K24" s="21">
        <f t="shared" si="6"/>
        <v>7.8045700423983128E-4</v>
      </c>
      <c r="L24" s="21">
        <f t="shared" si="7"/>
        <v>7.2547426761931265E-3</v>
      </c>
      <c r="M24" s="21">
        <f t="shared" si="8"/>
        <v>2.193003093710739E-3</v>
      </c>
      <c r="N24" s="21">
        <f t="shared" si="9"/>
        <v>6.3045192218942284E-3</v>
      </c>
      <c r="O24" s="21">
        <f t="shared" si="10"/>
        <v>5.6507273703588949E-3</v>
      </c>
      <c r="P24" s="21">
        <f t="shared" si="11"/>
        <v>7.4183952953209868E-3</v>
      </c>
      <c r="Q24" s="21">
        <f t="shared" si="12"/>
        <v>3.7205354392822534E-2</v>
      </c>
      <c r="R24" s="21">
        <f t="shared" si="13"/>
        <v>0.36219497433931153</v>
      </c>
      <c r="S24" s="21">
        <f t="shared" si="14"/>
        <v>0.56324929108176724</v>
      </c>
      <c r="T24" s="21">
        <f t="shared" si="15"/>
        <v>1</v>
      </c>
    </row>
    <row r="25" spans="2:20" ht="11.1" customHeight="1" x14ac:dyDescent="0.3">
      <c r="B25" s="19">
        <v>17</v>
      </c>
      <c r="C25" s="19">
        <f t="shared" si="0"/>
        <v>88</v>
      </c>
      <c r="E25" s="20">
        <f t="shared" si="1"/>
        <v>0.14342069010275205</v>
      </c>
      <c r="F25" s="20">
        <f t="shared" si="2"/>
        <v>0.18980884192976633</v>
      </c>
      <c r="G25" s="20">
        <f t="shared" si="3"/>
        <v>0.31629659848191671</v>
      </c>
      <c r="H25" s="20">
        <f t="shared" si="4"/>
        <v>0.52486986315146156</v>
      </c>
      <c r="J25" s="21">
        <f t="shared" si="5"/>
        <v>5.3768746108214752E-3</v>
      </c>
      <c r="K25" s="21">
        <f t="shared" si="6"/>
        <v>5.8896880912583842E-4</v>
      </c>
      <c r="L25" s="21">
        <f t="shared" si="7"/>
        <v>4.9760554502912965E-3</v>
      </c>
      <c r="M25" s="21">
        <f t="shared" si="8"/>
        <v>1.5447849849290923E-3</v>
      </c>
      <c r="N25" s="21">
        <f t="shared" si="9"/>
        <v>4.2011223978817543E-3</v>
      </c>
      <c r="O25" s="21">
        <f t="shared" si="10"/>
        <v>3.7139387351388564E-3</v>
      </c>
      <c r="P25" s="21">
        <f t="shared" si="11"/>
        <v>4.5298997091267794E-3</v>
      </c>
      <c r="Q25" s="21">
        <f t="shared" si="12"/>
        <v>2.2084946567591569E-2</v>
      </c>
      <c r="R25" s="21">
        <f t="shared" si="13"/>
        <v>0.36841016249708386</v>
      </c>
      <c r="S25" s="21">
        <f t="shared" si="14"/>
        <v>0.58457324623800955</v>
      </c>
      <c r="T25" s="21">
        <f t="shared" si="15"/>
        <v>1</v>
      </c>
    </row>
    <row r="26" spans="2:20" ht="11.1" customHeight="1" x14ac:dyDescent="0.3">
      <c r="B26" s="19">
        <v>18</v>
      </c>
      <c r="C26" s="19">
        <f t="shared" si="0"/>
        <v>89</v>
      </c>
      <c r="E26" s="20">
        <f t="shared" si="1"/>
        <v>0.16070994032977881</v>
      </c>
      <c r="F26" s="20">
        <f t="shared" si="2"/>
        <v>0.21196206263431105</v>
      </c>
      <c r="G26" s="20">
        <f t="shared" si="3"/>
        <v>0.34969455826877838</v>
      </c>
      <c r="H26" s="20">
        <f t="shared" si="4"/>
        <v>0.56923140754809931</v>
      </c>
      <c r="J26" s="21">
        <f t="shared" si="5"/>
        <v>3.6606986647527216E-3</v>
      </c>
      <c r="K26" s="21">
        <f t="shared" si="6"/>
        <v>4.3266304366375134E-4</v>
      </c>
      <c r="L26" s="21">
        <f t="shared" si="7"/>
        <v>3.3438066650940176E-3</v>
      </c>
      <c r="M26" s="21">
        <f t="shared" si="8"/>
        <v>1.0581039236185817E-3</v>
      </c>
      <c r="N26" s="21">
        <f t="shared" si="9"/>
        <v>2.7349878258009224E-3</v>
      </c>
      <c r="O26" s="21">
        <f t="shared" si="10"/>
        <v>2.3433718485314932E-3</v>
      </c>
      <c r="P26" s="21">
        <f t="shared" si="11"/>
        <v>2.6844356170300184E-3</v>
      </c>
      <c r="Q26" s="21">
        <f t="shared" si="12"/>
        <v>1.2192347488454181E-2</v>
      </c>
      <c r="R26" s="21">
        <f t="shared" si="13"/>
        <v>0.37290110437233953</v>
      </c>
      <c r="S26" s="21">
        <f t="shared" si="14"/>
        <v>0.59864848055071485</v>
      </c>
      <c r="T26" s="21">
        <f t="shared" si="15"/>
        <v>1</v>
      </c>
    </row>
    <row r="27" spans="2:20" ht="11.1" customHeight="1" x14ac:dyDescent="0.3">
      <c r="B27" s="19">
        <v>19</v>
      </c>
      <c r="C27" s="19">
        <f t="shared" si="0"/>
        <v>90</v>
      </c>
      <c r="E27" s="20">
        <f t="shared" si="1"/>
        <v>0.17929445877373706</v>
      </c>
      <c r="F27" s="20">
        <f t="shared" si="2"/>
        <v>0.23559252191517477</v>
      </c>
      <c r="G27" s="20">
        <f t="shared" si="3"/>
        <v>0.38449423321545761</v>
      </c>
      <c r="H27" s="20">
        <f t="shared" si="4"/>
        <v>0.61319047359581413</v>
      </c>
      <c r="J27" s="21">
        <f t="shared" si="5"/>
        <v>2.4404423290790064E-3</v>
      </c>
      <c r="K27" s="21">
        <f t="shared" si="6"/>
        <v>3.0897254737657996E-4</v>
      </c>
      <c r="L27" s="21">
        <f t="shared" si="7"/>
        <v>2.197232388054555E-3</v>
      </c>
      <c r="M27" s="21">
        <f t="shared" si="8"/>
        <v>7.0395732582345216E-4</v>
      </c>
      <c r="N27" s="21">
        <f t="shared" si="9"/>
        <v>1.7369162120266007E-3</v>
      </c>
      <c r="O27" s="21">
        <f t="shared" si="10"/>
        <v>1.4217249078313946E-3</v>
      </c>
      <c r="P27" s="21">
        <f t="shared" si="11"/>
        <v>1.5458061304755562E-3</v>
      </c>
      <c r="Q27" s="21">
        <f t="shared" si="12"/>
        <v>6.2602743424871867E-3</v>
      </c>
      <c r="R27" s="21">
        <f t="shared" si="13"/>
        <v>0.37606511538315474</v>
      </c>
      <c r="S27" s="21">
        <f t="shared" si="14"/>
        <v>0.60731955843369101</v>
      </c>
      <c r="T27" s="21">
        <f t="shared" si="15"/>
        <v>1</v>
      </c>
    </row>
    <row r="28" spans="2:20" ht="11.1" customHeight="1" x14ac:dyDescent="0.3">
      <c r="B28" s="19">
        <v>20</v>
      </c>
      <c r="C28" s="19">
        <f t="shared" si="0"/>
        <v>91</v>
      </c>
      <c r="E28" s="20">
        <f t="shared" si="1"/>
        <v>0.19916275711288256</v>
      </c>
      <c r="F28" s="20">
        <f t="shared" si="2"/>
        <v>0.26064325341587646</v>
      </c>
      <c r="G28" s="20">
        <f t="shared" si="3"/>
        <v>0.42044965421804492</v>
      </c>
      <c r="H28" s="20">
        <f t="shared" si="4"/>
        <v>0.65617648638428305</v>
      </c>
      <c r="J28" s="21">
        <f t="shared" si="5"/>
        <v>1.5898372153615821E-3</v>
      </c>
      <c r="K28" s="21">
        <f t="shared" si="6"/>
        <v>2.1416773667985774E-4</v>
      </c>
      <c r="L28" s="21">
        <f t="shared" si="7"/>
        <v>1.409080612660329E-3</v>
      </c>
      <c r="M28" s="21">
        <f t="shared" si="8"/>
        <v>4.5449089297449892E-4</v>
      </c>
      <c r="N28" s="21">
        <f t="shared" si="9"/>
        <v>1.0743199828937391E-3</v>
      </c>
      <c r="O28" s="21">
        <f t="shared" si="10"/>
        <v>8.3155023580500705E-4</v>
      </c>
      <c r="P28" s="21">
        <f t="shared" si="11"/>
        <v>8.6575828676544841E-4</v>
      </c>
      <c r="Q28" s="21">
        <f t="shared" si="12"/>
        <v>2.9985742890227445E-3</v>
      </c>
      <c r="R28" s="21">
        <f t="shared" si="13"/>
        <v>0.37823883700915806</v>
      </c>
      <c r="S28" s="21">
        <f t="shared" si="14"/>
        <v>0.61232338373867878</v>
      </c>
      <c r="T28" s="21">
        <f t="shared" si="15"/>
        <v>1</v>
      </c>
    </row>
    <row r="29" spans="2:20" ht="11.1" customHeight="1" x14ac:dyDescent="0.3">
      <c r="B29" s="19">
        <v>21</v>
      </c>
      <c r="C29" s="19">
        <f t="shared" si="0"/>
        <v>92</v>
      </c>
      <c r="E29" s="20">
        <f t="shared" si="1"/>
        <v>0.22026361009796191</v>
      </c>
      <c r="F29" s="20">
        <f t="shared" si="2"/>
        <v>0.28700427627571667</v>
      </c>
      <c r="G29" s="20">
        <f t="shared" si="3"/>
        <v>0.4572389937665472</v>
      </c>
      <c r="H29" s="20">
        <f t="shared" si="4"/>
        <v>0.69759345014968455</v>
      </c>
      <c r="J29" s="21">
        <f t="shared" si="5"/>
        <v>1.0099000620346606E-3</v>
      </c>
      <c r="K29" s="21">
        <f t="shared" si="6"/>
        <v>1.4386531392796182E-4</v>
      </c>
      <c r="L29" s="21">
        <f t="shared" si="7"/>
        <v>8.800671327700777E-4</v>
      </c>
      <c r="M29" s="21">
        <f t="shared" si="8"/>
        <v>2.8450321645690066E-4</v>
      </c>
      <c r="N29" s="21">
        <f t="shared" si="9"/>
        <v>6.4601089101813506E-4</v>
      </c>
      <c r="O29" s="21">
        <f t="shared" si="10"/>
        <v>4.703087943074872E-4</v>
      </c>
      <c r="P29" s="21">
        <f t="shared" si="11"/>
        <v>4.7173095139858362E-4</v>
      </c>
      <c r="Q29" s="21">
        <f t="shared" si="12"/>
        <v>1.3493683037163681E-3</v>
      </c>
      <c r="R29" s="21">
        <f t="shared" si="13"/>
        <v>0.37969454994529683</v>
      </c>
      <c r="S29" s="21">
        <f t="shared" si="14"/>
        <v>0.61504969538907306</v>
      </c>
      <c r="T29" s="21">
        <f t="shared" si="15"/>
        <v>1</v>
      </c>
    </row>
    <row r="30" spans="2:20" ht="11.1" customHeight="1" x14ac:dyDescent="0.3">
      <c r="B30" s="19">
        <v>22</v>
      </c>
      <c r="C30" s="19">
        <f t="shared" si="0"/>
        <v>93</v>
      </c>
      <c r="E30" s="20">
        <f t="shared" si="1"/>
        <v>0.24252778516240336</v>
      </c>
      <c r="F30" s="20">
        <f t="shared" si="2"/>
        <v>0.31454168523303749</v>
      </c>
      <c r="G30" s="20">
        <f t="shared" si="3"/>
        <v>0.49451566511171885</v>
      </c>
      <c r="H30" s="20">
        <f t="shared" si="4"/>
        <v>0.73690436438464824</v>
      </c>
      <c r="J30" s="21">
        <f t="shared" si="5"/>
        <v>6.2413016226915729E-4</v>
      </c>
      <c r="K30" s="21">
        <f t="shared" si="6"/>
        <v>9.3497141866329085E-5</v>
      </c>
      <c r="L30" s="21">
        <f t="shared" si="7"/>
        <v>5.3416926974195948E-4</v>
      </c>
      <c r="M30" s="21">
        <f t="shared" si="8"/>
        <v>1.7251666321489126E-4</v>
      </c>
      <c r="N30" s="21">
        <f t="shared" si="9"/>
        <v>3.7693947603910664E-4</v>
      </c>
      <c r="O30" s="21">
        <f t="shared" si="10"/>
        <v>2.579336960826554E-4</v>
      </c>
      <c r="P30" s="21">
        <f t="shared" si="11"/>
        <v>2.4996461030295442E-4</v>
      </c>
      <c r="Q30" s="21">
        <f t="shared" si="12"/>
        <v>5.7742264686477828E-4</v>
      </c>
      <c r="R30" s="21">
        <f t="shared" si="13"/>
        <v>0.3806437459726344</v>
      </c>
      <c r="S30" s="21">
        <f t="shared" si="14"/>
        <v>0.61646968036098382</v>
      </c>
      <c r="T30" s="21">
        <f t="shared" si="15"/>
        <v>1</v>
      </c>
    </row>
    <row r="31" spans="2:20" ht="11.1" customHeight="1" x14ac:dyDescent="0.3">
      <c r="B31" s="19">
        <v>23</v>
      </c>
      <c r="C31" s="19">
        <f t="shared" si="0"/>
        <v>94</v>
      </c>
      <c r="E31" s="20">
        <f t="shared" si="1"/>
        <v>0.2658525512412393</v>
      </c>
      <c r="F31" s="20">
        <f t="shared" si="2"/>
        <v>0.34308016776870653</v>
      </c>
      <c r="G31" s="20">
        <f t="shared" si="3"/>
        <v>0.53189321895491859</v>
      </c>
      <c r="H31" s="20">
        <f t="shared" si="4"/>
        <v>0.77363048563701819</v>
      </c>
      <c r="J31" s="21">
        <f t="shared" si="5"/>
        <v>3.7440654165480134E-4</v>
      </c>
      <c r="K31" s="21">
        <f t="shared" si="6"/>
        <v>5.8684283293831477E-5</v>
      </c>
      <c r="L31" s="21">
        <f t="shared" si="7"/>
        <v>3.1438390808440482E-4</v>
      </c>
      <c r="M31" s="21">
        <f t="shared" si="8"/>
        <v>1.0122185044406848E-4</v>
      </c>
      <c r="N31" s="21">
        <f t="shared" si="9"/>
        <v>2.1299269583196839E-4</v>
      </c>
      <c r="O31" s="21">
        <f t="shared" si="10"/>
        <v>1.3740739946207611E-4</v>
      </c>
      <c r="P31" s="21">
        <f t="shared" si="11"/>
        <v>1.2867497932480962E-4</v>
      </c>
      <c r="Q31" s="21">
        <f t="shared" si="12"/>
        <v>2.3881525354257113E-4</v>
      </c>
      <c r="R31" s="21">
        <f t="shared" si="13"/>
        <v>0.38124536652076896</v>
      </c>
      <c r="S31" s="21">
        <f t="shared" si="14"/>
        <v>0.61718804656759252</v>
      </c>
      <c r="T31" s="21">
        <f t="shared" si="15"/>
        <v>1</v>
      </c>
    </row>
    <row r="32" spans="2:20" ht="11.1" customHeight="1" x14ac:dyDescent="0.3">
      <c r="B32" s="19">
        <v>24</v>
      </c>
      <c r="C32" s="19">
        <f t="shared" si="0"/>
        <v>95</v>
      </c>
      <c r="E32" s="20">
        <f t="shared" si="1"/>
        <v>0.2901356088312298</v>
      </c>
      <c r="F32" s="20">
        <f t="shared" si="2"/>
        <v>0.37244650692233439</v>
      </c>
      <c r="G32" s="20">
        <f t="shared" si="3"/>
        <v>0.56901131027435059</v>
      </c>
      <c r="H32" s="20">
        <f t="shared" si="4"/>
        <v>0.80742606938445349</v>
      </c>
      <c r="J32" s="21">
        <f t="shared" si="5"/>
        <v>2.1750458209773154E-4</v>
      </c>
      <c r="K32" s="21">
        <f t="shared" si="6"/>
        <v>3.5509451504261667E-5</v>
      </c>
      <c r="L32" s="21">
        <f t="shared" si="7"/>
        <v>1.7901265001993776E-4</v>
      </c>
      <c r="M32" s="21">
        <f t="shared" si="8"/>
        <v>5.7388576167313743E-5</v>
      </c>
      <c r="N32" s="21">
        <f t="shared" si="9"/>
        <v>1.1631664274857193E-4</v>
      </c>
      <c r="O32" s="21">
        <f t="shared" si="10"/>
        <v>7.1117575148075816E-5</v>
      </c>
      <c r="P32" s="21">
        <f t="shared" si="11"/>
        <v>6.4250543792730073E-5</v>
      </c>
      <c r="Q32" s="21">
        <f t="shared" si="12"/>
        <v>9.7085414138440483E-5</v>
      </c>
      <c r="R32" s="21">
        <f t="shared" si="13"/>
        <v>0.38161524628233134</v>
      </c>
      <c r="S32" s="21">
        <f t="shared" si="14"/>
        <v>0.61754656828205157</v>
      </c>
      <c r="T32" s="21">
        <f t="shared" si="15"/>
        <v>1</v>
      </c>
    </row>
    <row r="33" spans="2:20" ht="11.1" customHeight="1" x14ac:dyDescent="0.3">
      <c r="B33" s="19">
        <v>25</v>
      </c>
      <c r="C33" s="19">
        <f t="shared" si="0"/>
        <v>96</v>
      </c>
      <c r="E33" s="20">
        <f t="shared" si="1"/>
        <v>0.31521903880574009</v>
      </c>
      <c r="F33" s="20">
        <f t="shared" si="2"/>
        <v>0.402403586712895</v>
      </c>
      <c r="G33" s="20">
        <f t="shared" si="3"/>
        <v>0.6054592744885694</v>
      </c>
      <c r="H33" s="20">
        <f t="shared" si="4"/>
        <v>0.83800782838120458</v>
      </c>
      <c r="J33" s="21">
        <f t="shared" si="5"/>
        <v>1.220718828573041E-4</v>
      </c>
      <c r="K33" s="21">
        <f t="shared" si="6"/>
        <v>2.0675102348971415E-5</v>
      </c>
      <c r="L33" s="21">
        <f t="shared" si="7"/>
        <v>9.8390691199436593E-5</v>
      </c>
      <c r="M33" s="21">
        <f t="shared" si="8"/>
        <v>3.1387630663360744E-5</v>
      </c>
      <c r="N33" s="21">
        <f t="shared" si="9"/>
        <v>6.1263285695049269E-5</v>
      </c>
      <c r="O33" s="21">
        <f t="shared" si="10"/>
        <v>3.5712257027463338E-5</v>
      </c>
      <c r="P33" s="21">
        <f t="shared" si="11"/>
        <v>3.1058633480747425E-5</v>
      </c>
      <c r="Q33" s="21">
        <f t="shared" si="12"/>
        <v>3.9251712458811857E-5</v>
      </c>
      <c r="R33" s="21">
        <f t="shared" si="13"/>
        <v>0.38183532855420121</v>
      </c>
      <c r="S33" s="21">
        <f t="shared" si="14"/>
        <v>0.61772486025006756</v>
      </c>
      <c r="T33" s="21">
        <f t="shared" si="15"/>
        <v>1</v>
      </c>
    </row>
    <row r="34" spans="2:20" ht="11.1" customHeight="1" x14ac:dyDescent="0.3">
      <c r="B34" s="19">
        <v>26</v>
      </c>
      <c r="C34" s="19">
        <f t="shared" si="0"/>
        <v>97</v>
      </c>
      <c r="E34" s="20">
        <f t="shared" si="1"/>
        <v>0.3409522379612544</v>
      </c>
      <c r="F34" s="20">
        <f t="shared" si="2"/>
        <v>0.43272909710547069</v>
      </c>
      <c r="G34" s="20">
        <f t="shared" si="3"/>
        <v>0.64088423924472204</v>
      </c>
      <c r="H34" s="20">
        <f t="shared" si="4"/>
        <v>0.86524952291683888</v>
      </c>
      <c r="J34" s="21">
        <f t="shared" si="5"/>
        <v>6.6033147133901697E-5</v>
      </c>
      <c r="K34" s="21">
        <f t="shared" si="6"/>
        <v>1.1561326313721945E-5</v>
      </c>
      <c r="L34" s="21">
        <f t="shared" si="7"/>
        <v>5.208282675214957E-5</v>
      </c>
      <c r="M34" s="21">
        <f t="shared" si="8"/>
        <v>1.6529527964093645E-5</v>
      </c>
      <c r="N34" s="21">
        <f t="shared" si="9"/>
        <v>3.1057422623566979E-5</v>
      </c>
      <c r="O34" s="21">
        <f t="shared" si="10"/>
        <v>1.735808331305556E-5</v>
      </c>
      <c r="P34" s="21">
        <f t="shared" si="11"/>
        <v>1.4505454471287996E-5</v>
      </c>
      <c r="Q34" s="21">
        <f t="shared" si="12"/>
        <v>1.5828215441608731E-5</v>
      </c>
      <c r="R34" s="21">
        <f t="shared" si="13"/>
        <v>0.38196174259921484</v>
      </c>
      <c r="S34" s="21">
        <f t="shared" si="14"/>
        <v>0.61781330139677171</v>
      </c>
      <c r="T34" s="21">
        <f t="shared" si="15"/>
        <v>1</v>
      </c>
    </row>
    <row r="35" spans="2:20" ht="11.1" customHeight="1" x14ac:dyDescent="0.3">
      <c r="B35" s="19">
        <v>27</v>
      </c>
      <c r="C35" s="19">
        <f t="shared" si="0"/>
        <v>98</v>
      </c>
      <c r="E35" s="20">
        <f t="shared" si="1"/>
        <v>0.36713684560572502</v>
      </c>
      <c r="F35" s="20">
        <f t="shared" si="2"/>
        <v>0.46315234601266697</v>
      </c>
      <c r="G35" s="20">
        <f t="shared" si="3"/>
        <v>0.67492092832184647</v>
      </c>
      <c r="H35" s="20">
        <f t="shared" si="4"/>
        <v>0.8891098991545856</v>
      </c>
      <c r="J35" s="21">
        <f t="shared" si="5"/>
        <v>3.434723113166001E-5</v>
      </c>
      <c r="K35" s="21">
        <f t="shared" si="6"/>
        <v>6.197039976246132E-6</v>
      </c>
      <c r="L35" s="21">
        <f t="shared" si="7"/>
        <v>2.6493453139375386E-5</v>
      </c>
      <c r="M35" s="21">
        <f t="shared" si="8"/>
        <v>8.3646363322109955E-6</v>
      </c>
      <c r="N35" s="21">
        <f t="shared" si="9"/>
        <v>1.5124096053374425E-5</v>
      </c>
      <c r="O35" s="21">
        <f t="shared" si="10"/>
        <v>8.1430050055655792E-6</v>
      </c>
      <c r="P35" s="21">
        <f t="shared" si="11"/>
        <v>6.5313472466036254E-6</v>
      </c>
      <c r="Q35" s="21">
        <f t="shared" si="12"/>
        <v>6.3336953360259286E-6</v>
      </c>
      <c r="R35" s="21">
        <f t="shared" si="13"/>
        <v>0.38203166757284357</v>
      </c>
      <c r="S35" s="21">
        <f t="shared" si="14"/>
        <v>0.61785679792293535</v>
      </c>
      <c r="T35" s="21">
        <f t="shared" si="15"/>
        <v>1</v>
      </c>
    </row>
    <row r="36" spans="2:20" ht="11.1" customHeight="1" x14ac:dyDescent="0.3">
      <c r="B36" s="19">
        <v>28</v>
      </c>
      <c r="C36" s="19">
        <f t="shared" si="0"/>
        <v>99</v>
      </c>
      <c r="E36" s="20">
        <f t="shared" si="1"/>
        <v>0.39356086132689128</v>
      </c>
      <c r="F36" s="20">
        <f t="shared" si="2"/>
        <v>0.49339807318142703</v>
      </c>
      <c r="G36" s="20">
        <f t="shared" si="3"/>
        <v>0.70725132923122391</v>
      </c>
      <c r="H36" s="20">
        <f t="shared" si="4"/>
        <v>0.90966534992871451</v>
      </c>
      <c r="J36" s="21">
        <f t="shared" si="5"/>
        <v>1.714078530023901E-5</v>
      </c>
      <c r="K36" s="21">
        <f t="shared" si="6"/>
        <v>3.1780301920139741E-6</v>
      </c>
      <c r="L36" s="21">
        <f t="shared" si="7"/>
        <v>1.2923156573345282E-5</v>
      </c>
      <c r="M36" s="21">
        <f t="shared" si="8"/>
        <v>4.0591376374883821E-6</v>
      </c>
      <c r="N36" s="21">
        <f t="shared" si="9"/>
        <v>7.0615877506450208E-6</v>
      </c>
      <c r="O36" s="21">
        <f t="shared" si="10"/>
        <v>3.6766697981830424E-6</v>
      </c>
      <c r="P36" s="21">
        <f t="shared" si="11"/>
        <v>2.8296792318888005E-6</v>
      </c>
      <c r="Q36" s="21">
        <f t="shared" si="12"/>
        <v>2.4936658597146822E-6</v>
      </c>
      <c r="R36" s="21">
        <f t="shared" si="13"/>
        <v>0.38206882169217177</v>
      </c>
      <c r="S36" s="21">
        <f t="shared" si="14"/>
        <v>0.61787781559548471</v>
      </c>
      <c r="T36" s="21">
        <f t="shared" si="15"/>
        <v>1</v>
      </c>
    </row>
    <row r="37" spans="2:20" ht="11.1" customHeight="1" x14ac:dyDescent="0.3">
      <c r="B37" s="19">
        <v>29</v>
      </c>
      <c r="C37" s="19">
        <f t="shared" si="0"/>
        <v>100</v>
      </c>
      <c r="E37" s="20">
        <f t="shared" si="1"/>
        <v>1</v>
      </c>
      <c r="F37" s="20">
        <f t="shared" si="2"/>
        <v>1</v>
      </c>
      <c r="G37" s="20">
        <f t="shared" si="3"/>
        <v>1</v>
      </c>
      <c r="H37" s="20">
        <f t="shared" si="4"/>
        <v>1</v>
      </c>
      <c r="J37" s="21">
        <f t="shared" si="5"/>
        <v>8.1896336689013702E-6</v>
      </c>
      <c r="K37" s="21">
        <f t="shared" si="6"/>
        <v>1.5565004439732579E-6</v>
      </c>
      <c r="L37" s="21">
        <f t="shared" si="7"/>
        <v>6.0329993377837826E-6</v>
      </c>
      <c r="M37" s="21">
        <f t="shared" si="8"/>
        <v>1.8852902451300927E-6</v>
      </c>
      <c r="N37" s="21">
        <f t="shared" si="9"/>
        <v>3.1558998635340845E-6</v>
      </c>
      <c r="O37" s="21">
        <f t="shared" si="10"/>
        <v>1.5938456690256749E-6</v>
      </c>
      <c r="P37" s="21">
        <f t="shared" si="11"/>
        <v>1.177472804615841E-6</v>
      </c>
      <c r="Q37" s="21">
        <f t="shared" si="12"/>
        <v>9.5823904187473013E-7</v>
      </c>
      <c r="R37" s="21">
        <f t="shared" si="13"/>
        <v>0.3820877404071058</v>
      </c>
      <c r="S37" s="21">
        <f t="shared" si="14"/>
        <v>0.61788770971181939</v>
      </c>
      <c r="T37" s="21">
        <f t="shared" si="15"/>
        <v>1</v>
      </c>
    </row>
    <row r="38" spans="2:20" ht="11.1" customHeight="1" x14ac:dyDescent="0.3">
      <c r="B38" s="19">
        <v>30</v>
      </c>
      <c r="C38" s="19">
        <f t="shared" si="0"/>
        <v>101</v>
      </c>
      <c r="E38" s="20">
        <f t="shared" si="1"/>
        <v>1</v>
      </c>
      <c r="F38" s="20">
        <f t="shared" si="2"/>
        <v>1</v>
      </c>
      <c r="G38" s="20">
        <f t="shared" si="3"/>
        <v>1</v>
      </c>
      <c r="H38" s="20">
        <f t="shared" si="4"/>
        <v>1</v>
      </c>
      <c r="J38" s="21">
        <f t="shared" si="5"/>
        <v>0</v>
      </c>
      <c r="K38" s="21">
        <f t="shared" si="6"/>
        <v>0</v>
      </c>
      <c r="L38" s="21">
        <f t="shared" si="7"/>
        <v>0</v>
      </c>
      <c r="M38" s="21">
        <f t="shared" si="8"/>
        <v>0</v>
      </c>
      <c r="N38" s="21">
        <f t="shared" si="9"/>
        <v>0</v>
      </c>
      <c r="O38" s="21">
        <f t="shared" si="10"/>
        <v>0</v>
      </c>
      <c r="P38" s="21">
        <f t="shared" si="11"/>
        <v>0</v>
      </c>
      <c r="Q38" s="21">
        <f t="shared" si="12"/>
        <v>0</v>
      </c>
      <c r="R38" s="21">
        <f t="shared" si="13"/>
        <v>0.38210519948708493</v>
      </c>
      <c r="S38" s="21">
        <f t="shared" si="14"/>
        <v>0.61789480051291512</v>
      </c>
      <c r="T38" s="21">
        <f t="shared" si="15"/>
        <v>1</v>
      </c>
    </row>
    <row r="39" spans="2:20" ht="11.1" customHeight="1" x14ac:dyDescent="0.3">
      <c r="B39" s="19">
        <v>31</v>
      </c>
      <c r="C39" s="19">
        <f t="shared" si="0"/>
        <v>102</v>
      </c>
      <c r="E39" s="20">
        <f t="shared" si="1"/>
        <v>1</v>
      </c>
      <c r="F39" s="20">
        <f t="shared" si="2"/>
        <v>1</v>
      </c>
      <c r="G39" s="20">
        <f t="shared" si="3"/>
        <v>1</v>
      </c>
      <c r="H39" s="20">
        <f t="shared" si="4"/>
        <v>1</v>
      </c>
      <c r="J39" s="21">
        <f t="shared" si="5"/>
        <v>0</v>
      </c>
      <c r="K39" s="21">
        <f t="shared" si="6"/>
        <v>0</v>
      </c>
      <c r="L39" s="21">
        <f t="shared" si="7"/>
        <v>0</v>
      </c>
      <c r="M39" s="21">
        <f t="shared" si="8"/>
        <v>0</v>
      </c>
      <c r="N39" s="21">
        <f t="shared" si="9"/>
        <v>0</v>
      </c>
      <c r="O39" s="21">
        <f t="shared" si="10"/>
        <v>0</v>
      </c>
      <c r="P39" s="21">
        <f t="shared" si="11"/>
        <v>0</v>
      </c>
      <c r="Q39" s="21">
        <f t="shared" si="12"/>
        <v>0</v>
      </c>
      <c r="R39" s="21">
        <f t="shared" si="13"/>
        <v>0.38210519948708493</v>
      </c>
      <c r="S39" s="21">
        <f t="shared" si="14"/>
        <v>0.61789480051291512</v>
      </c>
      <c r="T39" s="21">
        <f t="shared" si="15"/>
        <v>1</v>
      </c>
    </row>
    <row r="40" spans="2:20" ht="11.1" customHeight="1" x14ac:dyDescent="0.3">
      <c r="B40" s="19">
        <v>32</v>
      </c>
      <c r="C40" s="19">
        <f t="shared" ref="C40:C71" si="16">start_age+Alz_cycle</f>
        <v>103</v>
      </c>
      <c r="E40" s="20">
        <f t="shared" ref="E40:E71" si="17">VLOOKUP(Alz_age,table_mort_MCI,2)</f>
        <v>1</v>
      </c>
      <c r="F40" s="20">
        <f t="shared" ref="F40:F71" si="18">VLOOKUP(Alz_age,table_mort_Mild,2)</f>
        <v>1</v>
      </c>
      <c r="G40" s="20">
        <f t="shared" ref="G40:G71" si="19">VLOOKUP(Alz_age,table_mort_Moderate,2)</f>
        <v>1</v>
      </c>
      <c r="H40" s="20">
        <f t="shared" ref="H40:H71" si="20">VLOOKUP(Alz_age,table_mort_Severe,2)</f>
        <v>1</v>
      </c>
      <c r="J40" s="21">
        <f t="shared" si="5"/>
        <v>0</v>
      </c>
      <c r="K40" s="21">
        <f t="shared" si="6"/>
        <v>0</v>
      </c>
      <c r="L40" s="21">
        <f t="shared" si="7"/>
        <v>0</v>
      </c>
      <c r="M40" s="21">
        <f t="shared" si="8"/>
        <v>0</v>
      </c>
      <c r="N40" s="21">
        <f t="shared" si="9"/>
        <v>0</v>
      </c>
      <c r="O40" s="21">
        <f t="shared" si="10"/>
        <v>0</v>
      </c>
      <c r="P40" s="21">
        <f t="shared" si="11"/>
        <v>0</v>
      </c>
      <c r="Q40" s="21">
        <f t="shared" si="12"/>
        <v>0</v>
      </c>
      <c r="R40" s="21">
        <f t="shared" si="13"/>
        <v>0.38210519948708493</v>
      </c>
      <c r="S40" s="21">
        <f t="shared" si="14"/>
        <v>0.61789480051291512</v>
      </c>
      <c r="T40" s="21">
        <f t="shared" si="15"/>
        <v>1</v>
      </c>
    </row>
    <row r="41" spans="2:20" ht="11.1" customHeight="1" x14ac:dyDescent="0.3">
      <c r="B41" s="19">
        <v>33</v>
      </c>
      <c r="C41" s="19">
        <f t="shared" si="16"/>
        <v>104</v>
      </c>
      <c r="E41" s="20">
        <f t="shared" si="17"/>
        <v>1</v>
      </c>
      <c r="F41" s="20">
        <f t="shared" si="18"/>
        <v>1</v>
      </c>
      <c r="G41" s="20">
        <f t="shared" si="19"/>
        <v>1</v>
      </c>
      <c r="H41" s="20">
        <f t="shared" si="20"/>
        <v>1</v>
      </c>
      <c r="J41" s="21">
        <f t="shared" ref="J41:J72" si="21">(J40*(1-E40)*(1-0.23)*(1-0))+(L40*(1-F40)*(0.03)*(1-LTC_Mild))</f>
        <v>0</v>
      </c>
      <c r="K41" s="21">
        <f t="shared" ref="K41:K72" si="22">(J40*(1-E40)*(1-0.23)*(0))+(K40*(1-E40)*(1-0.23))+(L40*(1-F40)*(0.03)*(LTC_Mild))+(M40*(1-F40)*(0.03))</f>
        <v>0</v>
      </c>
      <c r="L41" s="21">
        <f t="shared" ref="L41:L72" si="23">(J40*(1-E40)*(0.23)*(1-0))+(L40*(1-F40)*(1-(0.03+0.35+0.04))*(1-LTC_Mild))+(N40*(1-G40)*(0.03)*(1-LTC_Moderate))</f>
        <v>0</v>
      </c>
      <c r="M41" s="21">
        <f t="shared" ref="M41:M72" si="24">(J40*(1-E40)*0.23*(0))+(K40*(1-E40)*0.23)+(L40*(1-F40)*(1-(0.03+0.35+0.04))*(LTC_Mild))+(M40*(1-F40)*(1-(0.03+0.35+0.04)))+(N40*(1-G40)*(0.03)*(LTC_Moderate))+(O40*(1-G40)*(0.03))</f>
        <v>0</v>
      </c>
      <c r="N41" s="21">
        <f t="shared" ref="N41:N72" si="25">(L40*(1-F40)*(0.35)*(1-LTC_Mild))+(N40*(1-G40)*(1-(0.03+0.42))*(1-LTC_Moderate))+(P40*(1-H40)*(0.02)*(1-LTC_Severe))</f>
        <v>0</v>
      </c>
      <c r="O41" s="21">
        <f t="shared" ref="O41:O72" si="26">(L40*(1-F40)*(0.35)*(LTC_Mild))+(M40*(1-F40)*(0.35))+(N40*(1-G40)*(1-(0.03+0.42))*(LTC_Moderate))+(O40*(1-G40)*(1-(0.03+0.42)))+(P40*(1-H40)*(0.02)*(LTC_Severe))+(Q40*(1-H40)*(0.02))</f>
        <v>0</v>
      </c>
      <c r="P41" s="21">
        <f t="shared" ref="P41:P72" si="27">(L40*(1-F40)*(0.04)*(1-LTC_Mild))+(N40*(1-G40)*(0.42)*(1-LTC_Moderate))+(P40*(1-H40)*(1-0.02)*(1-LTC_Severe))</f>
        <v>0</v>
      </c>
      <c r="Q41" s="21">
        <f t="shared" ref="Q41:Q72" si="28">(L40*(1-F40)*(0.04)*(LTC_Mild))+(M40*(1-F40)*(0.04))+(N40*(1-G40)*(0.42)*(LTC_Moderate))+(O40*(1-G40)*(0.42))+(P40*(1-H40)*(1-0.02)*(LTC_Severe))+(Q40*(1-H40)*(1-0.02))</f>
        <v>0</v>
      </c>
      <c r="R41" s="21">
        <f t="shared" ref="R41:R72" si="29">(J40*E40*(1-0))+(L40*F40*(1-LTC_Mild))+(N40*G40*(1-LTC_Moderate))+(P40*H40*(1-LTC_Severe))+R40</f>
        <v>0.38210519948708493</v>
      </c>
      <c r="S41" s="21">
        <f t="shared" ref="S41:S72" si="30">J40*E40*0+K40*E40+L40*F40*LTC_Mild+M40*F40+N40*G40*LTC_Moderate+O40*G40+P40*H40*LTC_Severe+Q40*H40+S40</f>
        <v>0.61789480051291512</v>
      </c>
      <c r="T41" s="21">
        <f t="shared" si="15"/>
        <v>1</v>
      </c>
    </row>
    <row r="42" spans="2:20" ht="11.1" customHeight="1" x14ac:dyDescent="0.3">
      <c r="B42" s="19">
        <v>34</v>
      </c>
      <c r="C42" s="19">
        <f t="shared" si="16"/>
        <v>105</v>
      </c>
      <c r="E42" s="20">
        <f t="shared" si="17"/>
        <v>1</v>
      </c>
      <c r="F42" s="20">
        <f t="shared" si="18"/>
        <v>1</v>
      </c>
      <c r="G42" s="20">
        <f t="shared" si="19"/>
        <v>1</v>
      </c>
      <c r="H42" s="20">
        <f t="shared" si="20"/>
        <v>1</v>
      </c>
      <c r="J42" s="21">
        <f t="shared" si="21"/>
        <v>0</v>
      </c>
      <c r="K42" s="21">
        <f t="shared" si="22"/>
        <v>0</v>
      </c>
      <c r="L42" s="21">
        <f t="shared" si="23"/>
        <v>0</v>
      </c>
      <c r="M42" s="21">
        <f t="shared" si="24"/>
        <v>0</v>
      </c>
      <c r="N42" s="21">
        <f t="shared" si="25"/>
        <v>0</v>
      </c>
      <c r="O42" s="21">
        <f t="shared" si="26"/>
        <v>0</v>
      </c>
      <c r="P42" s="21">
        <f t="shared" si="27"/>
        <v>0</v>
      </c>
      <c r="Q42" s="21">
        <f t="shared" si="28"/>
        <v>0</v>
      </c>
      <c r="R42" s="21">
        <f t="shared" si="29"/>
        <v>0.38210519948708493</v>
      </c>
      <c r="S42" s="21">
        <f t="shared" si="30"/>
        <v>0.61789480051291512</v>
      </c>
      <c r="T42" s="21">
        <f t="shared" si="15"/>
        <v>1</v>
      </c>
    </row>
    <row r="43" spans="2:20" ht="11.1" customHeight="1" x14ac:dyDescent="0.3">
      <c r="B43" s="19">
        <v>35</v>
      </c>
      <c r="C43" s="19">
        <f t="shared" si="16"/>
        <v>106</v>
      </c>
      <c r="E43" s="20">
        <f t="shared" si="17"/>
        <v>1</v>
      </c>
      <c r="F43" s="20">
        <f t="shared" si="18"/>
        <v>1</v>
      </c>
      <c r="G43" s="20">
        <f t="shared" si="19"/>
        <v>1</v>
      </c>
      <c r="H43" s="20">
        <f t="shared" si="20"/>
        <v>1</v>
      </c>
      <c r="J43" s="21">
        <f t="shared" si="21"/>
        <v>0</v>
      </c>
      <c r="K43" s="21">
        <f t="shared" si="22"/>
        <v>0</v>
      </c>
      <c r="L43" s="21">
        <f t="shared" si="23"/>
        <v>0</v>
      </c>
      <c r="M43" s="21">
        <f t="shared" si="24"/>
        <v>0</v>
      </c>
      <c r="N43" s="21">
        <f t="shared" si="25"/>
        <v>0</v>
      </c>
      <c r="O43" s="21">
        <f t="shared" si="26"/>
        <v>0</v>
      </c>
      <c r="P43" s="21">
        <f t="shared" si="27"/>
        <v>0</v>
      </c>
      <c r="Q43" s="21">
        <f t="shared" si="28"/>
        <v>0</v>
      </c>
      <c r="R43" s="21">
        <f t="shared" si="29"/>
        <v>0.38210519948708493</v>
      </c>
      <c r="S43" s="21">
        <f t="shared" si="30"/>
        <v>0.61789480051291512</v>
      </c>
      <c r="T43" s="21">
        <f t="shared" si="15"/>
        <v>1</v>
      </c>
    </row>
    <row r="44" spans="2:20" ht="11.1" customHeight="1" x14ac:dyDescent="0.3">
      <c r="B44" s="19">
        <v>36</v>
      </c>
      <c r="C44" s="19">
        <f t="shared" si="16"/>
        <v>107</v>
      </c>
      <c r="E44" s="20">
        <f t="shared" si="17"/>
        <v>1</v>
      </c>
      <c r="F44" s="20">
        <f t="shared" si="18"/>
        <v>1</v>
      </c>
      <c r="G44" s="20">
        <f t="shared" si="19"/>
        <v>1</v>
      </c>
      <c r="H44" s="20">
        <f t="shared" si="20"/>
        <v>1</v>
      </c>
      <c r="J44" s="21">
        <f t="shared" si="21"/>
        <v>0</v>
      </c>
      <c r="K44" s="21">
        <f t="shared" si="22"/>
        <v>0</v>
      </c>
      <c r="L44" s="21">
        <f t="shared" si="23"/>
        <v>0</v>
      </c>
      <c r="M44" s="21">
        <f t="shared" si="24"/>
        <v>0</v>
      </c>
      <c r="N44" s="21">
        <f t="shared" si="25"/>
        <v>0</v>
      </c>
      <c r="O44" s="21">
        <f t="shared" si="26"/>
        <v>0</v>
      </c>
      <c r="P44" s="21">
        <f t="shared" si="27"/>
        <v>0</v>
      </c>
      <c r="Q44" s="21">
        <f t="shared" si="28"/>
        <v>0</v>
      </c>
      <c r="R44" s="21">
        <f t="shared" si="29"/>
        <v>0.38210519948708493</v>
      </c>
      <c r="S44" s="21">
        <f t="shared" si="30"/>
        <v>0.61789480051291512</v>
      </c>
      <c r="T44" s="21">
        <f t="shared" si="15"/>
        <v>1</v>
      </c>
    </row>
    <row r="45" spans="2:20" ht="11.1" customHeight="1" x14ac:dyDescent="0.3">
      <c r="B45" s="19">
        <v>37</v>
      </c>
      <c r="C45" s="19">
        <f t="shared" si="16"/>
        <v>108</v>
      </c>
      <c r="E45" s="20">
        <f t="shared" si="17"/>
        <v>1</v>
      </c>
      <c r="F45" s="20">
        <f t="shared" si="18"/>
        <v>1</v>
      </c>
      <c r="G45" s="20">
        <f t="shared" si="19"/>
        <v>1</v>
      </c>
      <c r="H45" s="20">
        <f t="shared" si="20"/>
        <v>1</v>
      </c>
      <c r="J45" s="21">
        <f t="shared" si="21"/>
        <v>0</v>
      </c>
      <c r="K45" s="21">
        <f t="shared" si="22"/>
        <v>0</v>
      </c>
      <c r="L45" s="21">
        <f t="shared" si="23"/>
        <v>0</v>
      </c>
      <c r="M45" s="21">
        <f t="shared" si="24"/>
        <v>0</v>
      </c>
      <c r="N45" s="21">
        <f t="shared" si="25"/>
        <v>0</v>
      </c>
      <c r="O45" s="21">
        <f t="shared" si="26"/>
        <v>0</v>
      </c>
      <c r="P45" s="21">
        <f t="shared" si="27"/>
        <v>0</v>
      </c>
      <c r="Q45" s="21">
        <f t="shared" si="28"/>
        <v>0</v>
      </c>
      <c r="R45" s="21">
        <f t="shared" si="29"/>
        <v>0.38210519948708493</v>
      </c>
      <c r="S45" s="21">
        <f t="shared" si="30"/>
        <v>0.61789480051291512</v>
      </c>
      <c r="T45" s="21">
        <f t="shared" si="15"/>
        <v>1</v>
      </c>
    </row>
    <row r="46" spans="2:20" ht="11.1" customHeight="1" x14ac:dyDescent="0.3">
      <c r="B46" s="19">
        <v>38</v>
      </c>
      <c r="C46" s="19">
        <f t="shared" si="16"/>
        <v>109</v>
      </c>
      <c r="E46" s="20">
        <f t="shared" si="17"/>
        <v>1</v>
      </c>
      <c r="F46" s="20">
        <f t="shared" si="18"/>
        <v>1</v>
      </c>
      <c r="G46" s="20">
        <f t="shared" si="19"/>
        <v>1</v>
      </c>
      <c r="H46" s="20">
        <f t="shared" si="20"/>
        <v>1</v>
      </c>
      <c r="J46" s="21">
        <f t="shared" si="21"/>
        <v>0</v>
      </c>
      <c r="K46" s="21">
        <f t="shared" si="22"/>
        <v>0</v>
      </c>
      <c r="L46" s="21">
        <f t="shared" si="23"/>
        <v>0</v>
      </c>
      <c r="M46" s="21">
        <f t="shared" si="24"/>
        <v>0</v>
      </c>
      <c r="N46" s="21">
        <f t="shared" si="25"/>
        <v>0</v>
      </c>
      <c r="O46" s="21">
        <f t="shared" si="26"/>
        <v>0</v>
      </c>
      <c r="P46" s="21">
        <f t="shared" si="27"/>
        <v>0</v>
      </c>
      <c r="Q46" s="21">
        <f t="shared" si="28"/>
        <v>0</v>
      </c>
      <c r="R46" s="21">
        <f t="shared" si="29"/>
        <v>0.38210519948708493</v>
      </c>
      <c r="S46" s="21">
        <f t="shared" si="30"/>
        <v>0.61789480051291512</v>
      </c>
      <c r="T46" s="21">
        <f t="shared" si="15"/>
        <v>1</v>
      </c>
    </row>
    <row r="47" spans="2:20" ht="11.1" customHeight="1" x14ac:dyDescent="0.3">
      <c r="B47" s="19">
        <v>39</v>
      </c>
      <c r="C47" s="19">
        <f t="shared" si="16"/>
        <v>110</v>
      </c>
      <c r="E47" s="20">
        <f t="shared" si="17"/>
        <v>1</v>
      </c>
      <c r="F47" s="20">
        <f t="shared" si="18"/>
        <v>1</v>
      </c>
      <c r="G47" s="20">
        <f t="shared" si="19"/>
        <v>1</v>
      </c>
      <c r="H47" s="20">
        <f t="shared" si="20"/>
        <v>1</v>
      </c>
      <c r="J47" s="21">
        <f t="shared" si="21"/>
        <v>0</v>
      </c>
      <c r="K47" s="21">
        <f t="shared" si="22"/>
        <v>0</v>
      </c>
      <c r="L47" s="21">
        <f t="shared" si="23"/>
        <v>0</v>
      </c>
      <c r="M47" s="21">
        <f t="shared" si="24"/>
        <v>0</v>
      </c>
      <c r="N47" s="21">
        <f t="shared" si="25"/>
        <v>0</v>
      </c>
      <c r="O47" s="21">
        <f t="shared" si="26"/>
        <v>0</v>
      </c>
      <c r="P47" s="21">
        <f t="shared" si="27"/>
        <v>0</v>
      </c>
      <c r="Q47" s="21">
        <f t="shared" si="28"/>
        <v>0</v>
      </c>
      <c r="R47" s="21">
        <f t="shared" si="29"/>
        <v>0.38210519948708493</v>
      </c>
      <c r="S47" s="21">
        <f t="shared" si="30"/>
        <v>0.61789480051291512</v>
      </c>
      <c r="T47" s="21">
        <f t="shared" si="15"/>
        <v>1</v>
      </c>
    </row>
    <row r="48" spans="2:20" ht="11.1" customHeight="1" x14ac:dyDescent="0.3">
      <c r="B48" s="19">
        <v>40</v>
      </c>
      <c r="C48" s="19">
        <f t="shared" si="16"/>
        <v>111</v>
      </c>
      <c r="E48" s="20">
        <f t="shared" si="17"/>
        <v>1</v>
      </c>
      <c r="F48" s="20">
        <f t="shared" si="18"/>
        <v>1</v>
      </c>
      <c r="G48" s="20">
        <f t="shared" si="19"/>
        <v>1</v>
      </c>
      <c r="H48" s="20">
        <f t="shared" si="20"/>
        <v>1</v>
      </c>
      <c r="J48" s="21">
        <f t="shared" si="21"/>
        <v>0</v>
      </c>
      <c r="K48" s="21">
        <f t="shared" si="22"/>
        <v>0</v>
      </c>
      <c r="L48" s="21">
        <f t="shared" si="23"/>
        <v>0</v>
      </c>
      <c r="M48" s="21">
        <f t="shared" si="24"/>
        <v>0</v>
      </c>
      <c r="N48" s="21">
        <f t="shared" si="25"/>
        <v>0</v>
      </c>
      <c r="O48" s="21">
        <f t="shared" si="26"/>
        <v>0</v>
      </c>
      <c r="P48" s="21">
        <f t="shared" si="27"/>
        <v>0</v>
      </c>
      <c r="Q48" s="21">
        <f t="shared" si="28"/>
        <v>0</v>
      </c>
      <c r="R48" s="21">
        <f t="shared" si="29"/>
        <v>0.38210519948708493</v>
      </c>
      <c r="S48" s="21">
        <f t="shared" si="30"/>
        <v>0.61789480051291512</v>
      </c>
      <c r="T48" s="21">
        <f t="shared" si="15"/>
        <v>1</v>
      </c>
    </row>
    <row r="49" spans="2:20" ht="11.1" customHeight="1" x14ac:dyDescent="0.3">
      <c r="B49" s="19">
        <v>41</v>
      </c>
      <c r="C49" s="19">
        <f t="shared" si="16"/>
        <v>112</v>
      </c>
      <c r="E49" s="20">
        <f t="shared" si="17"/>
        <v>1</v>
      </c>
      <c r="F49" s="20">
        <f t="shared" si="18"/>
        <v>1</v>
      </c>
      <c r="G49" s="20">
        <f t="shared" si="19"/>
        <v>1</v>
      </c>
      <c r="H49" s="20">
        <f t="shared" si="20"/>
        <v>1</v>
      </c>
      <c r="J49" s="21">
        <f t="shared" si="21"/>
        <v>0</v>
      </c>
      <c r="K49" s="21">
        <f t="shared" si="22"/>
        <v>0</v>
      </c>
      <c r="L49" s="21">
        <f t="shared" si="23"/>
        <v>0</v>
      </c>
      <c r="M49" s="21">
        <f t="shared" si="24"/>
        <v>0</v>
      </c>
      <c r="N49" s="21">
        <f t="shared" si="25"/>
        <v>0</v>
      </c>
      <c r="O49" s="21">
        <f t="shared" si="26"/>
        <v>0</v>
      </c>
      <c r="P49" s="21">
        <f t="shared" si="27"/>
        <v>0</v>
      </c>
      <c r="Q49" s="21">
        <f t="shared" si="28"/>
        <v>0</v>
      </c>
      <c r="R49" s="21">
        <f t="shared" si="29"/>
        <v>0.38210519948708493</v>
      </c>
      <c r="S49" s="21">
        <f t="shared" si="30"/>
        <v>0.61789480051291512</v>
      </c>
      <c r="T49" s="21">
        <f t="shared" si="15"/>
        <v>1</v>
      </c>
    </row>
    <row r="50" spans="2:20" ht="11.1" customHeight="1" x14ac:dyDescent="0.3">
      <c r="B50" s="19">
        <v>42</v>
      </c>
      <c r="C50" s="19">
        <f t="shared" si="16"/>
        <v>113</v>
      </c>
      <c r="E50" s="20">
        <f t="shared" si="17"/>
        <v>1</v>
      </c>
      <c r="F50" s="20">
        <f t="shared" si="18"/>
        <v>1</v>
      </c>
      <c r="G50" s="20">
        <f t="shared" si="19"/>
        <v>1</v>
      </c>
      <c r="H50" s="20">
        <f t="shared" si="20"/>
        <v>1</v>
      </c>
      <c r="J50" s="21">
        <f t="shared" si="21"/>
        <v>0</v>
      </c>
      <c r="K50" s="21">
        <f t="shared" si="22"/>
        <v>0</v>
      </c>
      <c r="L50" s="21">
        <f t="shared" si="23"/>
        <v>0</v>
      </c>
      <c r="M50" s="21">
        <f t="shared" si="24"/>
        <v>0</v>
      </c>
      <c r="N50" s="21">
        <f t="shared" si="25"/>
        <v>0</v>
      </c>
      <c r="O50" s="21">
        <f t="shared" si="26"/>
        <v>0</v>
      </c>
      <c r="P50" s="21">
        <f t="shared" si="27"/>
        <v>0</v>
      </c>
      <c r="Q50" s="21">
        <f t="shared" si="28"/>
        <v>0</v>
      </c>
      <c r="R50" s="21">
        <f t="shared" si="29"/>
        <v>0.38210519948708493</v>
      </c>
      <c r="S50" s="21">
        <f t="shared" si="30"/>
        <v>0.61789480051291512</v>
      </c>
      <c r="T50" s="21">
        <f t="shared" si="15"/>
        <v>1</v>
      </c>
    </row>
    <row r="51" spans="2:20" ht="11.1" customHeight="1" x14ac:dyDescent="0.3">
      <c r="B51" s="19">
        <v>43</v>
      </c>
      <c r="C51" s="19">
        <f t="shared" si="16"/>
        <v>114</v>
      </c>
      <c r="E51" s="20">
        <f t="shared" si="17"/>
        <v>1</v>
      </c>
      <c r="F51" s="20">
        <f t="shared" si="18"/>
        <v>1</v>
      </c>
      <c r="G51" s="20">
        <f t="shared" si="19"/>
        <v>1</v>
      </c>
      <c r="H51" s="20">
        <f t="shared" si="20"/>
        <v>1</v>
      </c>
      <c r="J51" s="21">
        <f t="shared" si="21"/>
        <v>0</v>
      </c>
      <c r="K51" s="21">
        <f t="shared" si="22"/>
        <v>0</v>
      </c>
      <c r="L51" s="21">
        <f t="shared" si="23"/>
        <v>0</v>
      </c>
      <c r="M51" s="21">
        <f t="shared" si="24"/>
        <v>0</v>
      </c>
      <c r="N51" s="21">
        <f t="shared" si="25"/>
        <v>0</v>
      </c>
      <c r="O51" s="21">
        <f t="shared" si="26"/>
        <v>0</v>
      </c>
      <c r="P51" s="21">
        <f t="shared" si="27"/>
        <v>0</v>
      </c>
      <c r="Q51" s="21">
        <f t="shared" si="28"/>
        <v>0</v>
      </c>
      <c r="R51" s="21">
        <f t="shared" si="29"/>
        <v>0.38210519948708493</v>
      </c>
      <c r="S51" s="21">
        <f t="shared" si="30"/>
        <v>0.61789480051291512</v>
      </c>
      <c r="T51" s="21">
        <f t="shared" si="15"/>
        <v>1</v>
      </c>
    </row>
    <row r="52" spans="2:20" ht="11.1" customHeight="1" x14ac:dyDescent="0.3">
      <c r="B52" s="19">
        <v>44</v>
      </c>
      <c r="C52" s="19">
        <f t="shared" si="16"/>
        <v>115</v>
      </c>
      <c r="E52" s="20">
        <f t="shared" si="17"/>
        <v>1</v>
      </c>
      <c r="F52" s="20">
        <f t="shared" si="18"/>
        <v>1</v>
      </c>
      <c r="G52" s="20">
        <f t="shared" si="19"/>
        <v>1</v>
      </c>
      <c r="H52" s="20">
        <f t="shared" si="20"/>
        <v>1</v>
      </c>
      <c r="J52" s="21">
        <f t="shared" si="21"/>
        <v>0</v>
      </c>
      <c r="K52" s="21">
        <f t="shared" si="22"/>
        <v>0</v>
      </c>
      <c r="L52" s="21">
        <f t="shared" si="23"/>
        <v>0</v>
      </c>
      <c r="M52" s="21">
        <f t="shared" si="24"/>
        <v>0</v>
      </c>
      <c r="N52" s="21">
        <f t="shared" si="25"/>
        <v>0</v>
      </c>
      <c r="O52" s="21">
        <f t="shared" si="26"/>
        <v>0</v>
      </c>
      <c r="P52" s="21">
        <f t="shared" si="27"/>
        <v>0</v>
      </c>
      <c r="Q52" s="21">
        <f t="shared" si="28"/>
        <v>0</v>
      </c>
      <c r="R52" s="21">
        <f t="shared" si="29"/>
        <v>0.38210519948708493</v>
      </c>
      <c r="S52" s="21">
        <f t="shared" si="30"/>
        <v>0.61789480051291512</v>
      </c>
      <c r="T52" s="21">
        <f t="shared" si="15"/>
        <v>1</v>
      </c>
    </row>
    <row r="53" spans="2:20" ht="11.1" customHeight="1" x14ac:dyDescent="0.3">
      <c r="B53" s="19">
        <v>45</v>
      </c>
      <c r="C53" s="19">
        <f t="shared" si="16"/>
        <v>116</v>
      </c>
      <c r="E53" s="20">
        <f t="shared" si="17"/>
        <v>1</v>
      </c>
      <c r="F53" s="20">
        <f t="shared" si="18"/>
        <v>1</v>
      </c>
      <c r="G53" s="20">
        <f t="shared" si="19"/>
        <v>1</v>
      </c>
      <c r="H53" s="20">
        <f t="shared" si="20"/>
        <v>1</v>
      </c>
      <c r="J53" s="21">
        <f t="shared" si="21"/>
        <v>0</v>
      </c>
      <c r="K53" s="21">
        <f t="shared" si="22"/>
        <v>0</v>
      </c>
      <c r="L53" s="21">
        <f t="shared" si="23"/>
        <v>0</v>
      </c>
      <c r="M53" s="21">
        <f t="shared" si="24"/>
        <v>0</v>
      </c>
      <c r="N53" s="21">
        <f t="shared" si="25"/>
        <v>0</v>
      </c>
      <c r="O53" s="21">
        <f t="shared" si="26"/>
        <v>0</v>
      </c>
      <c r="P53" s="21">
        <f t="shared" si="27"/>
        <v>0</v>
      </c>
      <c r="Q53" s="21">
        <f t="shared" si="28"/>
        <v>0</v>
      </c>
      <c r="R53" s="21">
        <f t="shared" si="29"/>
        <v>0.38210519948708493</v>
      </c>
      <c r="S53" s="21">
        <f t="shared" si="30"/>
        <v>0.61789480051291512</v>
      </c>
      <c r="T53" s="21">
        <f t="shared" si="15"/>
        <v>1</v>
      </c>
    </row>
    <row r="54" spans="2:20" ht="11.1" customHeight="1" x14ac:dyDescent="0.3">
      <c r="B54" s="19">
        <v>46</v>
      </c>
      <c r="C54" s="19">
        <f t="shared" si="16"/>
        <v>117</v>
      </c>
      <c r="E54" s="20">
        <f t="shared" si="17"/>
        <v>1</v>
      </c>
      <c r="F54" s="20">
        <f t="shared" si="18"/>
        <v>1</v>
      </c>
      <c r="G54" s="20">
        <f t="shared" si="19"/>
        <v>1</v>
      </c>
      <c r="H54" s="20">
        <f t="shared" si="20"/>
        <v>1</v>
      </c>
      <c r="J54" s="21">
        <f t="shared" si="21"/>
        <v>0</v>
      </c>
      <c r="K54" s="21">
        <f t="shared" si="22"/>
        <v>0</v>
      </c>
      <c r="L54" s="21">
        <f t="shared" si="23"/>
        <v>0</v>
      </c>
      <c r="M54" s="21">
        <f t="shared" si="24"/>
        <v>0</v>
      </c>
      <c r="N54" s="21">
        <f t="shared" si="25"/>
        <v>0</v>
      </c>
      <c r="O54" s="21">
        <f t="shared" si="26"/>
        <v>0</v>
      </c>
      <c r="P54" s="21">
        <f t="shared" si="27"/>
        <v>0</v>
      </c>
      <c r="Q54" s="21">
        <f t="shared" si="28"/>
        <v>0</v>
      </c>
      <c r="R54" s="21">
        <f t="shared" si="29"/>
        <v>0.38210519948708493</v>
      </c>
      <c r="S54" s="21">
        <f t="shared" si="30"/>
        <v>0.61789480051291512</v>
      </c>
      <c r="T54" s="21">
        <f t="shared" si="15"/>
        <v>1</v>
      </c>
    </row>
    <row r="55" spans="2:20" ht="11.1" customHeight="1" x14ac:dyDescent="0.3">
      <c r="B55" s="19">
        <v>47</v>
      </c>
      <c r="C55" s="19">
        <f t="shared" si="16"/>
        <v>118</v>
      </c>
      <c r="E55" s="20">
        <f t="shared" si="17"/>
        <v>1</v>
      </c>
      <c r="F55" s="20">
        <f t="shared" si="18"/>
        <v>1</v>
      </c>
      <c r="G55" s="20">
        <f t="shared" si="19"/>
        <v>1</v>
      </c>
      <c r="H55" s="20">
        <f t="shared" si="20"/>
        <v>1</v>
      </c>
      <c r="J55" s="21">
        <f t="shared" si="21"/>
        <v>0</v>
      </c>
      <c r="K55" s="21">
        <f t="shared" si="22"/>
        <v>0</v>
      </c>
      <c r="L55" s="21">
        <f t="shared" si="23"/>
        <v>0</v>
      </c>
      <c r="M55" s="21">
        <f t="shared" si="24"/>
        <v>0</v>
      </c>
      <c r="N55" s="21">
        <f t="shared" si="25"/>
        <v>0</v>
      </c>
      <c r="O55" s="21">
        <f t="shared" si="26"/>
        <v>0</v>
      </c>
      <c r="P55" s="21">
        <f t="shared" si="27"/>
        <v>0</v>
      </c>
      <c r="Q55" s="21">
        <f t="shared" si="28"/>
        <v>0</v>
      </c>
      <c r="R55" s="21">
        <f t="shared" si="29"/>
        <v>0.38210519948708493</v>
      </c>
      <c r="S55" s="21">
        <f t="shared" si="30"/>
        <v>0.61789480051291512</v>
      </c>
      <c r="T55" s="21">
        <f t="shared" si="15"/>
        <v>1</v>
      </c>
    </row>
    <row r="56" spans="2:20" ht="11.1" customHeight="1" x14ac:dyDescent="0.3">
      <c r="B56" s="19">
        <v>48</v>
      </c>
      <c r="C56" s="19">
        <f t="shared" si="16"/>
        <v>119</v>
      </c>
      <c r="E56" s="20">
        <f t="shared" si="17"/>
        <v>1</v>
      </c>
      <c r="F56" s="20">
        <f t="shared" si="18"/>
        <v>1</v>
      </c>
      <c r="G56" s="20">
        <f t="shared" si="19"/>
        <v>1</v>
      </c>
      <c r="H56" s="20">
        <f t="shared" si="20"/>
        <v>1</v>
      </c>
      <c r="J56" s="21">
        <f t="shared" si="21"/>
        <v>0</v>
      </c>
      <c r="K56" s="21">
        <f t="shared" si="22"/>
        <v>0</v>
      </c>
      <c r="L56" s="21">
        <f t="shared" si="23"/>
        <v>0</v>
      </c>
      <c r="M56" s="21">
        <f t="shared" si="24"/>
        <v>0</v>
      </c>
      <c r="N56" s="21">
        <f t="shared" si="25"/>
        <v>0</v>
      </c>
      <c r="O56" s="21">
        <f t="shared" si="26"/>
        <v>0</v>
      </c>
      <c r="P56" s="21">
        <f t="shared" si="27"/>
        <v>0</v>
      </c>
      <c r="Q56" s="21">
        <f t="shared" si="28"/>
        <v>0</v>
      </c>
      <c r="R56" s="21">
        <f t="shared" si="29"/>
        <v>0.38210519948708493</v>
      </c>
      <c r="S56" s="21">
        <f t="shared" si="30"/>
        <v>0.61789480051291512</v>
      </c>
      <c r="T56" s="21">
        <f t="shared" si="15"/>
        <v>1</v>
      </c>
    </row>
    <row r="57" spans="2:20" ht="11.1" customHeight="1" x14ac:dyDescent="0.3">
      <c r="B57" s="19">
        <v>49</v>
      </c>
      <c r="C57" s="19">
        <f t="shared" si="16"/>
        <v>120</v>
      </c>
      <c r="E57" s="20">
        <f t="shared" si="17"/>
        <v>1</v>
      </c>
      <c r="F57" s="20">
        <f t="shared" si="18"/>
        <v>1</v>
      </c>
      <c r="G57" s="20">
        <f t="shared" si="19"/>
        <v>1</v>
      </c>
      <c r="H57" s="20">
        <f t="shared" si="20"/>
        <v>1</v>
      </c>
      <c r="J57" s="21">
        <f t="shared" si="21"/>
        <v>0</v>
      </c>
      <c r="K57" s="21">
        <f t="shared" si="22"/>
        <v>0</v>
      </c>
      <c r="L57" s="21">
        <f t="shared" si="23"/>
        <v>0</v>
      </c>
      <c r="M57" s="21">
        <f t="shared" si="24"/>
        <v>0</v>
      </c>
      <c r="N57" s="21">
        <f t="shared" si="25"/>
        <v>0</v>
      </c>
      <c r="O57" s="21">
        <f t="shared" si="26"/>
        <v>0</v>
      </c>
      <c r="P57" s="21">
        <f t="shared" si="27"/>
        <v>0</v>
      </c>
      <c r="Q57" s="21">
        <f t="shared" si="28"/>
        <v>0</v>
      </c>
      <c r="R57" s="21">
        <f t="shared" si="29"/>
        <v>0.38210519948708493</v>
      </c>
      <c r="S57" s="21">
        <f t="shared" si="30"/>
        <v>0.61789480051291512</v>
      </c>
      <c r="T57" s="21">
        <f t="shared" si="15"/>
        <v>1</v>
      </c>
    </row>
    <row r="58" spans="2:20" ht="11.1" customHeight="1" x14ac:dyDescent="0.3">
      <c r="B58" s="19">
        <v>50</v>
      </c>
      <c r="C58" s="19">
        <f t="shared" si="16"/>
        <v>121</v>
      </c>
      <c r="E58" s="20">
        <f t="shared" si="17"/>
        <v>1</v>
      </c>
      <c r="F58" s="20">
        <f t="shared" si="18"/>
        <v>1</v>
      </c>
      <c r="G58" s="20">
        <f t="shared" si="19"/>
        <v>1</v>
      </c>
      <c r="H58" s="20">
        <f t="shared" si="20"/>
        <v>1</v>
      </c>
      <c r="J58" s="21">
        <f t="shared" si="21"/>
        <v>0</v>
      </c>
      <c r="K58" s="21">
        <f t="shared" si="22"/>
        <v>0</v>
      </c>
      <c r="L58" s="21">
        <f t="shared" si="23"/>
        <v>0</v>
      </c>
      <c r="M58" s="21">
        <f t="shared" si="24"/>
        <v>0</v>
      </c>
      <c r="N58" s="21">
        <f t="shared" si="25"/>
        <v>0</v>
      </c>
      <c r="O58" s="21">
        <f t="shared" si="26"/>
        <v>0</v>
      </c>
      <c r="P58" s="21">
        <f t="shared" si="27"/>
        <v>0</v>
      </c>
      <c r="Q58" s="21">
        <f t="shared" si="28"/>
        <v>0</v>
      </c>
      <c r="R58" s="21">
        <f t="shared" si="29"/>
        <v>0.38210519948708493</v>
      </c>
      <c r="S58" s="21">
        <f t="shared" si="30"/>
        <v>0.61789480051291512</v>
      </c>
      <c r="T58" s="21">
        <f t="shared" si="15"/>
        <v>1</v>
      </c>
    </row>
    <row r="59" spans="2:20" ht="11.1" customHeight="1" x14ac:dyDescent="0.3">
      <c r="B59" s="19">
        <v>51</v>
      </c>
      <c r="C59" s="19">
        <f t="shared" si="16"/>
        <v>122</v>
      </c>
      <c r="E59" s="20">
        <f t="shared" si="17"/>
        <v>1</v>
      </c>
      <c r="F59" s="20">
        <f t="shared" si="18"/>
        <v>1</v>
      </c>
      <c r="G59" s="20">
        <f t="shared" si="19"/>
        <v>1</v>
      </c>
      <c r="H59" s="20">
        <f t="shared" si="20"/>
        <v>1</v>
      </c>
      <c r="J59" s="21">
        <f t="shared" si="21"/>
        <v>0</v>
      </c>
      <c r="K59" s="21">
        <f t="shared" si="22"/>
        <v>0</v>
      </c>
      <c r="L59" s="21">
        <f t="shared" si="23"/>
        <v>0</v>
      </c>
      <c r="M59" s="21">
        <f t="shared" si="24"/>
        <v>0</v>
      </c>
      <c r="N59" s="21">
        <f t="shared" si="25"/>
        <v>0</v>
      </c>
      <c r="O59" s="21">
        <f t="shared" si="26"/>
        <v>0</v>
      </c>
      <c r="P59" s="21">
        <f t="shared" si="27"/>
        <v>0</v>
      </c>
      <c r="Q59" s="21">
        <f t="shared" si="28"/>
        <v>0</v>
      </c>
      <c r="R59" s="21">
        <f t="shared" si="29"/>
        <v>0.38210519948708493</v>
      </c>
      <c r="S59" s="21">
        <f t="shared" si="30"/>
        <v>0.61789480051291512</v>
      </c>
      <c r="T59" s="21">
        <f t="shared" si="15"/>
        <v>1</v>
      </c>
    </row>
    <row r="60" spans="2:20" ht="11.1" customHeight="1" x14ac:dyDescent="0.3">
      <c r="B60" s="19">
        <v>52</v>
      </c>
      <c r="C60" s="19">
        <f t="shared" si="16"/>
        <v>123</v>
      </c>
      <c r="E60" s="20">
        <f t="shared" si="17"/>
        <v>1</v>
      </c>
      <c r="F60" s="20">
        <f t="shared" si="18"/>
        <v>1</v>
      </c>
      <c r="G60" s="20">
        <f t="shared" si="19"/>
        <v>1</v>
      </c>
      <c r="H60" s="20">
        <f t="shared" si="20"/>
        <v>1</v>
      </c>
      <c r="J60" s="21">
        <f t="shared" si="21"/>
        <v>0</v>
      </c>
      <c r="K60" s="21">
        <f t="shared" si="22"/>
        <v>0</v>
      </c>
      <c r="L60" s="21">
        <f t="shared" si="23"/>
        <v>0</v>
      </c>
      <c r="M60" s="21">
        <f t="shared" si="24"/>
        <v>0</v>
      </c>
      <c r="N60" s="21">
        <f t="shared" si="25"/>
        <v>0</v>
      </c>
      <c r="O60" s="21">
        <f t="shared" si="26"/>
        <v>0</v>
      </c>
      <c r="P60" s="21">
        <f t="shared" si="27"/>
        <v>0</v>
      </c>
      <c r="Q60" s="21">
        <f t="shared" si="28"/>
        <v>0</v>
      </c>
      <c r="R60" s="21">
        <f t="shared" si="29"/>
        <v>0.38210519948708493</v>
      </c>
      <c r="S60" s="21">
        <f t="shared" si="30"/>
        <v>0.61789480051291512</v>
      </c>
      <c r="T60" s="21">
        <f t="shared" si="15"/>
        <v>1</v>
      </c>
    </row>
    <row r="61" spans="2:20" ht="11.1" customHeight="1" x14ac:dyDescent="0.3">
      <c r="B61" s="19">
        <v>53</v>
      </c>
      <c r="C61" s="19">
        <f t="shared" si="16"/>
        <v>124</v>
      </c>
      <c r="E61" s="20">
        <f t="shared" si="17"/>
        <v>1</v>
      </c>
      <c r="F61" s="20">
        <f t="shared" si="18"/>
        <v>1</v>
      </c>
      <c r="G61" s="20">
        <f t="shared" si="19"/>
        <v>1</v>
      </c>
      <c r="H61" s="20">
        <f t="shared" si="20"/>
        <v>1</v>
      </c>
      <c r="J61" s="21">
        <f t="shared" si="21"/>
        <v>0</v>
      </c>
      <c r="K61" s="21">
        <f t="shared" si="22"/>
        <v>0</v>
      </c>
      <c r="L61" s="21">
        <f t="shared" si="23"/>
        <v>0</v>
      </c>
      <c r="M61" s="21">
        <f t="shared" si="24"/>
        <v>0</v>
      </c>
      <c r="N61" s="21">
        <f t="shared" si="25"/>
        <v>0</v>
      </c>
      <c r="O61" s="21">
        <f t="shared" si="26"/>
        <v>0</v>
      </c>
      <c r="P61" s="21">
        <f t="shared" si="27"/>
        <v>0</v>
      </c>
      <c r="Q61" s="21">
        <f t="shared" si="28"/>
        <v>0</v>
      </c>
      <c r="R61" s="21">
        <f t="shared" si="29"/>
        <v>0.38210519948708493</v>
      </c>
      <c r="S61" s="21">
        <f t="shared" si="30"/>
        <v>0.61789480051291512</v>
      </c>
      <c r="T61" s="21">
        <f t="shared" si="15"/>
        <v>1</v>
      </c>
    </row>
    <row r="62" spans="2:20" ht="11.1" customHeight="1" x14ac:dyDescent="0.3">
      <c r="B62" s="19">
        <v>54</v>
      </c>
      <c r="C62" s="19">
        <f t="shared" si="16"/>
        <v>125</v>
      </c>
      <c r="E62" s="20">
        <f t="shared" si="17"/>
        <v>1</v>
      </c>
      <c r="F62" s="20">
        <f t="shared" si="18"/>
        <v>1</v>
      </c>
      <c r="G62" s="20">
        <f t="shared" si="19"/>
        <v>1</v>
      </c>
      <c r="H62" s="20">
        <f t="shared" si="20"/>
        <v>1</v>
      </c>
      <c r="J62" s="21">
        <f t="shared" si="21"/>
        <v>0</v>
      </c>
      <c r="K62" s="21">
        <f t="shared" si="22"/>
        <v>0</v>
      </c>
      <c r="L62" s="21">
        <f t="shared" si="23"/>
        <v>0</v>
      </c>
      <c r="M62" s="21">
        <f t="shared" si="24"/>
        <v>0</v>
      </c>
      <c r="N62" s="21">
        <f t="shared" si="25"/>
        <v>0</v>
      </c>
      <c r="O62" s="21">
        <f t="shared" si="26"/>
        <v>0</v>
      </c>
      <c r="P62" s="21">
        <f t="shared" si="27"/>
        <v>0</v>
      </c>
      <c r="Q62" s="21">
        <f t="shared" si="28"/>
        <v>0</v>
      </c>
      <c r="R62" s="21">
        <f t="shared" si="29"/>
        <v>0.38210519948708493</v>
      </c>
      <c r="S62" s="21">
        <f t="shared" si="30"/>
        <v>0.61789480051291512</v>
      </c>
      <c r="T62" s="21">
        <f t="shared" si="15"/>
        <v>1</v>
      </c>
    </row>
    <row r="63" spans="2:20" ht="11.1" customHeight="1" x14ac:dyDescent="0.3">
      <c r="B63" s="19">
        <v>55</v>
      </c>
      <c r="C63" s="19">
        <f t="shared" si="16"/>
        <v>126</v>
      </c>
      <c r="E63" s="20">
        <f t="shared" si="17"/>
        <v>1</v>
      </c>
      <c r="F63" s="20">
        <f t="shared" si="18"/>
        <v>1</v>
      </c>
      <c r="G63" s="20">
        <f t="shared" si="19"/>
        <v>1</v>
      </c>
      <c r="H63" s="20">
        <f t="shared" si="20"/>
        <v>1</v>
      </c>
      <c r="J63" s="21">
        <f t="shared" si="21"/>
        <v>0</v>
      </c>
      <c r="K63" s="21">
        <f t="shared" si="22"/>
        <v>0</v>
      </c>
      <c r="L63" s="21">
        <f t="shared" si="23"/>
        <v>0</v>
      </c>
      <c r="M63" s="21">
        <f t="shared" si="24"/>
        <v>0</v>
      </c>
      <c r="N63" s="21">
        <f t="shared" si="25"/>
        <v>0</v>
      </c>
      <c r="O63" s="21">
        <f t="shared" si="26"/>
        <v>0</v>
      </c>
      <c r="P63" s="21">
        <f t="shared" si="27"/>
        <v>0</v>
      </c>
      <c r="Q63" s="21">
        <f t="shared" si="28"/>
        <v>0</v>
      </c>
      <c r="R63" s="21">
        <f t="shared" si="29"/>
        <v>0.38210519948708493</v>
      </c>
      <c r="S63" s="21">
        <f t="shared" si="30"/>
        <v>0.61789480051291512</v>
      </c>
      <c r="T63" s="21">
        <f t="shared" si="15"/>
        <v>1</v>
      </c>
    </row>
    <row r="64" spans="2:20" ht="11.1" customHeight="1" x14ac:dyDescent="0.3">
      <c r="B64" s="19">
        <v>56</v>
      </c>
      <c r="C64" s="19">
        <f t="shared" si="16"/>
        <v>127</v>
      </c>
      <c r="E64" s="20">
        <f t="shared" si="17"/>
        <v>1</v>
      </c>
      <c r="F64" s="20">
        <f t="shared" si="18"/>
        <v>1</v>
      </c>
      <c r="G64" s="20">
        <f t="shared" si="19"/>
        <v>1</v>
      </c>
      <c r="H64" s="20">
        <f t="shared" si="20"/>
        <v>1</v>
      </c>
      <c r="J64" s="21">
        <f t="shared" si="21"/>
        <v>0</v>
      </c>
      <c r="K64" s="21">
        <f t="shared" si="22"/>
        <v>0</v>
      </c>
      <c r="L64" s="21">
        <f t="shared" si="23"/>
        <v>0</v>
      </c>
      <c r="M64" s="21">
        <f t="shared" si="24"/>
        <v>0</v>
      </c>
      <c r="N64" s="21">
        <f t="shared" si="25"/>
        <v>0</v>
      </c>
      <c r="O64" s="21">
        <f t="shared" si="26"/>
        <v>0</v>
      </c>
      <c r="P64" s="21">
        <f t="shared" si="27"/>
        <v>0</v>
      </c>
      <c r="Q64" s="21">
        <f t="shared" si="28"/>
        <v>0</v>
      </c>
      <c r="R64" s="21">
        <f t="shared" si="29"/>
        <v>0.38210519948708493</v>
      </c>
      <c r="S64" s="21">
        <f t="shared" si="30"/>
        <v>0.61789480051291512</v>
      </c>
      <c r="T64" s="21">
        <f t="shared" si="15"/>
        <v>1</v>
      </c>
    </row>
    <row r="65" spans="2:20" ht="11.1" customHeight="1" x14ac:dyDescent="0.3">
      <c r="B65" s="19">
        <v>57</v>
      </c>
      <c r="C65" s="19">
        <f t="shared" si="16"/>
        <v>128</v>
      </c>
      <c r="E65" s="20">
        <f t="shared" si="17"/>
        <v>1</v>
      </c>
      <c r="F65" s="20">
        <f t="shared" si="18"/>
        <v>1</v>
      </c>
      <c r="G65" s="20">
        <f t="shared" si="19"/>
        <v>1</v>
      </c>
      <c r="H65" s="20">
        <f t="shared" si="20"/>
        <v>1</v>
      </c>
      <c r="J65" s="21">
        <f t="shared" si="21"/>
        <v>0</v>
      </c>
      <c r="K65" s="21">
        <f t="shared" si="22"/>
        <v>0</v>
      </c>
      <c r="L65" s="21">
        <f t="shared" si="23"/>
        <v>0</v>
      </c>
      <c r="M65" s="21">
        <f t="shared" si="24"/>
        <v>0</v>
      </c>
      <c r="N65" s="21">
        <f t="shared" si="25"/>
        <v>0</v>
      </c>
      <c r="O65" s="21">
        <f t="shared" si="26"/>
        <v>0</v>
      </c>
      <c r="P65" s="21">
        <f t="shared" si="27"/>
        <v>0</v>
      </c>
      <c r="Q65" s="21">
        <f t="shared" si="28"/>
        <v>0</v>
      </c>
      <c r="R65" s="21">
        <f t="shared" si="29"/>
        <v>0.38210519948708493</v>
      </c>
      <c r="S65" s="21">
        <f t="shared" si="30"/>
        <v>0.61789480051291512</v>
      </c>
      <c r="T65" s="21">
        <f t="shared" si="15"/>
        <v>1</v>
      </c>
    </row>
    <row r="66" spans="2:20" ht="11.1" customHeight="1" x14ac:dyDescent="0.3">
      <c r="B66" s="19">
        <v>58</v>
      </c>
      <c r="C66" s="19">
        <f t="shared" si="16"/>
        <v>129</v>
      </c>
      <c r="E66" s="20">
        <f t="shared" si="17"/>
        <v>1</v>
      </c>
      <c r="F66" s="20">
        <f t="shared" si="18"/>
        <v>1</v>
      </c>
      <c r="G66" s="20">
        <f t="shared" si="19"/>
        <v>1</v>
      </c>
      <c r="H66" s="20">
        <f t="shared" si="20"/>
        <v>1</v>
      </c>
      <c r="J66" s="21">
        <f t="shared" si="21"/>
        <v>0</v>
      </c>
      <c r="K66" s="21">
        <f t="shared" si="22"/>
        <v>0</v>
      </c>
      <c r="L66" s="21">
        <f t="shared" si="23"/>
        <v>0</v>
      </c>
      <c r="M66" s="21">
        <f t="shared" si="24"/>
        <v>0</v>
      </c>
      <c r="N66" s="21">
        <f t="shared" si="25"/>
        <v>0</v>
      </c>
      <c r="O66" s="21">
        <f t="shared" si="26"/>
        <v>0</v>
      </c>
      <c r="P66" s="21">
        <f t="shared" si="27"/>
        <v>0</v>
      </c>
      <c r="Q66" s="21">
        <f t="shared" si="28"/>
        <v>0</v>
      </c>
      <c r="R66" s="21">
        <f t="shared" si="29"/>
        <v>0.38210519948708493</v>
      </c>
      <c r="S66" s="21">
        <f t="shared" si="30"/>
        <v>0.61789480051291512</v>
      </c>
      <c r="T66" s="21">
        <f t="shared" si="15"/>
        <v>1</v>
      </c>
    </row>
    <row r="67" spans="2:20" ht="11.1" customHeight="1" x14ac:dyDescent="0.3">
      <c r="B67" s="19">
        <v>59</v>
      </c>
      <c r="C67" s="19">
        <f t="shared" si="16"/>
        <v>130</v>
      </c>
      <c r="E67" s="20">
        <f t="shared" si="17"/>
        <v>1</v>
      </c>
      <c r="F67" s="20">
        <f t="shared" si="18"/>
        <v>1</v>
      </c>
      <c r="G67" s="20">
        <f t="shared" si="19"/>
        <v>1</v>
      </c>
      <c r="H67" s="20">
        <f t="shared" si="20"/>
        <v>1</v>
      </c>
      <c r="J67" s="21">
        <f t="shared" si="21"/>
        <v>0</v>
      </c>
      <c r="K67" s="21">
        <f t="shared" si="22"/>
        <v>0</v>
      </c>
      <c r="L67" s="21">
        <f t="shared" si="23"/>
        <v>0</v>
      </c>
      <c r="M67" s="21">
        <f t="shared" si="24"/>
        <v>0</v>
      </c>
      <c r="N67" s="21">
        <f t="shared" si="25"/>
        <v>0</v>
      </c>
      <c r="O67" s="21">
        <f t="shared" si="26"/>
        <v>0</v>
      </c>
      <c r="P67" s="21">
        <f t="shared" si="27"/>
        <v>0</v>
      </c>
      <c r="Q67" s="21">
        <f t="shared" si="28"/>
        <v>0</v>
      </c>
      <c r="R67" s="21">
        <f t="shared" si="29"/>
        <v>0.38210519948708493</v>
      </c>
      <c r="S67" s="21">
        <f t="shared" si="30"/>
        <v>0.61789480051291512</v>
      </c>
      <c r="T67" s="21">
        <f t="shared" si="15"/>
        <v>1</v>
      </c>
    </row>
    <row r="68" spans="2:20" ht="11.1" customHeight="1" x14ac:dyDescent="0.3">
      <c r="B68" s="19">
        <v>60</v>
      </c>
      <c r="C68" s="19">
        <f t="shared" si="16"/>
        <v>131</v>
      </c>
      <c r="E68" s="20">
        <f t="shared" si="17"/>
        <v>1</v>
      </c>
      <c r="F68" s="20">
        <f t="shared" si="18"/>
        <v>1</v>
      </c>
      <c r="G68" s="20">
        <f t="shared" si="19"/>
        <v>1</v>
      </c>
      <c r="H68" s="20">
        <f t="shared" si="20"/>
        <v>1</v>
      </c>
      <c r="J68" s="21">
        <f t="shared" si="21"/>
        <v>0</v>
      </c>
      <c r="K68" s="21">
        <f t="shared" si="22"/>
        <v>0</v>
      </c>
      <c r="L68" s="21">
        <f t="shared" si="23"/>
        <v>0</v>
      </c>
      <c r="M68" s="21">
        <f t="shared" si="24"/>
        <v>0</v>
      </c>
      <c r="N68" s="21">
        <f t="shared" si="25"/>
        <v>0</v>
      </c>
      <c r="O68" s="21">
        <f t="shared" si="26"/>
        <v>0</v>
      </c>
      <c r="P68" s="21">
        <f t="shared" si="27"/>
        <v>0</v>
      </c>
      <c r="Q68" s="21">
        <f t="shared" si="28"/>
        <v>0</v>
      </c>
      <c r="R68" s="21">
        <f t="shared" si="29"/>
        <v>0.38210519948708493</v>
      </c>
      <c r="S68" s="21">
        <f t="shared" si="30"/>
        <v>0.61789480051291512</v>
      </c>
      <c r="T68" s="21">
        <f t="shared" si="15"/>
        <v>1</v>
      </c>
    </row>
    <row r="69" spans="2:20" ht="11.1" customHeight="1" x14ac:dyDescent="0.3">
      <c r="B69" s="19">
        <v>61</v>
      </c>
      <c r="C69" s="19">
        <f t="shared" si="16"/>
        <v>132</v>
      </c>
      <c r="E69" s="20">
        <f t="shared" si="17"/>
        <v>1</v>
      </c>
      <c r="F69" s="20">
        <f t="shared" si="18"/>
        <v>1</v>
      </c>
      <c r="G69" s="20">
        <f t="shared" si="19"/>
        <v>1</v>
      </c>
      <c r="H69" s="20">
        <f t="shared" si="20"/>
        <v>1</v>
      </c>
      <c r="J69" s="21">
        <f t="shared" si="21"/>
        <v>0</v>
      </c>
      <c r="K69" s="21">
        <f t="shared" si="22"/>
        <v>0</v>
      </c>
      <c r="L69" s="21">
        <f t="shared" si="23"/>
        <v>0</v>
      </c>
      <c r="M69" s="21">
        <f t="shared" si="24"/>
        <v>0</v>
      </c>
      <c r="N69" s="21">
        <f t="shared" si="25"/>
        <v>0</v>
      </c>
      <c r="O69" s="21">
        <f t="shared" si="26"/>
        <v>0</v>
      </c>
      <c r="P69" s="21">
        <f t="shared" si="27"/>
        <v>0</v>
      </c>
      <c r="Q69" s="21">
        <f t="shared" si="28"/>
        <v>0</v>
      </c>
      <c r="R69" s="21">
        <f t="shared" si="29"/>
        <v>0.38210519948708493</v>
      </c>
      <c r="S69" s="21">
        <f t="shared" si="30"/>
        <v>0.61789480051291512</v>
      </c>
      <c r="T69" s="21">
        <f t="shared" si="15"/>
        <v>1</v>
      </c>
    </row>
    <row r="70" spans="2:20" ht="11.1" customHeight="1" x14ac:dyDescent="0.3">
      <c r="B70" s="19">
        <v>62</v>
      </c>
      <c r="C70" s="19">
        <f t="shared" si="16"/>
        <v>133</v>
      </c>
      <c r="E70" s="20">
        <f t="shared" si="17"/>
        <v>1</v>
      </c>
      <c r="F70" s="20">
        <f t="shared" si="18"/>
        <v>1</v>
      </c>
      <c r="G70" s="20">
        <f t="shared" si="19"/>
        <v>1</v>
      </c>
      <c r="H70" s="20">
        <f t="shared" si="20"/>
        <v>1</v>
      </c>
      <c r="J70" s="21">
        <f t="shared" si="21"/>
        <v>0</v>
      </c>
      <c r="K70" s="21">
        <f t="shared" si="22"/>
        <v>0</v>
      </c>
      <c r="L70" s="21">
        <f t="shared" si="23"/>
        <v>0</v>
      </c>
      <c r="M70" s="21">
        <f t="shared" si="24"/>
        <v>0</v>
      </c>
      <c r="N70" s="21">
        <f t="shared" si="25"/>
        <v>0</v>
      </c>
      <c r="O70" s="21">
        <f t="shared" si="26"/>
        <v>0</v>
      </c>
      <c r="P70" s="21">
        <f t="shared" si="27"/>
        <v>0</v>
      </c>
      <c r="Q70" s="21">
        <f t="shared" si="28"/>
        <v>0</v>
      </c>
      <c r="R70" s="21">
        <f t="shared" si="29"/>
        <v>0.38210519948708493</v>
      </c>
      <c r="S70" s="21">
        <f t="shared" si="30"/>
        <v>0.61789480051291512</v>
      </c>
      <c r="T70" s="21">
        <f t="shared" si="15"/>
        <v>1</v>
      </c>
    </row>
    <row r="71" spans="2:20" ht="11.1" customHeight="1" x14ac:dyDescent="0.3">
      <c r="B71" s="19">
        <v>63</v>
      </c>
      <c r="C71" s="19">
        <f t="shared" si="16"/>
        <v>134</v>
      </c>
      <c r="E71" s="20">
        <f t="shared" si="17"/>
        <v>1</v>
      </c>
      <c r="F71" s="20">
        <f t="shared" si="18"/>
        <v>1</v>
      </c>
      <c r="G71" s="20">
        <f t="shared" si="19"/>
        <v>1</v>
      </c>
      <c r="H71" s="20">
        <f t="shared" si="20"/>
        <v>1</v>
      </c>
      <c r="J71" s="21">
        <f t="shared" si="21"/>
        <v>0</v>
      </c>
      <c r="K71" s="21">
        <f t="shared" si="22"/>
        <v>0</v>
      </c>
      <c r="L71" s="21">
        <f t="shared" si="23"/>
        <v>0</v>
      </c>
      <c r="M71" s="21">
        <f t="shared" si="24"/>
        <v>0</v>
      </c>
      <c r="N71" s="21">
        <f t="shared" si="25"/>
        <v>0</v>
      </c>
      <c r="O71" s="21">
        <f t="shared" si="26"/>
        <v>0</v>
      </c>
      <c r="P71" s="21">
        <f t="shared" si="27"/>
        <v>0</v>
      </c>
      <c r="Q71" s="21">
        <f t="shared" si="28"/>
        <v>0</v>
      </c>
      <c r="R71" s="21">
        <f t="shared" si="29"/>
        <v>0.38210519948708493</v>
      </c>
      <c r="S71" s="21">
        <f t="shared" si="30"/>
        <v>0.61789480051291512</v>
      </c>
      <c r="T71" s="21">
        <f t="shared" si="15"/>
        <v>1</v>
      </c>
    </row>
    <row r="72" spans="2:20" ht="11.1" customHeight="1" x14ac:dyDescent="0.3">
      <c r="B72" s="19">
        <v>64</v>
      </c>
      <c r="C72" s="19">
        <f t="shared" ref="C72:C78" si="31">start_age+Alz_cycle</f>
        <v>135</v>
      </c>
      <c r="E72" s="20">
        <f t="shared" ref="E72:E78" si="32">VLOOKUP(Alz_age,table_mort_MCI,2)</f>
        <v>1</v>
      </c>
      <c r="F72" s="20">
        <f t="shared" ref="F72:F78" si="33">VLOOKUP(Alz_age,table_mort_Mild,2)</f>
        <v>1</v>
      </c>
      <c r="G72" s="20">
        <f t="shared" ref="G72:G78" si="34">VLOOKUP(Alz_age,table_mort_Moderate,2)</f>
        <v>1</v>
      </c>
      <c r="H72" s="20">
        <f t="shared" ref="H72:H78" si="35">VLOOKUP(Alz_age,table_mort_Severe,2)</f>
        <v>1</v>
      </c>
      <c r="J72" s="21">
        <f t="shared" si="21"/>
        <v>0</v>
      </c>
      <c r="K72" s="21">
        <f t="shared" si="22"/>
        <v>0</v>
      </c>
      <c r="L72" s="21">
        <f t="shared" si="23"/>
        <v>0</v>
      </c>
      <c r="M72" s="21">
        <f t="shared" si="24"/>
        <v>0</v>
      </c>
      <c r="N72" s="21">
        <f t="shared" si="25"/>
        <v>0</v>
      </c>
      <c r="O72" s="21">
        <f t="shared" si="26"/>
        <v>0</v>
      </c>
      <c r="P72" s="21">
        <f t="shared" si="27"/>
        <v>0</v>
      </c>
      <c r="Q72" s="21">
        <f t="shared" si="28"/>
        <v>0</v>
      </c>
      <c r="R72" s="21">
        <f t="shared" si="29"/>
        <v>0.38210519948708493</v>
      </c>
      <c r="S72" s="21">
        <f t="shared" si="30"/>
        <v>0.61789480051291512</v>
      </c>
      <c r="T72" s="21">
        <f t="shared" si="15"/>
        <v>1</v>
      </c>
    </row>
    <row r="73" spans="2:20" ht="11.1" customHeight="1" x14ac:dyDescent="0.3">
      <c r="B73" s="19">
        <v>65</v>
      </c>
      <c r="C73" s="19">
        <f t="shared" si="31"/>
        <v>136</v>
      </c>
      <c r="E73" s="20">
        <f t="shared" si="32"/>
        <v>1</v>
      </c>
      <c r="F73" s="20">
        <f t="shared" si="33"/>
        <v>1</v>
      </c>
      <c r="G73" s="20">
        <f t="shared" si="34"/>
        <v>1</v>
      </c>
      <c r="H73" s="20">
        <f t="shared" si="35"/>
        <v>1</v>
      </c>
      <c r="J73" s="21">
        <f t="shared" ref="J73:J78" si="36">(J72*(1-E72)*(1-0.23)*(1-0))+(L72*(1-F72)*(0.03)*(1-LTC_Mild))</f>
        <v>0</v>
      </c>
      <c r="K73" s="21">
        <f t="shared" ref="K73:K78" si="37">(J72*(1-E72)*(1-0.23)*(0))+(K72*(1-E72)*(1-0.23))+(L72*(1-F72)*(0.03)*(LTC_Mild))+(M72*(1-F72)*(0.03))</f>
        <v>0</v>
      </c>
      <c r="L73" s="21">
        <f t="shared" ref="L73:L78" si="38">(J72*(1-E72)*(0.23)*(1-0))+(L72*(1-F72)*(1-(0.03+0.35+0.04))*(1-LTC_Mild))+(N72*(1-G72)*(0.03)*(1-LTC_Moderate))</f>
        <v>0</v>
      </c>
      <c r="M73" s="21">
        <f t="shared" ref="M73:M78" si="39">(J72*(1-E72)*0.23*(0))+(K72*(1-E72)*0.23)+(L72*(1-F72)*(1-(0.03+0.35+0.04))*(LTC_Mild))+(M72*(1-F72)*(1-(0.03+0.35+0.04)))+(N72*(1-G72)*(0.03)*(LTC_Moderate))+(O72*(1-G72)*(0.03))</f>
        <v>0</v>
      </c>
      <c r="N73" s="21">
        <f t="shared" ref="N73:N78" si="40">(L72*(1-F72)*(0.35)*(1-LTC_Mild))+(N72*(1-G72)*(1-(0.03+0.42))*(1-LTC_Moderate))+(P72*(1-H72)*(0.02)*(1-LTC_Severe))</f>
        <v>0</v>
      </c>
      <c r="O73" s="21">
        <f t="shared" ref="O73:O78" si="41">(L72*(1-F72)*(0.35)*(LTC_Mild))+(M72*(1-F72)*(0.35))+(N72*(1-G72)*(1-(0.03+0.42))*(LTC_Moderate))+(O72*(1-G72)*(1-(0.03+0.42)))+(P72*(1-H72)*(0.02)*(LTC_Severe))+(Q72*(1-H72)*(0.02))</f>
        <v>0</v>
      </c>
      <c r="P73" s="21">
        <f t="shared" ref="P73:P78" si="42">(L72*(1-F72)*(0.04)*(1-LTC_Mild))+(N72*(1-G72)*(0.42)*(1-LTC_Moderate))+(P72*(1-H72)*(1-0.02)*(1-LTC_Severe))</f>
        <v>0</v>
      </c>
      <c r="Q73" s="21">
        <f t="shared" ref="Q73:Q78" si="43">(L72*(1-F72)*(0.04)*(LTC_Mild))+(M72*(1-F72)*(0.04))+(N72*(1-G72)*(0.42)*(LTC_Moderate))+(O72*(1-G72)*(0.42))+(P72*(1-H72)*(1-0.02)*(LTC_Severe))+(Q72*(1-H72)*(1-0.02))</f>
        <v>0</v>
      </c>
      <c r="R73" s="21">
        <f t="shared" ref="R73:R78" si="44">(J72*E72*(1-0))+(L72*F72*(1-LTC_Mild))+(N72*G72*(1-LTC_Moderate))+(P72*H72*(1-LTC_Severe))+R72</f>
        <v>0.38210519948708493</v>
      </c>
      <c r="S73" s="21">
        <f t="shared" ref="S73:S78" si="45">J72*E72*0+K72*E72+L72*F72*LTC_Mild+M72*F72+N72*G72*LTC_Moderate+O72*G72+P72*H72*LTC_Severe+Q72*H72+S72</f>
        <v>0.61789480051291512</v>
      </c>
      <c r="T73" s="21">
        <f t="shared" si="15"/>
        <v>1</v>
      </c>
    </row>
    <row r="74" spans="2:20" ht="11.1" customHeight="1" x14ac:dyDescent="0.3">
      <c r="B74" s="19">
        <v>66</v>
      </c>
      <c r="C74" s="19">
        <f t="shared" si="31"/>
        <v>137</v>
      </c>
      <c r="E74" s="20">
        <f t="shared" si="32"/>
        <v>1</v>
      </c>
      <c r="F74" s="20">
        <f t="shared" si="33"/>
        <v>1</v>
      </c>
      <c r="G74" s="20">
        <f t="shared" si="34"/>
        <v>1</v>
      </c>
      <c r="H74" s="20">
        <f t="shared" si="35"/>
        <v>1</v>
      </c>
      <c r="J74" s="21">
        <f t="shared" si="36"/>
        <v>0</v>
      </c>
      <c r="K74" s="21">
        <f t="shared" si="37"/>
        <v>0</v>
      </c>
      <c r="L74" s="21">
        <f t="shared" si="38"/>
        <v>0</v>
      </c>
      <c r="M74" s="21">
        <f t="shared" si="39"/>
        <v>0</v>
      </c>
      <c r="N74" s="21">
        <f t="shared" si="40"/>
        <v>0</v>
      </c>
      <c r="O74" s="21">
        <f t="shared" si="41"/>
        <v>0</v>
      </c>
      <c r="P74" s="21">
        <f t="shared" si="42"/>
        <v>0</v>
      </c>
      <c r="Q74" s="21">
        <f t="shared" si="43"/>
        <v>0</v>
      </c>
      <c r="R74" s="21">
        <f t="shared" si="44"/>
        <v>0.38210519948708493</v>
      </c>
      <c r="S74" s="21">
        <f t="shared" si="45"/>
        <v>0.61789480051291512</v>
      </c>
      <c r="T74" s="21">
        <f>SUM(J74:S74)</f>
        <v>1</v>
      </c>
    </row>
    <row r="75" spans="2:20" ht="11.1" customHeight="1" x14ac:dyDescent="0.3">
      <c r="B75" s="19">
        <v>67</v>
      </c>
      <c r="C75" s="19">
        <f t="shared" si="31"/>
        <v>138</v>
      </c>
      <c r="E75" s="20">
        <f t="shared" si="32"/>
        <v>1</v>
      </c>
      <c r="F75" s="20">
        <f t="shared" si="33"/>
        <v>1</v>
      </c>
      <c r="G75" s="20">
        <f t="shared" si="34"/>
        <v>1</v>
      </c>
      <c r="H75" s="20">
        <f t="shared" si="35"/>
        <v>1</v>
      </c>
      <c r="J75" s="21">
        <f t="shared" si="36"/>
        <v>0</v>
      </c>
      <c r="K75" s="21">
        <f t="shared" si="37"/>
        <v>0</v>
      </c>
      <c r="L75" s="21">
        <f t="shared" si="38"/>
        <v>0</v>
      </c>
      <c r="M75" s="21">
        <f t="shared" si="39"/>
        <v>0</v>
      </c>
      <c r="N75" s="21">
        <f t="shared" si="40"/>
        <v>0</v>
      </c>
      <c r="O75" s="21">
        <f t="shared" si="41"/>
        <v>0</v>
      </c>
      <c r="P75" s="21">
        <f t="shared" si="42"/>
        <v>0</v>
      </c>
      <c r="Q75" s="21">
        <f t="shared" si="43"/>
        <v>0</v>
      </c>
      <c r="R75" s="21">
        <f t="shared" si="44"/>
        <v>0.38210519948708493</v>
      </c>
      <c r="S75" s="21">
        <f t="shared" si="45"/>
        <v>0.61789480051291512</v>
      </c>
      <c r="T75" s="21">
        <f>SUM(J75:S75)</f>
        <v>1</v>
      </c>
    </row>
    <row r="76" spans="2:20" ht="11.1" customHeight="1" x14ac:dyDescent="0.3">
      <c r="B76" s="19">
        <v>68</v>
      </c>
      <c r="C76" s="19">
        <f t="shared" si="31"/>
        <v>139</v>
      </c>
      <c r="E76" s="20">
        <f t="shared" si="32"/>
        <v>1</v>
      </c>
      <c r="F76" s="20">
        <f t="shared" si="33"/>
        <v>1</v>
      </c>
      <c r="G76" s="20">
        <f t="shared" si="34"/>
        <v>1</v>
      </c>
      <c r="H76" s="20">
        <f t="shared" si="35"/>
        <v>1</v>
      </c>
      <c r="J76" s="21">
        <f t="shared" si="36"/>
        <v>0</v>
      </c>
      <c r="K76" s="21">
        <f t="shared" si="37"/>
        <v>0</v>
      </c>
      <c r="L76" s="21">
        <f t="shared" si="38"/>
        <v>0</v>
      </c>
      <c r="M76" s="21">
        <f t="shared" si="39"/>
        <v>0</v>
      </c>
      <c r="N76" s="21">
        <f t="shared" si="40"/>
        <v>0</v>
      </c>
      <c r="O76" s="21">
        <f t="shared" si="41"/>
        <v>0</v>
      </c>
      <c r="P76" s="21">
        <f t="shared" si="42"/>
        <v>0</v>
      </c>
      <c r="Q76" s="21">
        <f t="shared" si="43"/>
        <v>0</v>
      </c>
      <c r="R76" s="21">
        <f t="shared" si="44"/>
        <v>0.38210519948708493</v>
      </c>
      <c r="S76" s="21">
        <f t="shared" si="45"/>
        <v>0.61789480051291512</v>
      </c>
      <c r="T76" s="21">
        <f>SUM(J76:S76)</f>
        <v>1</v>
      </c>
    </row>
    <row r="77" spans="2:20" ht="11.1" customHeight="1" x14ac:dyDescent="0.3">
      <c r="B77" s="19">
        <v>69</v>
      </c>
      <c r="C77" s="19">
        <f t="shared" si="31"/>
        <v>140</v>
      </c>
      <c r="E77" s="20">
        <f t="shared" si="32"/>
        <v>1</v>
      </c>
      <c r="F77" s="20">
        <f t="shared" si="33"/>
        <v>1</v>
      </c>
      <c r="G77" s="20">
        <f t="shared" si="34"/>
        <v>1</v>
      </c>
      <c r="H77" s="20">
        <f t="shared" si="35"/>
        <v>1</v>
      </c>
      <c r="J77" s="21">
        <f t="shared" si="36"/>
        <v>0</v>
      </c>
      <c r="K77" s="21">
        <f t="shared" si="37"/>
        <v>0</v>
      </c>
      <c r="L77" s="21">
        <f t="shared" si="38"/>
        <v>0</v>
      </c>
      <c r="M77" s="21">
        <f t="shared" si="39"/>
        <v>0</v>
      </c>
      <c r="N77" s="21">
        <f t="shared" si="40"/>
        <v>0</v>
      </c>
      <c r="O77" s="21">
        <f t="shared" si="41"/>
        <v>0</v>
      </c>
      <c r="P77" s="21">
        <f t="shared" si="42"/>
        <v>0</v>
      </c>
      <c r="Q77" s="21">
        <f t="shared" si="43"/>
        <v>0</v>
      </c>
      <c r="R77" s="21">
        <f t="shared" si="44"/>
        <v>0.38210519948708493</v>
      </c>
      <c r="S77" s="21">
        <f t="shared" si="45"/>
        <v>0.61789480051291512</v>
      </c>
      <c r="T77" s="21">
        <f>SUM(J77:S77)</f>
        <v>1</v>
      </c>
    </row>
    <row r="78" spans="2:20" ht="11.1" customHeight="1" x14ac:dyDescent="0.3">
      <c r="B78" s="19">
        <v>70</v>
      </c>
      <c r="C78" s="19">
        <f t="shared" si="31"/>
        <v>141</v>
      </c>
      <c r="E78" s="20">
        <f t="shared" si="32"/>
        <v>1</v>
      </c>
      <c r="F78" s="20">
        <f t="shared" si="33"/>
        <v>1</v>
      </c>
      <c r="G78" s="20">
        <f t="shared" si="34"/>
        <v>1</v>
      </c>
      <c r="H78" s="20">
        <f t="shared" si="35"/>
        <v>1</v>
      </c>
      <c r="J78" s="21">
        <f t="shared" si="36"/>
        <v>0</v>
      </c>
      <c r="K78" s="21">
        <f t="shared" si="37"/>
        <v>0</v>
      </c>
      <c r="L78" s="21">
        <f t="shared" si="38"/>
        <v>0</v>
      </c>
      <c r="M78" s="21">
        <f t="shared" si="39"/>
        <v>0</v>
      </c>
      <c r="N78" s="21">
        <f t="shared" si="40"/>
        <v>0</v>
      </c>
      <c r="O78" s="21">
        <f t="shared" si="41"/>
        <v>0</v>
      </c>
      <c r="P78" s="21">
        <f t="shared" si="42"/>
        <v>0</v>
      </c>
      <c r="Q78" s="21">
        <f t="shared" si="43"/>
        <v>0</v>
      </c>
      <c r="R78" s="21">
        <f t="shared" si="44"/>
        <v>0.38210519948708493</v>
      </c>
      <c r="S78" s="21">
        <f t="shared" si="45"/>
        <v>0.61789480051291512</v>
      </c>
      <c r="T78" s="21">
        <f>SUM(J78:S78)</f>
        <v>1</v>
      </c>
    </row>
  </sheetData>
  <mergeCells count="6">
    <mergeCell ref="R5:S5"/>
    <mergeCell ref="E5:H5"/>
    <mergeCell ref="J5:K5"/>
    <mergeCell ref="L5:M5"/>
    <mergeCell ref="N5:O5"/>
    <mergeCell ref="P5:Q5"/>
  </mergeCells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0"/>
  <dimension ref="B1:AH78"/>
  <sheetViews>
    <sheetView zoomScale="70" zoomScaleNormal="70" workbookViewId="0">
      <selection activeCell="M23" sqref="M23"/>
    </sheetView>
  </sheetViews>
  <sheetFormatPr defaultColWidth="9.09765625" defaultRowHeight="11.1" customHeight="1" outlineLevelCol="1" x14ac:dyDescent="0.4"/>
  <cols>
    <col min="1" max="1" width="2.09765625" style="4" customWidth="1"/>
    <col min="2" max="2" width="6.59765625" style="4" customWidth="1"/>
    <col min="3" max="3" width="6.09765625" style="4" customWidth="1"/>
    <col min="4" max="4" width="1.59765625" style="4" customWidth="1"/>
    <col min="5" max="5" width="7.59765625" style="4" customWidth="1" outlineLevel="1"/>
    <col min="6" max="6" width="7" style="4" customWidth="1" outlineLevel="1"/>
    <col min="7" max="7" width="8.5" style="4" bestFit="1" customWidth="1" outlineLevel="1"/>
    <col min="8" max="8" width="7.09765625" style="38" bestFit="1" customWidth="1"/>
    <col min="9" max="9" width="2.09765625" style="4" customWidth="1"/>
    <col min="10" max="10" width="1.09765625" style="1" customWidth="1"/>
    <col min="11" max="11" width="2.09765625" style="4" customWidth="1"/>
    <col min="12" max="31" width="9.59765625" style="4" customWidth="1"/>
    <col min="32" max="32" width="1.59765625" style="4" customWidth="1"/>
    <col min="33" max="33" width="10" style="4" customWidth="1"/>
    <col min="34" max="34" width="1.09765625" style="1" customWidth="1"/>
    <col min="35" max="36" width="2.09765625" style="4" customWidth="1"/>
    <col min="37" max="16384" width="9.09765625" style="4"/>
  </cols>
  <sheetData>
    <row r="1" spans="2:33" s="1" customFormat="1" ht="6.75" customHeight="1" x14ac:dyDescent="0.3">
      <c r="R1" s="1" t="s">
        <v>259</v>
      </c>
      <c r="AB1" s="1" t="s">
        <v>259</v>
      </c>
    </row>
    <row r="2" spans="2:33" s="1" customFormat="1" ht="15" customHeight="1" x14ac:dyDescent="0.45">
      <c r="L2" s="10" t="s">
        <v>26</v>
      </c>
      <c r="R2" s="10"/>
      <c r="V2" s="10"/>
      <c r="AB2" s="10"/>
    </row>
    <row r="3" spans="2:33" s="1" customFormat="1" ht="5.25" customHeight="1" x14ac:dyDescent="0.3"/>
    <row r="4" spans="2:33" s="1" customFormat="1" ht="11.1" customHeight="1" x14ac:dyDescent="0.3">
      <c r="L4" s="290" t="s">
        <v>268</v>
      </c>
      <c r="M4" s="288"/>
      <c r="N4" s="288"/>
      <c r="O4" s="288"/>
      <c r="P4" s="288"/>
      <c r="Q4" s="288"/>
      <c r="R4" s="288"/>
      <c r="S4" s="288"/>
      <c r="T4" s="288"/>
      <c r="U4" s="288"/>
      <c r="V4" s="290" t="s">
        <v>269</v>
      </c>
      <c r="W4" s="288"/>
      <c r="X4" s="288"/>
      <c r="Y4" s="288"/>
      <c r="Z4" s="288"/>
      <c r="AA4" s="288"/>
      <c r="AB4" s="288"/>
      <c r="AC4" s="288"/>
      <c r="AD4" s="288"/>
      <c r="AE4" s="288"/>
    </row>
    <row r="5" spans="2:33" s="1" customFormat="1" ht="11.1" customHeight="1" x14ac:dyDescent="0.3">
      <c r="E5" s="289" t="s">
        <v>30</v>
      </c>
      <c r="F5" s="289"/>
      <c r="G5" s="289"/>
      <c r="H5" s="289"/>
      <c r="L5" s="290" t="s">
        <v>203</v>
      </c>
      <c r="M5" s="288"/>
      <c r="N5" s="288" t="s">
        <v>23</v>
      </c>
      <c r="O5" s="288"/>
      <c r="P5" s="288" t="s">
        <v>205</v>
      </c>
      <c r="Q5" s="291"/>
      <c r="R5" s="290" t="s">
        <v>25</v>
      </c>
      <c r="S5" s="288"/>
      <c r="T5" s="288" t="s">
        <v>266</v>
      </c>
      <c r="U5" s="288"/>
      <c r="V5" s="290" t="s">
        <v>203</v>
      </c>
      <c r="W5" s="288"/>
      <c r="X5" s="288" t="s">
        <v>23</v>
      </c>
      <c r="Y5" s="288"/>
      <c r="Z5" s="288" t="s">
        <v>205</v>
      </c>
      <c r="AA5" s="291"/>
      <c r="AB5" s="290" t="s">
        <v>25</v>
      </c>
      <c r="AC5" s="288"/>
      <c r="AD5" s="288" t="s">
        <v>266</v>
      </c>
      <c r="AE5" s="288"/>
    </row>
    <row r="6" spans="2:33" s="1" customFormat="1" ht="11.1" customHeight="1" x14ac:dyDescent="0.3">
      <c r="B6" s="11" t="s">
        <v>35</v>
      </c>
      <c r="C6" s="11" t="s">
        <v>0</v>
      </c>
      <c r="E6" s="11" t="s">
        <v>22</v>
      </c>
      <c r="F6" s="11" t="s">
        <v>23</v>
      </c>
      <c r="G6" s="11" t="s">
        <v>24</v>
      </c>
      <c r="H6" s="11" t="s">
        <v>25</v>
      </c>
      <c r="L6" s="11" t="s">
        <v>189</v>
      </c>
      <c r="M6" s="11" t="s">
        <v>190</v>
      </c>
      <c r="N6" s="11" t="s">
        <v>189</v>
      </c>
      <c r="O6" s="11" t="s">
        <v>190</v>
      </c>
      <c r="P6" s="11" t="s">
        <v>189</v>
      </c>
      <c r="Q6" s="11" t="s">
        <v>190</v>
      </c>
      <c r="R6" s="11" t="s">
        <v>189</v>
      </c>
      <c r="S6" s="11" t="s">
        <v>190</v>
      </c>
      <c r="T6" s="11" t="s">
        <v>189</v>
      </c>
      <c r="U6" s="11" t="s">
        <v>190</v>
      </c>
      <c r="V6" s="11" t="s">
        <v>189</v>
      </c>
      <c r="W6" s="11" t="s">
        <v>190</v>
      </c>
      <c r="X6" s="11" t="s">
        <v>189</v>
      </c>
      <c r="Y6" s="11" t="s">
        <v>190</v>
      </c>
      <c r="Z6" s="11" t="s">
        <v>189</v>
      </c>
      <c r="AA6" s="11" t="s">
        <v>190</v>
      </c>
      <c r="AB6" s="11" t="s">
        <v>189</v>
      </c>
      <c r="AC6" s="11" t="s">
        <v>190</v>
      </c>
      <c r="AD6" s="11" t="s">
        <v>189</v>
      </c>
      <c r="AE6" s="11" t="s">
        <v>190</v>
      </c>
      <c r="AG6" s="14" t="s">
        <v>191</v>
      </c>
    </row>
    <row r="7" spans="2:33" ht="6.6" customHeight="1" x14ac:dyDescent="0.3">
      <c r="H7" s="4"/>
    </row>
    <row r="8" spans="2:33" ht="11.1" customHeight="1" x14ac:dyDescent="0.3">
      <c r="B8" s="19">
        <v>0</v>
      </c>
      <c r="C8" s="19">
        <f>start_age+Alz_cycle</f>
        <v>71</v>
      </c>
      <c r="E8" s="20">
        <f>VLOOKUP(Alz_age,table_mort_MCI,2)</f>
        <v>1.5065903319501861E-2</v>
      </c>
      <c r="F8" s="20">
        <f>VLOOKUP(Alz_age,table_mort_Mild,2)</f>
        <v>2.0428666075551383E-2</v>
      </c>
      <c r="G8" s="20">
        <f>VLOOKUP(Alz_age,table_mort_Moderate,2)</f>
        <v>3.659900690724005E-2</v>
      </c>
      <c r="H8" s="20">
        <f>VLOOKUP(Alz_age,table_mort_Severe,2)</f>
        <v>7.037421508009889E-2</v>
      </c>
      <c r="L8" s="21">
        <f>Tp!AD8</f>
        <v>0.7</v>
      </c>
      <c r="M8" s="21">
        <f>Tp!AE8</f>
        <v>0</v>
      </c>
      <c r="N8" s="21">
        <f>Tp!AF8</f>
        <v>0.28500000000000003</v>
      </c>
      <c r="O8" s="21">
        <f>Tp!AG8</f>
        <v>1.5000000000000003E-2</v>
      </c>
      <c r="P8" s="21">
        <f>Tp!AH8</f>
        <v>0</v>
      </c>
      <c r="Q8" s="21">
        <f>Tp!AI8</f>
        <v>0</v>
      </c>
      <c r="R8" s="21">
        <f>Tp!AJ8</f>
        <v>0</v>
      </c>
      <c r="S8" s="21">
        <f>Tp!AK8</f>
        <v>0</v>
      </c>
      <c r="T8" s="21">
        <f>Tp!AL8</f>
        <v>0</v>
      </c>
      <c r="U8" s="21">
        <f>Tp!AM8</f>
        <v>0</v>
      </c>
      <c r="V8" s="21">
        <f>Tp!AN8</f>
        <v>0</v>
      </c>
      <c r="W8" s="21">
        <f>Tp!AO8</f>
        <v>0</v>
      </c>
      <c r="X8" s="21">
        <f>Tp!AP8</f>
        <v>0</v>
      </c>
      <c r="Y8" s="21">
        <f>Tp!AQ8</f>
        <v>0</v>
      </c>
      <c r="Z8" s="21">
        <f>Tp!AR8</f>
        <v>0</v>
      </c>
      <c r="AA8" s="21">
        <f>Tp!AS8</f>
        <v>0</v>
      </c>
      <c r="AB8" s="21">
        <f>Tp!AT8</f>
        <v>0</v>
      </c>
      <c r="AC8" s="21">
        <f>Tp!AU8</f>
        <v>0</v>
      </c>
      <c r="AD8" s="21">
        <f>Tp!AV8</f>
        <v>0</v>
      </c>
      <c r="AE8" s="21">
        <f>Tp!AW8</f>
        <v>0</v>
      </c>
      <c r="AG8" s="83">
        <f>SUM(L8:AE8)</f>
        <v>1</v>
      </c>
    </row>
    <row r="9" spans="2:33" ht="11.1" customHeight="1" x14ac:dyDescent="0.3">
      <c r="B9" s="19">
        <v>1</v>
      </c>
      <c r="C9" s="19">
        <f>start_age+Alz_cycle</f>
        <v>72</v>
      </c>
      <c r="E9" s="20">
        <f>VLOOKUP(Alz_age,table_mort_MCI,2)</f>
        <v>1.6894035107792305E-2</v>
      </c>
      <c r="F9" s="20">
        <f>VLOOKUP(Alz_age,table_mort_Mild,2)</f>
        <v>2.2899924743828737E-2</v>
      </c>
      <c r="G9" s="20">
        <f>VLOOKUP(Alz_age,table_mort_Moderate,2)</f>
        <v>4.0985055867230225E-2</v>
      </c>
      <c r="H9" s="20">
        <f>VLOOKUP(Alz_age,table_mort_Severe,2)</f>
        <v>7.8639346209840366E-2</v>
      </c>
      <c r="L9" s="21">
        <f>Tp!AD9</f>
        <v>0.50773954376567365</v>
      </c>
      <c r="M9" s="21">
        <f>Tp!AE9</f>
        <v>7.8426195243825724E-4</v>
      </c>
      <c r="N9" s="21">
        <f>Tp!AF9</f>
        <v>0.2562194016652562</v>
      </c>
      <c r="O9" s="21">
        <f>Tp!AG9</f>
        <v>1.7909928787181673E-2</v>
      </c>
      <c r="P9" s="21">
        <f>Tp!AH9</f>
        <v>5.9011148245069804E-2</v>
      </c>
      <c r="Q9" s="21">
        <f>Tp!AI9</f>
        <v>6.7211249323958656E-3</v>
      </c>
      <c r="R9" s="21">
        <f>Tp!AJ9</f>
        <v>6.3808242754295631E-3</v>
      </c>
      <c r="S9" s="21">
        <f>Tp!AK9</f>
        <v>7.267494092594518E-4</v>
      </c>
      <c r="T9" s="21">
        <f>Tp!AL9</f>
        <v>1.3961832048570787E-2</v>
      </c>
      <c r="U9" s="21">
        <f>Tp!AM9</f>
        <v>5.451849187247588E-4</v>
      </c>
      <c r="V9" s="21">
        <f>Tp!AN9</f>
        <v>7.0043242047488394E-2</v>
      </c>
      <c r="W9" s="21">
        <f>Tp!AO9</f>
        <v>1.1718856760571661E-4</v>
      </c>
      <c r="X9" s="21">
        <f>Tp!AP9</f>
        <v>4.0506928576516665E-2</v>
      </c>
      <c r="Y9" s="21">
        <f>Tp!AQ9</f>
        <v>2.2656456403771881E-3</v>
      </c>
      <c r="Z9" s="21">
        <f>Tp!AR9</f>
        <v>1.2003948752668697E-2</v>
      </c>
      <c r="AA9" s="21">
        <f>Tp!AS9</f>
        <v>1.3671999554000273E-3</v>
      </c>
      <c r="AB9" s="21">
        <f>Tp!AT9</f>
        <v>1.3718798574478511E-3</v>
      </c>
      <c r="AC9" s="21">
        <f>Tp!AU9</f>
        <v>1.5625142347428883E-4</v>
      </c>
      <c r="AD9" s="21">
        <f>Tp!AV9</f>
        <v>2.0862507658783933E-3</v>
      </c>
      <c r="AE9" s="21">
        <f>Tp!AW9</f>
        <v>8.1464413142780042E-5</v>
      </c>
      <c r="AG9" s="83">
        <f t="shared" ref="AG9:AG72" si="0">SUM(L9:AE9)</f>
        <v>1.0000000000000002</v>
      </c>
    </row>
    <row r="10" spans="2:33" ht="11.1" customHeight="1" x14ac:dyDescent="0.3">
      <c r="B10" s="19">
        <v>2</v>
      </c>
      <c r="C10" s="19">
        <f t="shared" ref="C10:C39" si="1">start_age+Alz_cycle</f>
        <v>73</v>
      </c>
      <c r="E10" s="20">
        <f t="shared" ref="E10:E39" si="2">VLOOKUP(Alz_age,table_mort_MCI,2)</f>
        <v>1.8890986464756621E-2</v>
      </c>
      <c r="F10" s="20">
        <f t="shared" ref="F10:F39" si="3">VLOOKUP(Alz_age,table_mort_Mild,2)</f>
        <v>2.559750463291266E-2</v>
      </c>
      <c r="G10" s="20">
        <f t="shared" ref="G10:G39" si="4">VLOOKUP(Alz_age,table_mort_Moderate,2)</f>
        <v>4.5762582894734338E-2</v>
      </c>
      <c r="H10" s="20">
        <f t="shared" ref="H10:H39" si="5">VLOOKUP(Alz_age,table_mort_Severe,2)</f>
        <v>8.7601105096929643E-2</v>
      </c>
      <c r="L10" s="21">
        <f>Tp!AD10</f>
        <v>0.36879087760735102</v>
      </c>
      <c r="M10" s="21">
        <f>Tp!AE10</f>
        <v>1.3762269881750983E-3</v>
      </c>
      <c r="N10" s="21">
        <f>Tp!AF10</f>
        <v>0.21394877120426828</v>
      </c>
      <c r="O10" s="21">
        <f>Tp!AG10</f>
        <v>1.9111455195539983E-2</v>
      </c>
      <c r="P10" s="21">
        <f>Tp!AH10</f>
        <v>7.6495156452843105E-2</v>
      </c>
      <c r="Q10" s="21">
        <f>Tp!AI10</f>
        <v>1.3694868712449572E-2</v>
      </c>
      <c r="R10" s="21">
        <f>Tp!AJ10</f>
        <v>2.7200074372132791E-2</v>
      </c>
      <c r="S10" s="21">
        <f>Tp!AK10</f>
        <v>7.8957284722166021E-3</v>
      </c>
      <c r="T10" s="21">
        <f>Tp!AL10</f>
        <v>2.6567084361849843E-2</v>
      </c>
      <c r="U10" s="21">
        <f>Tp!AM10</f>
        <v>1.8197566331736945E-3</v>
      </c>
      <c r="V10" s="21">
        <f>Tp!AN10</f>
        <v>0.10925090204090042</v>
      </c>
      <c r="W10" s="21">
        <f>Tp!AO10</f>
        <v>4.2607263230129563E-4</v>
      </c>
      <c r="X10" s="21">
        <f>Tp!AP10</f>
        <v>6.9800338815511287E-2</v>
      </c>
      <c r="Y10" s="21">
        <f>Tp!AQ10</f>
        <v>5.5137177130931457E-3</v>
      </c>
      <c r="Z10" s="21">
        <f>Tp!AR10</f>
        <v>3.0034781553052989E-2</v>
      </c>
      <c r="AA10" s="21">
        <f>Tp!AS10</f>
        <v>5.1503502820383403E-3</v>
      </c>
      <c r="AB10" s="21">
        <f>Tp!AT10</f>
        <v>1.0629335955162937E-2</v>
      </c>
      <c r="AC10" s="21">
        <f>Tp!AU10</f>
        <v>3.0521039257791231E-3</v>
      </c>
      <c r="AD10" s="21">
        <f>Tp!AV10</f>
        <v>8.6189362465966136E-3</v>
      </c>
      <c r="AE10" s="21">
        <f>Tp!AW10</f>
        <v>6.2346083556385644E-4</v>
      </c>
      <c r="AG10" s="83">
        <f t="shared" si="0"/>
        <v>1</v>
      </c>
    </row>
    <row r="11" spans="2:33" ht="11.1" customHeight="1" x14ac:dyDescent="0.3">
      <c r="B11" s="19">
        <v>3</v>
      </c>
      <c r="C11" s="19">
        <f t="shared" si="1"/>
        <v>74</v>
      </c>
      <c r="E11" s="20">
        <f t="shared" si="2"/>
        <v>2.110847797105786E-2</v>
      </c>
      <c r="F11" s="20">
        <f t="shared" si="3"/>
        <v>2.8590687833229156E-2</v>
      </c>
      <c r="G11" s="20">
        <f t="shared" si="4"/>
        <v>5.1051165766922146E-2</v>
      </c>
      <c r="H11" s="20">
        <f t="shared" si="5"/>
        <v>9.7471547764780064E-2</v>
      </c>
      <c r="L11" s="21">
        <f>Tp!AD11</f>
        <v>0.26798894710774784</v>
      </c>
      <c r="M11" s="21">
        <f>Tp!AE11</f>
        <v>1.7661762233845029E-3</v>
      </c>
      <c r="N11" s="21">
        <f>Tp!AF11</f>
        <v>0.17101653071876033</v>
      </c>
      <c r="O11" s="21">
        <f>Tp!AG11</f>
        <v>1.8720078300216967E-2</v>
      </c>
      <c r="P11" s="21">
        <f>Tp!AH11</f>
        <v>7.4687174464994871E-2</v>
      </c>
      <c r="Q11" s="21">
        <f>Tp!AI11</f>
        <v>1.7846806666654554E-2</v>
      </c>
      <c r="R11" s="21">
        <f>Tp!AJ11</f>
        <v>4.2812375652057671E-2</v>
      </c>
      <c r="S11" s="21">
        <f>Tp!AK11</f>
        <v>2.1428862005065087E-2</v>
      </c>
      <c r="T11" s="21">
        <f>Tp!AL11</f>
        <v>3.7779965113606089E-2</v>
      </c>
      <c r="U11" s="21">
        <f>Tp!AM11</f>
        <v>4.4560837475120726E-3</v>
      </c>
      <c r="V11" s="21">
        <f>Tp!AN11</f>
        <v>0.12450653612081675</v>
      </c>
      <c r="W11" s="21">
        <f>Tp!AO11</f>
        <v>8.5918952775765789E-4</v>
      </c>
      <c r="X11" s="21">
        <f>Tp!AP11</f>
        <v>8.8231796556633865E-2</v>
      </c>
      <c r="Y11" s="21">
        <f>Tp!AQ11</f>
        <v>8.4400642646915176E-3</v>
      </c>
      <c r="Z11" s="21">
        <f>Tp!AR11</f>
        <v>4.7474642453364239E-2</v>
      </c>
      <c r="AA11" s="21">
        <f>Tp!AS11</f>
        <v>1.075333762376373E-2</v>
      </c>
      <c r="AB11" s="21">
        <f>Tp!AT11</f>
        <v>2.610754827799612E-2</v>
      </c>
      <c r="AC11" s="21">
        <f>Tp!AU11</f>
        <v>1.2761924434832896E-2</v>
      </c>
      <c r="AD11" s="21">
        <f>Tp!AV11</f>
        <v>1.9865083818945833E-2</v>
      </c>
      <c r="AE11" s="21">
        <f>Tp!AW11</f>
        <v>2.4968769211974281E-3</v>
      </c>
      <c r="AG11" s="83">
        <f t="shared" si="0"/>
        <v>0.99999999999999978</v>
      </c>
    </row>
    <row r="12" spans="2:33" ht="11.1" customHeight="1" x14ac:dyDescent="0.3">
      <c r="B12" s="19">
        <v>4</v>
      </c>
      <c r="C12" s="19">
        <f t="shared" si="1"/>
        <v>75</v>
      </c>
      <c r="E12" s="20">
        <f t="shared" si="2"/>
        <v>2.3646350507162905E-2</v>
      </c>
      <c r="F12" s="20">
        <f t="shared" si="3"/>
        <v>3.2013331721284177E-2</v>
      </c>
      <c r="G12" s="20">
        <f t="shared" si="4"/>
        <v>5.708246662973393E-2</v>
      </c>
      <c r="H12" s="20">
        <f t="shared" si="5"/>
        <v>0.10866408383875836</v>
      </c>
      <c r="L12" s="21">
        <f>Tp!AD12</f>
        <v>0.19466860072639477</v>
      </c>
      <c r="M12" s="21">
        <f>Tp!AE12</f>
        <v>1.9690559077870529E-3</v>
      </c>
      <c r="N12" s="21">
        <f>Tp!AF12</f>
        <v>0.13283530340358207</v>
      </c>
      <c r="O12" s="21">
        <f>Tp!AG12</f>
        <v>1.721921218744113E-2</v>
      </c>
      <c r="P12" s="21">
        <f>Tp!AH12</f>
        <v>6.5025176270069943E-2</v>
      </c>
      <c r="Q12" s="21">
        <f>Tp!AI12</f>
        <v>1.9227094117583856E-2</v>
      </c>
      <c r="R12" s="21">
        <f>Tp!AJ12</f>
        <v>4.9468501999243429E-2</v>
      </c>
      <c r="S12" s="21">
        <f>Tp!AK12</f>
        <v>3.6508404659283039E-2</v>
      </c>
      <c r="T12" s="21">
        <f>Tp!AL12</f>
        <v>4.7245102472074287E-2</v>
      </c>
      <c r="U12" s="21">
        <f>Tp!AM12</f>
        <v>8.7311582565403785E-3</v>
      </c>
      <c r="V12" s="21">
        <f>Tp!AN12</f>
        <v>0.12536462944270754</v>
      </c>
      <c r="W12" s="21">
        <f>Tp!AO12</f>
        <v>1.3292206923233652E-3</v>
      </c>
      <c r="X12" s="21">
        <f>Tp!AP12</f>
        <v>9.6031318286508544E-2</v>
      </c>
      <c r="Y12" s="21">
        <f>Tp!AQ12</f>
        <v>1.0740363196271712E-2</v>
      </c>
      <c r="Z12" s="21">
        <f>Tp!AR12</f>
        <v>5.9903834699386468E-2</v>
      </c>
      <c r="AA12" s="21">
        <f>Tp!AS12</f>
        <v>1.6645437751524928E-2</v>
      </c>
      <c r="AB12" s="21">
        <f>Tp!AT12</f>
        <v>4.331189795500353E-2</v>
      </c>
      <c r="AC12" s="21">
        <f>Tp!AU12</f>
        <v>3.0877989809135711E-2</v>
      </c>
      <c r="AD12" s="21">
        <f>Tp!AV12</f>
        <v>3.5831919713286989E-2</v>
      </c>
      <c r="AE12" s="21">
        <f>Tp!AW12</f>
        <v>7.0657784538512465E-3</v>
      </c>
      <c r="AG12" s="83">
        <f t="shared" si="0"/>
        <v>1</v>
      </c>
    </row>
    <row r="13" spans="2:33" ht="11.1" customHeight="1" x14ac:dyDescent="0.3">
      <c r="B13" s="19">
        <v>5</v>
      </c>
      <c r="C13" s="19">
        <f t="shared" si="1"/>
        <v>76</v>
      </c>
      <c r="E13" s="20">
        <f t="shared" si="2"/>
        <v>2.6875157268125505E-2</v>
      </c>
      <c r="F13" s="20">
        <f t="shared" si="3"/>
        <v>3.6363164851724306E-2</v>
      </c>
      <c r="G13" s="20">
        <f t="shared" si="4"/>
        <v>6.4722854266430319E-2</v>
      </c>
      <c r="H13" s="20">
        <f t="shared" si="5"/>
        <v>0.12274458220862894</v>
      </c>
      <c r="L13" s="21">
        <f>Tp!AD13</f>
        <v>0.14124443946879672</v>
      </c>
      <c r="M13" s="21">
        <f>Tp!AE13</f>
        <v>2.0162110097035535E-3</v>
      </c>
      <c r="N13" s="21">
        <f>Tp!AF13</f>
        <v>0.1010978324011359</v>
      </c>
      <c r="O13" s="21">
        <f>Tp!AG13</f>
        <v>1.5110324108991553E-2</v>
      </c>
      <c r="P13" s="21">
        <f>Tp!AH13</f>
        <v>5.3185058105864755E-2</v>
      </c>
      <c r="Q13" s="21">
        <f>Tp!AI13</f>
        <v>1.8651083629308816E-2</v>
      </c>
      <c r="R13" s="21">
        <f>Tp!AJ13</f>
        <v>4.8851442217243135E-2</v>
      </c>
      <c r="S13" s="21">
        <f>Tp!AK13</f>
        <v>4.9028452611700989E-2</v>
      </c>
      <c r="T13" s="21">
        <f>Tp!AL13</f>
        <v>5.4699574499485183E-2</v>
      </c>
      <c r="U13" s="21">
        <f>Tp!AM13</f>
        <v>1.453650264776934E-2</v>
      </c>
      <c r="V13" s="21">
        <f>Tp!AN13</f>
        <v>0.11798898729588363</v>
      </c>
      <c r="W13" s="21">
        <f>Tp!AO13</f>
        <v>1.7658457651505573E-3</v>
      </c>
      <c r="X13" s="21">
        <f>Tp!AP13</f>
        <v>9.5679226252163949E-2</v>
      </c>
      <c r="Y13" s="21">
        <f>Tp!AQ13</f>
        <v>1.2246208390806586E-2</v>
      </c>
      <c r="Z13" s="21">
        <f>Tp!AR13</f>
        <v>6.620193806183855E-2</v>
      </c>
      <c r="AA13" s="21">
        <f>Tp!AS13</f>
        <v>2.1727315908259659E-2</v>
      </c>
      <c r="AB13" s="21">
        <f>Tp!AT13</f>
        <v>5.804003311270698E-2</v>
      </c>
      <c r="AC13" s="21">
        <f>Tp!AU13</f>
        <v>5.5840843703556395E-2</v>
      </c>
      <c r="AD13" s="21">
        <f>Tp!AV13</f>
        <v>5.6156461525758421E-2</v>
      </c>
      <c r="AE13" s="21">
        <f>Tp!AW13</f>
        <v>1.5932219283875303E-2</v>
      </c>
      <c r="AG13" s="83">
        <f t="shared" si="0"/>
        <v>1</v>
      </c>
    </row>
    <row r="14" spans="2:33" ht="11.1" customHeight="1" x14ac:dyDescent="0.3">
      <c r="B14" s="19">
        <v>6</v>
      </c>
      <c r="C14" s="19">
        <f t="shared" si="1"/>
        <v>77</v>
      </c>
      <c r="E14" s="20">
        <f t="shared" si="2"/>
        <v>3.1262370100638814E-2</v>
      </c>
      <c r="F14" s="20">
        <f t="shared" si="3"/>
        <v>4.2265281802119969E-2</v>
      </c>
      <c r="G14" s="20">
        <f t="shared" si="4"/>
        <v>7.5045398384775641E-2</v>
      </c>
      <c r="H14" s="20">
        <f t="shared" si="5"/>
        <v>0.14159385725097229</v>
      </c>
      <c r="L14" s="21">
        <f>Tp!AD14</f>
        <v>0.10225229810694417</v>
      </c>
      <c r="M14" s="21">
        <f>Tp!AE14</f>
        <v>1.9452003509803748E-3</v>
      </c>
      <c r="N14" s="21">
        <f>Tp!AF14</f>
        <v>7.5730838007908433E-2</v>
      </c>
      <c r="O14" s="21">
        <f>Tp!AG14</f>
        <v>1.2780801492113584E-2</v>
      </c>
      <c r="P14" s="21">
        <f>Tp!AH14</f>
        <v>4.1777488099788436E-2</v>
      </c>
      <c r="Q14" s="21">
        <f>Tp!AI14</f>
        <v>1.6913311981521434E-2</v>
      </c>
      <c r="R14" s="21">
        <f>Tp!AJ14</f>
        <v>4.3726409693814909E-2</v>
      </c>
      <c r="S14" s="21">
        <f>Tp!AK14</f>
        <v>5.6741087416838858E-2</v>
      </c>
      <c r="T14" s="21">
        <f>Tp!AL14</f>
        <v>6.0185600960985103E-2</v>
      </c>
      <c r="U14" s="21">
        <f>Tp!AM14</f>
        <v>2.1573164898104662E-2</v>
      </c>
      <c r="V14" s="21">
        <f>Tp!AN14</f>
        <v>0.10630282111047559</v>
      </c>
      <c r="W14" s="21">
        <f>Tp!AO14</f>
        <v>2.119978145003901E-3</v>
      </c>
      <c r="X14" s="21">
        <f>Tp!AP14</f>
        <v>8.9871403126827287E-2</v>
      </c>
      <c r="Y14" s="21">
        <f>Tp!AQ14</f>
        <v>1.2945529478064346E-2</v>
      </c>
      <c r="Z14" s="21">
        <f>Tp!AR14</f>
        <v>6.7013920391482296E-2</v>
      </c>
      <c r="AA14" s="21">
        <f>Tp!AS14</f>
        <v>2.538536701801139E-2</v>
      </c>
      <c r="AB14" s="21">
        <f>Tp!AT14</f>
        <v>6.7719432914055411E-2</v>
      </c>
      <c r="AC14" s="21">
        <f>Tp!AU14</f>
        <v>8.3897605634476388E-2</v>
      </c>
      <c r="AD14" s="21">
        <f>Tp!AV14</f>
        <v>8.0343082110861996E-2</v>
      </c>
      <c r="AE14" s="21">
        <f>Tp!AW14</f>
        <v>3.0774659061741379E-2</v>
      </c>
      <c r="AG14" s="83">
        <f t="shared" si="0"/>
        <v>1.0000000000000002</v>
      </c>
    </row>
    <row r="15" spans="2:33" ht="11.1" customHeight="1" x14ac:dyDescent="0.3">
      <c r="B15" s="19">
        <v>7</v>
      </c>
      <c r="C15" s="19">
        <f t="shared" si="1"/>
        <v>78</v>
      </c>
      <c r="E15" s="20">
        <f t="shared" si="2"/>
        <v>3.6659890087681335E-2</v>
      </c>
      <c r="F15" s="20">
        <f t="shared" si="3"/>
        <v>4.9513383819471346E-2</v>
      </c>
      <c r="G15" s="20">
        <f t="shared" si="4"/>
        <v>8.7651994744920803E-2</v>
      </c>
      <c r="H15" s="20">
        <f t="shared" si="5"/>
        <v>0.16434222218004213</v>
      </c>
      <c r="L15" s="21">
        <f>Tp!AD15</f>
        <v>7.3747893645095722E-2</v>
      </c>
      <c r="M15" s="21">
        <f>Tp!AE15</f>
        <v>1.7925112302753815E-3</v>
      </c>
      <c r="N15" s="21">
        <f>Tp!AF15</f>
        <v>5.5947783874670302E-2</v>
      </c>
      <c r="O15" s="21">
        <f>Tp!AG15</f>
        <v>1.0485487537787445E-2</v>
      </c>
      <c r="P15" s="21">
        <f>Tp!AH15</f>
        <v>3.1840419063789809E-2</v>
      </c>
      <c r="Q15" s="21">
        <f>Tp!AI15</f>
        <v>1.4597446268525056E-2</v>
      </c>
      <c r="R15" s="21">
        <f>Tp!AJ15</f>
        <v>3.6443453187462262E-2</v>
      </c>
      <c r="S15" s="21">
        <f>Tp!AK15</f>
        <v>5.8972891766735737E-2</v>
      </c>
      <c r="T15" s="21">
        <f>Tp!AL15</f>
        <v>6.3933770208986287E-2</v>
      </c>
      <c r="U15" s="21">
        <f>Tp!AM15</f>
        <v>2.9493138094501978E-2</v>
      </c>
      <c r="V15" s="21">
        <f>Tp!AN15</f>
        <v>9.2754216789526736E-2</v>
      </c>
      <c r="W15" s="21">
        <f>Tp!AO15</f>
        <v>2.3631693901296929E-3</v>
      </c>
      <c r="X15" s="21">
        <f>Tp!AP15</f>
        <v>8.0835984636487612E-2</v>
      </c>
      <c r="Y15" s="21">
        <f>Tp!AQ15</f>
        <v>1.2925807564599942E-2</v>
      </c>
      <c r="Z15" s="21">
        <f>Tp!AR15</f>
        <v>6.3636437375964916E-2</v>
      </c>
      <c r="AA15" s="21">
        <f>Tp!AS15</f>
        <v>2.7376335372708997E-2</v>
      </c>
      <c r="AB15" s="21">
        <f>Tp!AT15</f>
        <v>7.1401908364937344E-2</v>
      </c>
      <c r="AC15" s="21">
        <f>Tp!AU15</f>
        <v>0.1102359388797317</v>
      </c>
      <c r="AD15" s="21">
        <f>Tp!AV15</f>
        <v>0.10792486878103483</v>
      </c>
      <c r="AE15" s="21">
        <f>Tp!AW15</f>
        <v>5.3290537967048211E-2</v>
      </c>
      <c r="AG15" s="83">
        <f t="shared" si="0"/>
        <v>0.99999999999999989</v>
      </c>
    </row>
    <row r="16" spans="2:33" ht="11.1" customHeight="1" x14ac:dyDescent="0.3">
      <c r="B16" s="19">
        <v>8</v>
      </c>
      <c r="C16" s="19">
        <f t="shared" si="1"/>
        <v>79</v>
      </c>
      <c r="E16" s="20">
        <f t="shared" si="2"/>
        <v>4.2849273174327962E-2</v>
      </c>
      <c r="F16" s="20">
        <f t="shared" si="3"/>
        <v>5.7806883397622633E-2</v>
      </c>
      <c r="G16" s="20">
        <f t="shared" si="4"/>
        <v>0.10198202532948608</v>
      </c>
      <c r="H16" s="20">
        <f t="shared" si="5"/>
        <v>0.18983751460326992</v>
      </c>
      <c r="L16" s="21">
        <f>Tp!AD16</f>
        <v>5.2921734021921372E-2</v>
      </c>
      <c r="M16" s="21">
        <f>Tp!AE16</f>
        <v>1.5908896916413324E-3</v>
      </c>
      <c r="N16" s="21">
        <f>Tp!AF16</f>
        <v>4.0809079784285794E-2</v>
      </c>
      <c r="O16" s="21">
        <f>Tp!AG16</f>
        <v>8.3791252790394143E-3</v>
      </c>
      <c r="P16" s="21">
        <f>Tp!AH16</f>
        <v>2.3678838342651214E-2</v>
      </c>
      <c r="Q16" s="21">
        <f>Tp!AI16</f>
        <v>1.210524961698942E-2</v>
      </c>
      <c r="R16" s="21">
        <f>Tp!AJ16</f>
        <v>2.8708547328486864E-2</v>
      </c>
      <c r="S16" s="21">
        <f>Tp!AK16</f>
        <v>5.6282145369244578E-2</v>
      </c>
      <c r="T16" s="21">
        <f>Tp!AL16</f>
        <v>6.602781565673467E-2</v>
      </c>
      <c r="U16" s="21">
        <f>Tp!AM16</f>
        <v>3.7708246452717399E-2</v>
      </c>
      <c r="V16" s="21">
        <f>Tp!AN16</f>
        <v>7.8888545843800936E-2</v>
      </c>
      <c r="W16" s="21">
        <f>Tp!AO16</f>
        <v>2.4860012848318858E-3</v>
      </c>
      <c r="X16" s="21">
        <f>Tp!AP16</f>
        <v>7.0273594147758148E-2</v>
      </c>
      <c r="Y16" s="21">
        <f>Tp!AQ16</f>
        <v>1.2331628213368995E-2</v>
      </c>
      <c r="Z16" s="21">
        <f>Tp!AR16</f>
        <v>5.750818822382292E-2</v>
      </c>
      <c r="AA16" s="21">
        <f>Tp!AS16</f>
        <v>2.7735792925434218E-2</v>
      </c>
      <c r="AB16" s="21">
        <f>Tp!AT16</f>
        <v>6.9525767817119111E-2</v>
      </c>
      <c r="AC16" s="21">
        <f>Tp!AU16</f>
        <v>0.13036493730764739</v>
      </c>
      <c r="AD16" s="21">
        <f>Tp!AV16</f>
        <v>0.13807634542370315</v>
      </c>
      <c r="AE16" s="21">
        <f>Tp!AW16</f>
        <v>8.4597527268801112E-2</v>
      </c>
      <c r="AG16" s="83">
        <f t="shared" si="0"/>
        <v>0.99999999999999989</v>
      </c>
    </row>
    <row r="17" spans="2:33" ht="11.1" customHeight="1" x14ac:dyDescent="0.3">
      <c r="B17" s="19">
        <v>9</v>
      </c>
      <c r="C17" s="19">
        <f t="shared" si="1"/>
        <v>80</v>
      </c>
      <c r="E17" s="20">
        <f t="shared" si="2"/>
        <v>4.972845894543243E-2</v>
      </c>
      <c r="F17" s="20">
        <f t="shared" si="3"/>
        <v>6.7002078676466792E-2</v>
      </c>
      <c r="G17" s="20">
        <f t="shared" si="4"/>
        <v>0.11775156048840807</v>
      </c>
      <c r="H17" s="20">
        <f t="shared" si="5"/>
        <v>0.21744726008184811</v>
      </c>
      <c r="L17" s="21">
        <f>Tp!AD17</f>
        <v>3.7746004509096612E-2</v>
      </c>
      <c r="M17" s="21">
        <f>Tp!AE17</f>
        <v>1.3674289411576255E-3</v>
      </c>
      <c r="N17" s="21">
        <f>Tp!AF17</f>
        <v>2.9410297405042821E-2</v>
      </c>
      <c r="O17" s="21">
        <f>Tp!AG17</f>
        <v>6.5416074889158432E-3</v>
      </c>
      <c r="P17" s="21">
        <f>Tp!AH17</f>
        <v>1.7244031872296579E-2</v>
      </c>
      <c r="Q17" s="21">
        <f>Tp!AI17</f>
        <v>9.6968103190845662E-3</v>
      </c>
      <c r="R17" s="21">
        <f>Tp!AJ17</f>
        <v>2.1583567208822499E-2</v>
      </c>
      <c r="S17" s="21">
        <f>Tp!AK17</f>
        <v>4.998622353311899E-2</v>
      </c>
      <c r="T17" s="21">
        <f>Tp!AL17</f>
        <v>6.6518114800410921E-2</v>
      </c>
      <c r="U17" s="21">
        <f>Tp!AM17</f>
        <v>4.5450068165083027E-2</v>
      </c>
      <c r="V17" s="21">
        <f>Tp!AN17</f>
        <v>6.5658634155655565E-2</v>
      </c>
      <c r="W17" s="21">
        <f>Tp!AO17</f>
        <v>2.4943383698091599E-3</v>
      </c>
      <c r="X17" s="21">
        <f>Tp!AP17</f>
        <v>5.9396740312370695E-2</v>
      </c>
      <c r="Y17" s="21">
        <f>Tp!AQ17</f>
        <v>1.1327516524642461E-2</v>
      </c>
      <c r="Z17" s="21">
        <f>Tp!AR17</f>
        <v>4.9923720151789634E-2</v>
      </c>
      <c r="AA17" s="21">
        <f>Tp!AS17</f>
        <v>2.6684172127611549E-2</v>
      </c>
      <c r="AB17" s="21">
        <f>Tp!AT17</f>
        <v>6.3416271143765482E-2</v>
      </c>
      <c r="AC17" s="21">
        <f>Tp!AU17</f>
        <v>0.14124760321009056</v>
      </c>
      <c r="AD17" s="21">
        <f>Tp!AV17</f>
        <v>0.169617483174897</v>
      </c>
      <c r="AE17" s="21">
        <f>Tp!AW17</f>
        <v>0.12468936658633835</v>
      </c>
      <c r="AG17" s="83">
        <f t="shared" si="0"/>
        <v>0.99999999999999989</v>
      </c>
    </row>
    <row r="18" spans="2:33" ht="11.1" customHeight="1" x14ac:dyDescent="0.3">
      <c r="B18" s="19">
        <v>10</v>
      </c>
      <c r="C18" s="19">
        <f t="shared" si="1"/>
        <v>81</v>
      </c>
      <c r="E18" s="20">
        <f t="shared" si="2"/>
        <v>5.7251654003104502E-2</v>
      </c>
      <c r="F18" s="20">
        <f t="shared" si="3"/>
        <v>7.7030725748545636E-2</v>
      </c>
      <c r="G18" s="20">
        <f t="shared" si="4"/>
        <v>0.13480810978755453</v>
      </c>
      <c r="H18" s="20">
        <f t="shared" si="5"/>
        <v>0.24678309076341653</v>
      </c>
      <c r="L18" s="21">
        <f>Tp!AD18</f>
        <v>2.6733789165124464E-2</v>
      </c>
      <c r="M18" s="21">
        <f>Tp!AE18</f>
        <v>1.1426561044053044E-3</v>
      </c>
      <c r="N18" s="21">
        <f>Tp!AF18</f>
        <v>2.0949220953031741E-2</v>
      </c>
      <c r="O18" s="21">
        <f>Tp!AG18</f>
        <v>4.9995590509464005E-3</v>
      </c>
      <c r="P18" s="21">
        <f>Tp!AH18</f>
        <v>1.2325722161962687E-2</v>
      </c>
      <c r="Q18" s="21">
        <f>Tp!AI18</f>
        <v>7.524846260852436E-3</v>
      </c>
      <c r="R18" s="21">
        <f>Tp!AJ18</f>
        <v>1.5590445452841504E-2</v>
      </c>
      <c r="S18" s="21">
        <f>Tp!AK18</f>
        <v>4.1657526573323285E-2</v>
      </c>
      <c r="T18" s="21">
        <f>Tp!AL18</f>
        <v>6.5531788430610194E-2</v>
      </c>
      <c r="U18" s="21">
        <f>Tp!AM18</f>
        <v>5.1967860038337629E-2</v>
      </c>
      <c r="V18" s="21">
        <f>Tp!AN18</f>
        <v>5.3608796303540457E-2</v>
      </c>
      <c r="W18" s="21">
        <f>Tp!AO18</f>
        <v>2.4043663563160463E-3</v>
      </c>
      <c r="X18" s="21">
        <f>Tp!AP18</f>
        <v>4.9001867649027496E-2</v>
      </c>
      <c r="Y18" s="21">
        <f>Tp!AQ18</f>
        <v>1.0070472092196687E-2</v>
      </c>
      <c r="Z18" s="21">
        <f>Tp!AR18</f>
        <v>4.1896843476017312E-2</v>
      </c>
      <c r="AA18" s="21">
        <f>Tp!AS18</f>
        <v>2.4540449922910986E-2</v>
      </c>
      <c r="AB18" s="21">
        <f>Tp!AT18</f>
        <v>5.4719829025608423E-2</v>
      </c>
      <c r="AC18" s="21">
        <f>Tp!AU18</f>
        <v>0.14181758039019327</v>
      </c>
      <c r="AD18" s="21">
        <f>Tp!AV18</f>
        <v>0.20124607962238034</v>
      </c>
      <c r="AE18" s="21">
        <f>Tp!AW18</f>
        <v>0.17227030097037327</v>
      </c>
      <c r="AG18" s="83">
        <f t="shared" si="0"/>
        <v>0.99999999999999978</v>
      </c>
    </row>
    <row r="19" spans="2:33" ht="11.1" customHeight="1" x14ac:dyDescent="0.3">
      <c r="B19" s="19">
        <v>11</v>
      </c>
      <c r="C19" s="19">
        <f t="shared" si="1"/>
        <v>82</v>
      </c>
      <c r="E19" s="20">
        <f t="shared" si="2"/>
        <v>6.6035982757058131E-2</v>
      </c>
      <c r="F19" s="20">
        <f t="shared" si="3"/>
        <v>8.8704119559237626E-2</v>
      </c>
      <c r="G19" s="20">
        <f t="shared" si="4"/>
        <v>0.15447457622922944</v>
      </c>
      <c r="H19" s="20">
        <f t="shared" si="5"/>
        <v>0.27992707068676714</v>
      </c>
      <c r="L19" s="21">
        <f>Tp!AD19</f>
        <v>1.8785790567300814E-2</v>
      </c>
      <c r="M19" s="21">
        <f>Tp!AE19</f>
        <v>9.3075188942177566E-4</v>
      </c>
      <c r="N19" s="21">
        <f>Tp!AF19</f>
        <v>1.4750327047200314E-2</v>
      </c>
      <c r="O19" s="21">
        <f>Tp!AG19</f>
        <v>3.7455330103644373E-3</v>
      </c>
      <c r="P19" s="21">
        <f>Tp!AH19</f>
        <v>8.660093106675924E-3</v>
      </c>
      <c r="Q19" s="21">
        <f>Tp!AI19</f>
        <v>5.6652676469576653E-3</v>
      </c>
      <c r="R19" s="21">
        <f>Tp!AJ19</f>
        <v>1.0872732765646771E-2</v>
      </c>
      <c r="S19" s="21">
        <f>Tp!AK19</f>
        <v>3.2746332860852545E-2</v>
      </c>
      <c r="T19" s="21">
        <f>Tp!AL19</f>
        <v>6.3282239406784485E-2</v>
      </c>
      <c r="U19" s="21">
        <f>Tp!AM19</f>
        <v>5.6689302045344281E-2</v>
      </c>
      <c r="V19" s="21">
        <f>Tp!AN19</f>
        <v>4.3004758905756016E-2</v>
      </c>
      <c r="W19" s="21">
        <f>Tp!AO19</f>
        <v>2.2379134204504507E-3</v>
      </c>
      <c r="X19" s="21">
        <f>Tp!AP19</f>
        <v>3.9561138086735163E-2</v>
      </c>
      <c r="Y19" s="21">
        <f>Tp!AQ19</f>
        <v>8.6952277576272437E-3</v>
      </c>
      <c r="Z19" s="21">
        <f>Tp!AR19</f>
        <v>3.4138440719059422E-2</v>
      </c>
      <c r="AA19" s="21">
        <f>Tp!AS19</f>
        <v>2.1660074619208197E-2</v>
      </c>
      <c r="AB19" s="21">
        <f>Tp!AT19</f>
        <v>4.4984790016777611E-2</v>
      </c>
      <c r="AC19" s="21">
        <f>Tp!AU19</f>
        <v>0.13293049678008786</v>
      </c>
      <c r="AD19" s="21">
        <f>Tp!AV19</f>
        <v>0.23174754183526031</v>
      </c>
      <c r="AE19" s="21">
        <f>Tp!AW19</f>
        <v>0.22491124751248864</v>
      </c>
      <c r="AG19" s="83">
        <f t="shared" si="0"/>
        <v>1</v>
      </c>
    </row>
    <row r="20" spans="2:33" ht="11.1" customHeight="1" x14ac:dyDescent="0.3">
      <c r="B20" s="19">
        <v>12</v>
      </c>
      <c r="C20" s="19">
        <f t="shared" si="1"/>
        <v>83</v>
      </c>
      <c r="E20" s="20">
        <f t="shared" si="2"/>
        <v>7.6062995019991475E-2</v>
      </c>
      <c r="F20" s="20">
        <f t="shared" si="3"/>
        <v>0.10198070718378116</v>
      </c>
      <c r="G20" s="20">
        <f t="shared" si="4"/>
        <v>0.17659629300437474</v>
      </c>
      <c r="H20" s="20">
        <f t="shared" si="5"/>
        <v>0.3163367593772809</v>
      </c>
      <c r="L20" s="21">
        <f>Tp!AD20</f>
        <v>1.3077286669638324E-2</v>
      </c>
      <c r="M20" s="21">
        <f>Tp!AE20</f>
        <v>7.398775324658763E-4</v>
      </c>
      <c r="N20" s="21">
        <f>Tp!AF20</f>
        <v>1.0255730709293117E-2</v>
      </c>
      <c r="O20" s="21">
        <f>Tp!AG20</f>
        <v>2.7501352838053333E-3</v>
      </c>
      <c r="P20" s="21">
        <f>Tp!AH20</f>
        <v>5.9784265709092697E-3</v>
      </c>
      <c r="Q20" s="21">
        <f>Tp!AI20</f>
        <v>4.134019786971586E-3</v>
      </c>
      <c r="R20" s="21">
        <f>Tp!AJ20</f>
        <v>7.328927965946733E-3</v>
      </c>
      <c r="S20" s="21">
        <f>Tp!AK20</f>
        <v>2.4283858880823704E-2</v>
      </c>
      <c r="T20" s="21">
        <f>Tp!AL20</f>
        <v>6.0084882818263227E-2</v>
      </c>
      <c r="U20" s="21">
        <f>Tp!AM20</f>
        <v>5.9398535983380463E-2</v>
      </c>
      <c r="V20" s="21">
        <f>Tp!AN20</f>
        <v>3.3903119733702546E-2</v>
      </c>
      <c r="W20" s="21">
        <f>Tp!AO20</f>
        <v>2.0171603769908422E-3</v>
      </c>
      <c r="X20" s="21">
        <f>Tp!AP20</f>
        <v>3.1282081988884866E-2</v>
      </c>
      <c r="Y20" s="21">
        <f>Tp!AQ20</f>
        <v>7.3013315049080766E-3</v>
      </c>
      <c r="Z20" s="21">
        <f>Tp!AR20</f>
        <v>2.7053691344670776E-2</v>
      </c>
      <c r="AA20" s="21">
        <f>Tp!AS20</f>
        <v>1.8359627912495548E-2</v>
      </c>
      <c r="AB20" s="21">
        <f>Tp!AT20</f>
        <v>3.5329000126171309E-2</v>
      </c>
      <c r="AC20" s="21">
        <f>Tp!AU20</f>
        <v>0.11651873142466711</v>
      </c>
      <c r="AD20" s="21">
        <f>Tp!AV20</f>
        <v>0.26032434073875549</v>
      </c>
      <c r="AE20" s="21">
        <f>Tp!AW20</f>
        <v>0.27987923264725567</v>
      </c>
      <c r="AG20" s="83">
        <f t="shared" si="0"/>
        <v>0.99999999999999989</v>
      </c>
    </row>
    <row r="21" spans="2:33" ht="11.1" customHeight="1" x14ac:dyDescent="0.3">
      <c r="B21" s="19">
        <v>13</v>
      </c>
      <c r="C21" s="19">
        <f t="shared" si="1"/>
        <v>84</v>
      </c>
      <c r="E21" s="20">
        <f t="shared" si="2"/>
        <v>8.7161206574002503E-2</v>
      </c>
      <c r="F21" s="20">
        <f t="shared" si="3"/>
        <v>0.1166153330973847</v>
      </c>
      <c r="G21" s="20">
        <f t="shared" si="4"/>
        <v>0.20067697726655465</v>
      </c>
      <c r="H21" s="20">
        <f t="shared" si="5"/>
        <v>0.35491983638905999</v>
      </c>
      <c r="L21" s="21">
        <f>Tp!AD21</f>
        <v>9.0045530345987598E-3</v>
      </c>
      <c r="M21" s="21">
        <f>Tp!AE21</f>
        <v>5.742806247820355E-4</v>
      </c>
      <c r="N21" s="21">
        <f>Tp!AF21</f>
        <v>7.0334678900964573E-3</v>
      </c>
      <c r="O21" s="21">
        <f>Tp!AG21</f>
        <v>1.9778687360426112E-3</v>
      </c>
      <c r="P21" s="21">
        <f>Tp!AH21</f>
        <v>4.0526726463881351E-3</v>
      </c>
      <c r="Q21" s="21">
        <f>Tp!AI21</f>
        <v>2.9201149904710196E-3</v>
      </c>
      <c r="R21" s="21">
        <f>Tp!AJ21</f>
        <v>4.7792695315502284E-3</v>
      </c>
      <c r="S21" s="21">
        <f>Tp!AK21</f>
        <v>1.6972578135158577E-2</v>
      </c>
      <c r="T21" s="21">
        <f>Tp!AL21</f>
        <v>5.6216363764357E-2</v>
      </c>
      <c r="U21" s="21">
        <f>Tp!AM21</f>
        <v>6.0056394161858109E-2</v>
      </c>
      <c r="V21" s="21">
        <f>Tp!AN21</f>
        <v>2.6261660780185974E-2</v>
      </c>
      <c r="W21" s="21">
        <f>Tp!AO21</f>
        <v>1.7639372210174642E-3</v>
      </c>
      <c r="X21" s="21">
        <f>Tp!AP21</f>
        <v>2.423282524171819E-2</v>
      </c>
      <c r="Y21" s="21">
        <f>Tp!AQ21</f>
        <v>5.9649754972922846E-3</v>
      </c>
      <c r="Z21" s="21">
        <f>Tp!AR21</f>
        <v>2.0871663031119932E-2</v>
      </c>
      <c r="AA21" s="21">
        <f>Tp!AS21</f>
        <v>1.4939951887733161E-2</v>
      </c>
      <c r="AB21" s="21">
        <f>Tp!AT21</f>
        <v>2.6560730068939789E-2</v>
      </c>
      <c r="AC21" s="21">
        <f>Tp!AU21</f>
        <v>9.551721807358135E-2</v>
      </c>
      <c r="AD21" s="21">
        <f>Tp!AV21</f>
        <v>0.28633271669875787</v>
      </c>
      <c r="AE21" s="21">
        <f>Tp!AW21</f>
        <v>0.33396675798435088</v>
      </c>
      <c r="AG21" s="83">
        <f t="shared" si="0"/>
        <v>0.99999999999999978</v>
      </c>
    </row>
    <row r="22" spans="2:33" ht="11.1" customHeight="1" x14ac:dyDescent="0.3">
      <c r="B22" s="19">
        <v>14</v>
      </c>
      <c r="C22" s="19">
        <f t="shared" si="1"/>
        <v>85</v>
      </c>
      <c r="E22" s="20">
        <f t="shared" si="2"/>
        <v>9.9347691695008566E-2</v>
      </c>
      <c r="F22" s="20">
        <f t="shared" si="3"/>
        <v>0.13261143750077753</v>
      </c>
      <c r="G22" s="20">
        <f t="shared" si="4"/>
        <v>0.22663231220202829</v>
      </c>
      <c r="H22" s="20">
        <f t="shared" si="5"/>
        <v>0.39527837169256685</v>
      </c>
      <c r="L22" s="21">
        <f>Tp!AD22</f>
        <v>6.1244518293981868E-3</v>
      </c>
      <c r="M22" s="21">
        <f>Tp!AE22</f>
        <v>4.3534525589552451E-4</v>
      </c>
      <c r="N22" s="21">
        <f>Tp!AF22</f>
        <v>4.7529747777045588E-3</v>
      </c>
      <c r="O22" s="21">
        <f>Tp!AG22</f>
        <v>1.3924237080574055E-3</v>
      </c>
      <c r="P22" s="21">
        <f>Tp!AH22</f>
        <v>2.6965352009465193E-3</v>
      </c>
      <c r="Q22" s="21">
        <f>Tp!AI22</f>
        <v>1.9951160382621455E-3</v>
      </c>
      <c r="R22" s="21">
        <f>Tp!AJ22</f>
        <v>3.0199559965410428E-3</v>
      </c>
      <c r="S22" s="21">
        <f>Tp!AK22</f>
        <v>1.1172551547710515E-2</v>
      </c>
      <c r="T22" s="21">
        <f>Tp!AL22</f>
        <v>5.1918468714674357E-2</v>
      </c>
      <c r="U22" s="21">
        <f>Tp!AM22</f>
        <v>5.8813357189123304E-2</v>
      </c>
      <c r="V22" s="21">
        <f>Tp!AN22</f>
        <v>1.9980984076575982E-2</v>
      </c>
      <c r="W22" s="21">
        <f>Tp!AO22</f>
        <v>1.4983005719385186E-3</v>
      </c>
      <c r="X22" s="21">
        <f>Tp!AP22</f>
        <v>1.8391482918508794E-2</v>
      </c>
      <c r="Y22" s="21">
        <f>Tp!AQ22</f>
        <v>4.7418416748212892E-3</v>
      </c>
      <c r="Z22" s="21">
        <f>Tp!AR22</f>
        <v>1.5689068750299753E-2</v>
      </c>
      <c r="AA22" s="21">
        <f>Tp!AS22</f>
        <v>1.1667456348220855E-2</v>
      </c>
      <c r="AB22" s="21">
        <f>Tp!AT22</f>
        <v>1.9163417890589247E-2</v>
      </c>
      <c r="AC22" s="21">
        <f>Tp!AU22</f>
        <v>7.3221934379321868E-2</v>
      </c>
      <c r="AD22" s="21">
        <f>Tp!AV22</f>
        <v>0.309322284219048</v>
      </c>
      <c r="AE22" s="21">
        <f>Tp!AW22</f>
        <v>0.38400204891236195</v>
      </c>
      <c r="AG22" s="83">
        <f t="shared" si="0"/>
        <v>0.99999999999999978</v>
      </c>
    </row>
    <row r="23" spans="2:33" ht="11.1" customHeight="1" x14ac:dyDescent="0.3">
      <c r="B23" s="19">
        <v>15</v>
      </c>
      <c r="C23" s="19">
        <f t="shared" si="1"/>
        <v>86</v>
      </c>
      <c r="E23" s="20">
        <f t="shared" si="2"/>
        <v>0.11276235934045675</v>
      </c>
      <c r="F23" s="20">
        <f t="shared" si="3"/>
        <v>0.15012985180403171</v>
      </c>
      <c r="G23" s="20">
        <f t="shared" si="4"/>
        <v>0.25461809611425101</v>
      </c>
      <c r="H23" s="20">
        <f t="shared" si="5"/>
        <v>0.43736445209676178</v>
      </c>
      <c r="L23" s="21">
        <f>Tp!AD23</f>
        <v>4.108783159654527E-3</v>
      </c>
      <c r="M23" s="21">
        <f>Tp!AE23</f>
        <v>3.2227816275415467E-4</v>
      </c>
      <c r="N23" s="21">
        <f>Tp!AF23</f>
        <v>3.1611843631556358E-3</v>
      </c>
      <c r="O23" s="21">
        <f>Tp!AG23</f>
        <v>9.5876781685477817E-4</v>
      </c>
      <c r="P23" s="21">
        <f>Tp!AH23</f>
        <v>1.7599516273271274E-3</v>
      </c>
      <c r="Q23" s="21">
        <f>Tp!AI23</f>
        <v>1.3178586020877437E-3</v>
      </c>
      <c r="R23" s="21">
        <f>Tp!AJ23</f>
        <v>1.8518119855304997E-3</v>
      </c>
      <c r="S23" s="21">
        <f>Tp!AK23</f>
        <v>6.9203705473510277E-3</v>
      </c>
      <c r="T23" s="21">
        <f>Tp!AL23</f>
        <v>4.740924612227336E-2</v>
      </c>
      <c r="U23" s="21">
        <f>Tp!AM23</f>
        <v>5.6009174437743947E-2</v>
      </c>
      <c r="V23" s="21">
        <f>Tp!AN23</f>
        <v>1.4923069196753161E-2</v>
      </c>
      <c r="W23" s="21">
        <f>Tp!AO23</f>
        <v>1.236943670143239E-3</v>
      </c>
      <c r="X23" s="21">
        <f>Tp!AP23</f>
        <v>1.3670975771417003E-2</v>
      </c>
      <c r="Y23" s="21">
        <f>Tp!AQ23</f>
        <v>3.6668203982970727E-3</v>
      </c>
      <c r="Z23" s="21">
        <f>Tp!AR23</f>
        <v>1.1494951830907216E-2</v>
      </c>
      <c r="AA23" s="21">
        <f>Tp!AS23</f>
        <v>8.7414115767689652E-3</v>
      </c>
      <c r="AB23" s="21">
        <f>Tp!AT23</f>
        <v>1.3298234419358021E-2</v>
      </c>
      <c r="AC23" s="21">
        <f>Tp!AU23</f>
        <v>5.2451041042126126E-2</v>
      </c>
      <c r="AD23" s="21">
        <f>Tp!AV23</f>
        <v>0.32911529233246312</v>
      </c>
      <c r="AE23" s="21">
        <f>Tp!AW23</f>
        <v>0.42758183293703311</v>
      </c>
      <c r="AG23" s="83">
        <f t="shared" si="0"/>
        <v>0.99999999999999978</v>
      </c>
    </row>
    <row r="24" spans="2:33" ht="11.1" customHeight="1" x14ac:dyDescent="0.3">
      <c r="B24" s="19">
        <v>16</v>
      </c>
      <c r="C24" s="19">
        <f t="shared" si="1"/>
        <v>87</v>
      </c>
      <c r="E24" s="20">
        <f t="shared" si="2"/>
        <v>0.12744286062794341</v>
      </c>
      <c r="F24" s="20">
        <f t="shared" si="3"/>
        <v>0.16919242833842307</v>
      </c>
      <c r="G24" s="20">
        <f t="shared" si="4"/>
        <v>0.28454643736239738</v>
      </c>
      <c r="H24" s="20">
        <f t="shared" si="5"/>
        <v>0.48072773765230914</v>
      </c>
      <c r="L24" s="21">
        <f>Tp!AD24</f>
        <v>2.7145131103091897E-3</v>
      </c>
      <c r="M24" s="21">
        <f>Tp!AE24</f>
        <v>2.3284278726345528E-4</v>
      </c>
      <c r="N24" s="21">
        <f>Tp!AF24</f>
        <v>2.0662648448599484E-3</v>
      </c>
      <c r="O24" s="21">
        <f>Tp!AG24</f>
        <v>6.4494389256239523E-4</v>
      </c>
      <c r="P24" s="21">
        <f>Tp!AH24</f>
        <v>1.1254968253048715E-3</v>
      </c>
      <c r="Q24" s="21">
        <f>Tp!AI24</f>
        <v>8.4131762673802883E-4</v>
      </c>
      <c r="R24" s="21">
        <f>Tp!AJ24</f>
        <v>1.1028528097041088E-3</v>
      </c>
      <c r="S24" s="21">
        <f>Tp!AK24</f>
        <v>4.0281557507896451E-3</v>
      </c>
      <c r="T24" s="21">
        <f>Tp!AL24</f>
        <v>4.2873768485057626E-2</v>
      </c>
      <c r="U24" s="21">
        <f>Tp!AM24</f>
        <v>5.2092745204928272E-2</v>
      </c>
      <c r="V24" s="21">
        <f>Tp!AN24</f>
        <v>1.0930040616502915E-2</v>
      </c>
      <c r="W24" s="21">
        <f>Tp!AO24</f>
        <v>9.9249934800844843E-4</v>
      </c>
      <c r="X24" s="21">
        <f>Tp!AP24</f>
        <v>9.9452668614039962E-3</v>
      </c>
      <c r="Y24" s="21">
        <f>Tp!AQ24</f>
        <v>2.756286076371539E-3</v>
      </c>
      <c r="Z24" s="21">
        <f>Tp!AR24</f>
        <v>8.2067867094363905E-3</v>
      </c>
      <c r="AA24" s="21">
        <f>Tp!AS24</f>
        <v>6.2802695842538508E-3</v>
      </c>
      <c r="AB24" s="21">
        <f>Tp!AT24</f>
        <v>8.8895950118771695E-3</v>
      </c>
      <c r="AC24" s="21">
        <f>Tp!AU24</f>
        <v>3.5054728479256801E-2</v>
      </c>
      <c r="AD24" s="21">
        <f>Tp!AV24</f>
        <v>0.34577908573464805</v>
      </c>
      <c r="AE24" s="21">
        <f>Tp!AW24</f>
        <v>0.46344254024072318</v>
      </c>
      <c r="AG24" s="83">
        <f t="shared" si="0"/>
        <v>0.99999999999999989</v>
      </c>
    </row>
    <row r="25" spans="2:33" ht="11.1" customHeight="1" x14ac:dyDescent="0.3">
      <c r="B25" s="19">
        <v>17</v>
      </c>
      <c r="C25" s="19">
        <f t="shared" si="1"/>
        <v>88</v>
      </c>
      <c r="E25" s="20">
        <f t="shared" si="2"/>
        <v>0.14342069010275205</v>
      </c>
      <c r="F25" s="20">
        <f t="shared" si="3"/>
        <v>0.18980884192976633</v>
      </c>
      <c r="G25" s="20">
        <f t="shared" si="4"/>
        <v>0.31629659848191671</v>
      </c>
      <c r="H25" s="20">
        <f t="shared" si="5"/>
        <v>0.52486986315146156</v>
      </c>
      <c r="L25" s="21">
        <f>Tp!AD25</f>
        <v>1.7629868438630467E-3</v>
      </c>
      <c r="M25" s="21">
        <f>Tp!AE25</f>
        <v>1.6404114692432492E-4</v>
      </c>
      <c r="N25" s="21">
        <f>Tp!AF25</f>
        <v>1.3251725177755077E-3</v>
      </c>
      <c r="O25" s="21">
        <f>Tp!AG25</f>
        <v>4.2329625755290048E-4</v>
      </c>
      <c r="P25" s="21">
        <f>Tp!AH25</f>
        <v>7.0432257520686181E-4</v>
      </c>
      <c r="Q25" s="21">
        <f>Tp!AI25</f>
        <v>5.1919680705579598E-4</v>
      </c>
      <c r="R25" s="21">
        <f>Tp!AJ25</f>
        <v>6.383721920910642E-4</v>
      </c>
      <c r="S25" s="21">
        <f>Tp!AK25</f>
        <v>2.2019437466619155E-3</v>
      </c>
      <c r="T25" s="21">
        <f>Tp!AL25</f>
        <v>3.8455135972719059E-2</v>
      </c>
      <c r="U25" s="21">
        <f>Tp!AM25</f>
        <v>4.7524456103789782E-2</v>
      </c>
      <c r="V25" s="21">
        <f>Tp!AN25</f>
        <v>7.8412350407398145E-3</v>
      </c>
      <c r="W25" s="21">
        <f>Tp!AO25</f>
        <v>7.7367303252614498E-4</v>
      </c>
      <c r="X25" s="21">
        <f>Tp!AP25</f>
        <v>7.0731723458276313E-3</v>
      </c>
      <c r="Y25" s="21">
        <f>Tp!AQ25</f>
        <v>2.0122268630313124E-3</v>
      </c>
      <c r="Z25" s="21">
        <f>Tp!AR25</f>
        <v>5.7061843244611285E-3</v>
      </c>
      <c r="AA25" s="21">
        <f>Tp!AS25</f>
        <v>4.3270618203472902E-3</v>
      </c>
      <c r="AB25" s="21">
        <f>Tp!AT25</f>
        <v>5.7330102356303305E-3</v>
      </c>
      <c r="AC25" s="21">
        <f>Tp!AU25</f>
        <v>2.1829416290581379E-2</v>
      </c>
      <c r="AD25" s="21">
        <f>Tp!AV25</f>
        <v>0.35954381873517138</v>
      </c>
      <c r="AE25" s="21">
        <f>Tp!AW25</f>
        <v>0.4914412771480432</v>
      </c>
      <c r="AG25" s="83">
        <f t="shared" si="0"/>
        <v>0.99999999999999989</v>
      </c>
    </row>
    <row r="26" spans="2:33" ht="11.1" customHeight="1" x14ac:dyDescent="0.3">
      <c r="B26" s="19">
        <v>18</v>
      </c>
      <c r="C26" s="19">
        <f t="shared" si="1"/>
        <v>89</v>
      </c>
      <c r="E26" s="20">
        <f t="shared" si="2"/>
        <v>0.16070994032977881</v>
      </c>
      <c r="F26" s="20">
        <f t="shared" si="3"/>
        <v>0.21196206263431105</v>
      </c>
      <c r="G26" s="20">
        <f t="shared" si="4"/>
        <v>0.34969455826877838</v>
      </c>
      <c r="H26" s="20">
        <f t="shared" si="5"/>
        <v>0.56923140754809931</v>
      </c>
      <c r="L26" s="21">
        <f>Tp!AD26</f>
        <v>1.1235206585570776E-3</v>
      </c>
      <c r="M26" s="21">
        <f>Tp!AE26</f>
        <v>1.1256881138526178E-4</v>
      </c>
      <c r="N26" s="21">
        <f>Tp!AF26</f>
        <v>8.3242446780364316E-4</v>
      </c>
      <c r="O26" s="21">
        <f>Tp!AG26</f>
        <v>2.7070236004925273E-4</v>
      </c>
      <c r="P26" s="21">
        <f>Tp!AH26</f>
        <v>4.3066154879249559E-4</v>
      </c>
      <c r="Q26" s="21">
        <f>Tp!AI26</f>
        <v>3.0995648507235247E-4</v>
      </c>
      <c r="R26" s="21">
        <f>Tp!AJ26</f>
        <v>3.5932589005529853E-4</v>
      </c>
      <c r="S26" s="21">
        <f>Tp!AK26</f>
        <v>1.1312023502321451E-3</v>
      </c>
      <c r="T26" s="21">
        <f>Tp!AL26</f>
        <v>3.4256191306812199E-2</v>
      </c>
      <c r="U26" s="21">
        <f>Tp!AM26</f>
        <v>4.2708910143607302E-2</v>
      </c>
      <c r="V26" s="21">
        <f>Tp!AN26</f>
        <v>5.5021580912363414E-3</v>
      </c>
      <c r="W26" s="21">
        <f>Tp!AO26</f>
        <v>5.8547328561890709E-4</v>
      </c>
      <c r="X26" s="21">
        <f>Tp!AP26</f>
        <v>4.9117569787699251E-3</v>
      </c>
      <c r="Y26" s="21">
        <f>Tp!AQ26</f>
        <v>1.4254498246111128E-3</v>
      </c>
      <c r="Z26" s="21">
        <f>Tp!AR26</f>
        <v>3.8606063138795018E-3</v>
      </c>
      <c r="AA26" s="21">
        <f>Tp!AS26</f>
        <v>2.8611645603026383E-3</v>
      </c>
      <c r="AB26" s="21">
        <f>Tp!AT26</f>
        <v>3.571872504665946E-3</v>
      </c>
      <c r="AC26" s="21">
        <f>Tp!AU26</f>
        <v>1.266021230508413E-2</v>
      </c>
      <c r="AD26" s="21">
        <f>Tp!AV26</f>
        <v>0.37074086794605349</v>
      </c>
      <c r="AE26" s="21">
        <f>Tp!AW26</f>
        <v>0.51234497416741087</v>
      </c>
      <c r="AG26" s="83">
        <f t="shared" si="0"/>
        <v>0.99999999999999989</v>
      </c>
    </row>
    <row r="27" spans="2:33" ht="11.1" customHeight="1" x14ac:dyDescent="0.3">
      <c r="B27" s="19">
        <v>19</v>
      </c>
      <c r="C27" s="19">
        <f t="shared" si="1"/>
        <v>90</v>
      </c>
      <c r="E27" s="20">
        <f t="shared" si="2"/>
        <v>0.17929445877373706</v>
      </c>
      <c r="F27" s="20">
        <f t="shared" si="3"/>
        <v>0.23559252191517477</v>
      </c>
      <c r="G27" s="20">
        <f t="shared" si="4"/>
        <v>0.38449423321545761</v>
      </c>
      <c r="H27" s="20">
        <f t="shared" si="5"/>
        <v>0.61319047359581413</v>
      </c>
      <c r="L27" s="21">
        <f>Tp!AD27</f>
        <v>7.0119255853578772E-4</v>
      </c>
      <c r="M27" s="21">
        <f>Tp!AE27</f>
        <v>7.5142870726959223E-5</v>
      </c>
      <c r="N27" s="21">
        <f>Tp!AF27</f>
        <v>5.1119175885612955E-4</v>
      </c>
      <c r="O27" s="21">
        <f>Tp!AG27</f>
        <v>1.6844131371096454E-4</v>
      </c>
      <c r="P27" s="21">
        <f>Tp!AH27</f>
        <v>2.5687432778905001E-4</v>
      </c>
      <c r="Q27" s="21">
        <f>Tp!AI27</f>
        <v>1.7920041747694875E-4</v>
      </c>
      <c r="R27" s="21">
        <f>Tp!AJ27</f>
        <v>1.9672675983790366E-4</v>
      </c>
      <c r="S27" s="21">
        <f>Tp!AK27</f>
        <v>5.477163468462664E-4</v>
      </c>
      <c r="T27" s="21">
        <f>Tp!AL27</f>
        <v>3.0344040077384376E-2</v>
      </c>
      <c r="U27" s="21">
        <f>Tp!AM27</f>
        <v>3.7955327268294932E-2</v>
      </c>
      <c r="V27" s="21">
        <f>Tp!AN27</f>
        <v>3.7702969272054498E-3</v>
      </c>
      <c r="W27" s="21">
        <f>Tp!AO27</f>
        <v>4.2967814491590335E-4</v>
      </c>
      <c r="X27" s="21">
        <f>Tp!AP27</f>
        <v>3.3253825448901005E-3</v>
      </c>
      <c r="Y27" s="21">
        <f>Tp!AQ27</f>
        <v>9.789407421915944E-4</v>
      </c>
      <c r="Z27" s="21">
        <f>Tp!AR27</f>
        <v>2.5388131746568732E-3</v>
      </c>
      <c r="AA27" s="21">
        <f>Tp!AS27</f>
        <v>1.8182409459362153E-3</v>
      </c>
      <c r="AB27" s="21">
        <f>Tp!AT27</f>
        <v>2.1525069014048299E-3</v>
      </c>
      <c r="AC27" s="21">
        <f>Tp!AU27</f>
        <v>6.8468227329579858E-3</v>
      </c>
      <c r="AD27" s="21">
        <f>Tp!AV27</f>
        <v>0.37974634861379369</v>
      </c>
      <c r="AE27" s="21">
        <f>Tp!AW27</f>
        <v>0.5274571155725879</v>
      </c>
      <c r="AG27" s="83">
        <f t="shared" si="0"/>
        <v>0.99999999999999989</v>
      </c>
    </row>
    <row r="28" spans="2:33" ht="11.1" customHeight="1" x14ac:dyDescent="0.3">
      <c r="B28" s="19">
        <v>20</v>
      </c>
      <c r="C28" s="19">
        <f t="shared" si="1"/>
        <v>91</v>
      </c>
      <c r="E28" s="20">
        <f t="shared" si="2"/>
        <v>0.19916275711288256</v>
      </c>
      <c r="F28" s="20">
        <f t="shared" si="3"/>
        <v>0.26064325341587646</v>
      </c>
      <c r="G28" s="20">
        <f t="shared" si="4"/>
        <v>0.42044965421804492</v>
      </c>
      <c r="H28" s="20">
        <f t="shared" si="5"/>
        <v>0.65617648638428305</v>
      </c>
      <c r="L28" s="21">
        <f>Tp!AD28</f>
        <v>4.2768995403440397E-4</v>
      </c>
      <c r="M28" s="21">
        <f>Tp!AE28</f>
        <v>4.8721808116560014E-5</v>
      </c>
      <c r="N28" s="21">
        <f>Tp!AF28</f>
        <v>3.0628782711166798E-4</v>
      </c>
      <c r="O28" s="21">
        <f>Tp!AG28</f>
        <v>1.01830547899157E-4</v>
      </c>
      <c r="P28" s="21">
        <f>Tp!AH28</f>
        <v>1.4919679999225653E-4</v>
      </c>
      <c r="Q28" s="21">
        <f>Tp!AI28</f>
        <v>1.0045009899086473E-4</v>
      </c>
      <c r="R28" s="21">
        <f>Tp!AJ28</f>
        <v>1.0475265101795693E-4</v>
      </c>
      <c r="S28" s="21">
        <f>Tp!AK28</f>
        <v>2.5140084280302619E-4</v>
      </c>
      <c r="T28" s="21">
        <f>Tp!AL28</f>
        <v>2.6756173888876522E-2</v>
      </c>
      <c r="U28" s="21">
        <f>Tp!AM28</f>
        <v>3.3467688299687194E-2</v>
      </c>
      <c r="V28" s="21">
        <f>Tp!AN28</f>
        <v>2.5185856565791897E-3</v>
      </c>
      <c r="W28" s="21">
        <f>Tp!AO28</f>
        <v>3.0545598246301594E-4</v>
      </c>
      <c r="X28" s="21">
        <f>Tp!AP28</f>
        <v>2.191389790894956E-3</v>
      </c>
      <c r="Y28" s="21">
        <f>Tp!AQ28</f>
        <v>6.5119302713959656E-4</v>
      </c>
      <c r="Z28" s="21">
        <f>Tp!AR28</f>
        <v>1.6207770815366105E-3</v>
      </c>
      <c r="AA28" s="21">
        <f>Tp!AS28</f>
        <v>1.1127224903965537E-3</v>
      </c>
      <c r="AB28" s="21">
        <f>Tp!AT28</f>
        <v>1.2558539112075371E-3</v>
      </c>
      <c r="AC28" s="21">
        <f>Tp!AU28</f>
        <v>3.4667332221611003E-3</v>
      </c>
      <c r="AD28" s="21">
        <f>Tp!AV28</f>
        <v>0.38693725058234635</v>
      </c>
      <c r="AE28" s="21">
        <f>Tp!AW28</f>
        <v>0.53822584553674535</v>
      </c>
      <c r="AG28" s="83">
        <f t="shared" si="0"/>
        <v>0.99999999999999989</v>
      </c>
    </row>
    <row r="29" spans="2:33" ht="11.1" customHeight="1" x14ac:dyDescent="0.3">
      <c r="B29" s="19">
        <v>21</v>
      </c>
      <c r="C29" s="19">
        <f t="shared" si="1"/>
        <v>92</v>
      </c>
      <c r="E29" s="20">
        <f t="shared" si="2"/>
        <v>0.22026361009796191</v>
      </c>
      <c r="F29" s="20">
        <f t="shared" si="3"/>
        <v>0.28700427627571667</v>
      </c>
      <c r="G29" s="20">
        <f t="shared" si="4"/>
        <v>0.4572389937665472</v>
      </c>
      <c r="H29" s="20">
        <f t="shared" si="5"/>
        <v>0.69759345014968455</v>
      </c>
      <c r="L29" s="21">
        <f>Tp!AD29</f>
        <v>2.5440184447870091E-4</v>
      </c>
      <c r="M29" s="21">
        <f>Tp!AE29</f>
        <v>3.0634922468890362E-5</v>
      </c>
      <c r="N29" s="21">
        <f>Tp!AF29</f>
        <v>1.7867866087114328E-4</v>
      </c>
      <c r="O29" s="21">
        <f>Tp!AG29</f>
        <v>5.971717758183682E-5</v>
      </c>
      <c r="P29" s="21">
        <f>Tp!AH29</f>
        <v>8.4221319056165581E-5</v>
      </c>
      <c r="Q29" s="21">
        <f>Tp!AI29</f>
        <v>5.4633602470046924E-5</v>
      </c>
      <c r="R29" s="21">
        <f>Tp!AJ29</f>
        <v>5.4218492870024336E-5</v>
      </c>
      <c r="S29" s="21">
        <f>Tp!AK29</f>
        <v>1.1035089623313428E-4</v>
      </c>
      <c r="T29" s="21">
        <f>Tp!AL29</f>
        <v>2.3507082122293962E-2</v>
      </c>
      <c r="U29" s="21">
        <f>Tp!AM29</f>
        <v>2.9357408626796859E-2</v>
      </c>
      <c r="V29" s="21">
        <f>Tp!AN29</f>
        <v>1.6370197111968735E-3</v>
      </c>
      <c r="W29" s="21">
        <f>Tp!AO29</f>
        <v>2.1005271754543744E-4</v>
      </c>
      <c r="X29" s="21">
        <f>Tp!AP29</f>
        <v>1.4031057461161651E-3</v>
      </c>
      <c r="Y29" s="21">
        <f>Tp!AQ29</f>
        <v>4.1918612967256288E-4</v>
      </c>
      <c r="Z29" s="21">
        <f>Tp!AR29</f>
        <v>1.0029840880995562E-3</v>
      </c>
      <c r="AA29" s="21">
        <f>Tp!AS29</f>
        <v>6.5713839512442616E-4</v>
      </c>
      <c r="AB29" s="21">
        <f>Tp!AT29</f>
        <v>7.096870925775502E-4</v>
      </c>
      <c r="AC29" s="21">
        <f>Tp!AU29</f>
        <v>1.65559707985457E-3</v>
      </c>
      <c r="AD29" s="21">
        <f>Tp!AV29</f>
        <v>0.39266281070226638</v>
      </c>
      <c r="AE29" s="21">
        <f>Tp!AW29</f>
        <v>0.54595107067242565</v>
      </c>
      <c r="AG29" s="83">
        <f t="shared" si="0"/>
        <v>1</v>
      </c>
    </row>
    <row r="30" spans="2:33" ht="11.1" customHeight="1" x14ac:dyDescent="0.3">
      <c r="B30" s="19">
        <v>22</v>
      </c>
      <c r="C30" s="19">
        <f t="shared" si="1"/>
        <v>93</v>
      </c>
      <c r="E30" s="20">
        <f t="shared" si="2"/>
        <v>0.24252778516240336</v>
      </c>
      <c r="F30" s="20">
        <f t="shared" si="3"/>
        <v>0.31454168523303749</v>
      </c>
      <c r="G30" s="20">
        <f t="shared" si="4"/>
        <v>0.49451566511171885</v>
      </c>
      <c r="H30" s="20">
        <f t="shared" si="5"/>
        <v>0.73690436438464824</v>
      </c>
      <c r="L30" s="21">
        <f>Tp!AD30</f>
        <v>1.4724543999254414E-4</v>
      </c>
      <c r="M30" s="21">
        <f>Tp!AE30</f>
        <v>1.8646996954491642E-5</v>
      </c>
      <c r="N30" s="21">
        <f>Tp!AF30</f>
        <v>1.0126815154670705E-4</v>
      </c>
      <c r="O30" s="21">
        <f>Tp!AG30</f>
        <v>3.3914887785533795E-5</v>
      </c>
      <c r="P30" s="21">
        <f>Tp!AH30</f>
        <v>4.6115331856887464E-5</v>
      </c>
      <c r="Q30" s="21">
        <f>Tp!AI30</f>
        <v>2.8832327498633624E-5</v>
      </c>
      <c r="R30" s="21">
        <f>Tp!AJ30</f>
        <v>2.7251515595362534E-5</v>
      </c>
      <c r="S30" s="21">
        <f>Tp!AK30</f>
        <v>4.6829115241975829E-5</v>
      </c>
      <c r="T30" s="21">
        <f>Tp!AL30</f>
        <v>2.0594319586947414E-2</v>
      </c>
      <c r="U30" s="21">
        <f>Tp!AM30</f>
        <v>2.5667049115235516E-2</v>
      </c>
      <c r="V30" s="21">
        <f>Tp!AN30</f>
        <v>1.0332255268867879E-3</v>
      </c>
      <c r="W30" s="21">
        <f>Tp!AO30</f>
        <v>1.3951836997455098E-4</v>
      </c>
      <c r="X30" s="21">
        <f>Tp!AP30</f>
        <v>8.7121362035033612E-4</v>
      </c>
      <c r="Y30" s="21">
        <f>Tp!AQ30</f>
        <v>2.6085650434344744E-4</v>
      </c>
      <c r="Z30" s="21">
        <f>Tp!AR30</f>
        <v>6.0068496315859767E-4</v>
      </c>
      <c r="AA30" s="21">
        <f>Tp!AS30</f>
        <v>3.7514723328848786E-4</v>
      </c>
      <c r="AB30" s="21">
        <f>Tp!AT30</f>
        <v>3.8841342199513366E-4</v>
      </c>
      <c r="AC30" s="21">
        <f>Tp!AU30</f>
        <v>7.5404032240408811E-4</v>
      </c>
      <c r="AD30" s="21">
        <f>Tp!AV30</f>
        <v>0.39722784691207541</v>
      </c>
      <c r="AE30" s="21">
        <f>Tp!AW30</f>
        <v>0.55163758065686808</v>
      </c>
      <c r="AG30" s="83">
        <f t="shared" si="0"/>
        <v>1</v>
      </c>
    </row>
    <row r="31" spans="2:33" ht="11.1" customHeight="1" x14ac:dyDescent="0.3">
      <c r="B31" s="19">
        <v>23</v>
      </c>
      <c r="C31" s="19">
        <f t="shared" si="1"/>
        <v>94</v>
      </c>
      <c r="E31" s="20">
        <f t="shared" si="2"/>
        <v>0.2658525512412393</v>
      </c>
      <c r="F31" s="20">
        <f t="shared" si="3"/>
        <v>0.34308016776870653</v>
      </c>
      <c r="G31" s="20">
        <f t="shared" si="4"/>
        <v>0.53189321895491859</v>
      </c>
      <c r="H31" s="20">
        <f t="shared" si="5"/>
        <v>0.77363048563701819</v>
      </c>
      <c r="L31" s="21">
        <f>Tp!AD31</f>
        <v>8.2736202353469391E-5</v>
      </c>
      <c r="M31" s="21">
        <f>Tp!AE31</f>
        <v>1.0967201037040664E-5</v>
      </c>
      <c r="N31" s="21">
        <f>Tp!AF31</f>
        <v>5.5637247235752497E-5</v>
      </c>
      <c r="O31" s="21">
        <f>Tp!AG31</f>
        <v>1.8620066726738231E-5</v>
      </c>
      <c r="P31" s="21">
        <f>Tp!AH31</f>
        <v>2.4442195122310772E-5</v>
      </c>
      <c r="Q31" s="21">
        <f>Tp!AI31</f>
        <v>1.4751278998762747E-5</v>
      </c>
      <c r="R31" s="21">
        <f>Tp!AJ31</f>
        <v>1.3283390989487002E-5</v>
      </c>
      <c r="S31" s="21">
        <f>Tp!AK31</f>
        <v>1.9418292811836463E-5</v>
      </c>
      <c r="T31" s="21">
        <f>Tp!AL31</f>
        <v>1.8003835610807761E-2</v>
      </c>
      <c r="U31" s="21">
        <f>Tp!AM31</f>
        <v>2.2395289561646745E-2</v>
      </c>
      <c r="V31" s="21">
        <f>Tp!AN31</f>
        <v>6.3192546516245877E-4</v>
      </c>
      <c r="W31" s="21">
        <f>Tp!AO31</f>
        <v>8.9362905296033168E-5</v>
      </c>
      <c r="X31" s="21">
        <f>Tp!AP31</f>
        <v>5.2354212727545319E-4</v>
      </c>
      <c r="Y31" s="21">
        <f>Tp!AQ31</f>
        <v>1.5673803109852381E-4</v>
      </c>
      <c r="Z31" s="21">
        <f>Tp!AR31</f>
        <v>3.4756483252988522E-4</v>
      </c>
      <c r="AA31" s="21">
        <f>Tp!AS31</f>
        <v>2.0719590226973887E-4</v>
      </c>
      <c r="AB31" s="21">
        <f>Tp!AT31</f>
        <v>2.0575498735424922E-4</v>
      </c>
      <c r="AC31" s="21">
        <f>Tp!AU31</f>
        <v>3.3190656179172168E-4</v>
      </c>
      <c r="AD31" s="21">
        <f>Tp!AV31</f>
        <v>0.40088696145365116</v>
      </c>
      <c r="AE31" s="21">
        <f>Tp!AW31</f>
        <v>0.55598006668584077</v>
      </c>
      <c r="AG31" s="83">
        <f t="shared" si="0"/>
        <v>0.99999999999999989</v>
      </c>
    </row>
    <row r="32" spans="2:33" ht="11.1" customHeight="1" x14ac:dyDescent="0.3">
      <c r="B32" s="19">
        <v>24</v>
      </c>
      <c r="C32" s="19">
        <f t="shared" si="1"/>
        <v>95</v>
      </c>
      <c r="E32" s="20">
        <f t="shared" si="2"/>
        <v>0.2901356088312298</v>
      </c>
      <c r="F32" s="20">
        <f t="shared" si="3"/>
        <v>0.37244650692233439</v>
      </c>
      <c r="G32" s="20">
        <f t="shared" si="4"/>
        <v>0.56901131027435059</v>
      </c>
      <c r="H32" s="20">
        <f t="shared" si="5"/>
        <v>0.80742606938445349</v>
      </c>
      <c r="L32" s="21">
        <f>Tp!AD32</f>
        <v>4.5026456458286485E-5</v>
      </c>
      <c r="M32" s="21">
        <f>Tp!AE32</f>
        <v>6.2207619168912135E-6</v>
      </c>
      <c r="N32" s="21">
        <f>Tp!AF32</f>
        <v>2.9565039915061063E-5</v>
      </c>
      <c r="O32" s="21">
        <f>Tp!AG32</f>
        <v>9.8642596363374887E-6</v>
      </c>
      <c r="P32" s="21">
        <f>Tp!AH32</f>
        <v>1.2514528422246097E-5</v>
      </c>
      <c r="Q32" s="21">
        <f>Tp!AI32</f>
        <v>7.3043993274895923E-6</v>
      </c>
      <c r="R32" s="21">
        <f>Tp!AJ32</f>
        <v>6.2691127121049984E-6</v>
      </c>
      <c r="S32" s="21">
        <f>Tp!AK32</f>
        <v>7.9261141029901975E-6</v>
      </c>
      <c r="T32" s="21">
        <f>Tp!AL32</f>
        <v>1.5714278082139252E-2</v>
      </c>
      <c r="U32" s="21">
        <f>Tp!AM32</f>
        <v>1.9516944756894358E-2</v>
      </c>
      <c r="V32" s="21">
        <f>Tp!AN32</f>
        <v>3.7370175119893286E-4</v>
      </c>
      <c r="W32" s="21">
        <f>Tp!AO32</f>
        <v>5.5102218041698163E-5</v>
      </c>
      <c r="X32" s="21">
        <f>Tp!AP32</f>
        <v>3.0386289960125515E-4</v>
      </c>
      <c r="Y32" s="21">
        <f>Tp!AQ32</f>
        <v>9.0807742532426089E-5</v>
      </c>
      <c r="Z32" s="21">
        <f>Tp!AR32</f>
        <v>1.939508133500096E-4</v>
      </c>
      <c r="AA32" s="21">
        <f>Tp!AS32</f>
        <v>1.1068416792727488E-4</v>
      </c>
      <c r="AB32" s="21">
        <f>Tp!AT32</f>
        <v>1.0538428784864747E-4</v>
      </c>
      <c r="AC32" s="21">
        <f>Tp!AU32</f>
        <v>1.4295704915729174E-4</v>
      </c>
      <c r="AD32" s="21">
        <f>Tp!AV32</f>
        <v>0.40384533538759826</v>
      </c>
      <c r="AE32" s="21">
        <f>Tp!AW32</f>
        <v>0.55942230017121908</v>
      </c>
      <c r="AG32" s="83">
        <f t="shared" si="0"/>
        <v>0.99999999999999989</v>
      </c>
    </row>
    <row r="33" spans="2:33" ht="11.1" customHeight="1" x14ac:dyDescent="0.3">
      <c r="B33" s="19">
        <v>25</v>
      </c>
      <c r="C33" s="19">
        <f t="shared" si="1"/>
        <v>96</v>
      </c>
      <c r="E33" s="20">
        <f t="shared" si="2"/>
        <v>0.31521903880574009</v>
      </c>
      <c r="F33" s="20">
        <f t="shared" si="3"/>
        <v>0.402403586712895</v>
      </c>
      <c r="G33" s="20">
        <f t="shared" si="4"/>
        <v>0.6054592744885694</v>
      </c>
      <c r="H33" s="20">
        <f t="shared" si="5"/>
        <v>0.83800782838120458</v>
      </c>
      <c r="L33" s="21">
        <f>Tp!AD33</f>
        <v>2.3676903860131534E-5</v>
      </c>
      <c r="M33" s="21">
        <f>Tp!AE33</f>
        <v>3.396130551474623E-6</v>
      </c>
      <c r="N33" s="21">
        <f>Tp!AF33</f>
        <v>1.5160865970576626E-5</v>
      </c>
      <c r="O33" s="21">
        <f>Tp!AG33</f>
        <v>5.0325541349239806E-6</v>
      </c>
      <c r="P33" s="21">
        <f>Tp!AH33</f>
        <v>6.1767361313076673E-6</v>
      </c>
      <c r="Q33" s="21">
        <f>Tp!AI33</f>
        <v>3.4927111125073258E-6</v>
      </c>
      <c r="R33" s="21">
        <f>Tp!AJ33</f>
        <v>2.8593760008951117E-6</v>
      </c>
      <c r="S33" s="21">
        <f>Tp!AK33</f>
        <v>3.1909252187853393E-6</v>
      </c>
      <c r="T33" s="21">
        <f>Tp!AL33</f>
        <v>1.3700318141620369E-2</v>
      </c>
      <c r="U33" s="21">
        <f>Tp!AM33</f>
        <v>1.6996340410425796E-2</v>
      </c>
      <c r="V33" s="21">
        <f>Tp!AN33</f>
        <v>2.1320772190717196E-4</v>
      </c>
      <c r="W33" s="21">
        <f>Tp!AO33</f>
        <v>3.26503370299053E-5</v>
      </c>
      <c r="X33" s="21">
        <f>Tp!AP33</f>
        <v>1.6997326816794891E-4</v>
      </c>
      <c r="Y33" s="21">
        <f>Tp!AQ33</f>
        <v>5.0645905394598643E-5</v>
      </c>
      <c r="Z33" s="21">
        <f>Tp!AR33</f>
        <v>1.0418565119465604E-4</v>
      </c>
      <c r="AA33" s="21">
        <f>Tp!AS33</f>
        <v>5.7114446400439843E-5</v>
      </c>
      <c r="AB33" s="21">
        <f>Tp!AT33</f>
        <v>5.2110565576368359E-5</v>
      </c>
      <c r="AC33" s="21">
        <f>Tp!AU33</f>
        <v>6.0711743277569012E-5</v>
      </c>
      <c r="AD33" s="21">
        <f>Tp!AV33</f>
        <v>0.40626357776046135</v>
      </c>
      <c r="AE33" s="21">
        <f>Tp!AW33</f>
        <v>0.56223617784556312</v>
      </c>
      <c r="AG33" s="83">
        <f t="shared" si="0"/>
        <v>0.99999999999999989</v>
      </c>
    </row>
    <row r="34" spans="2:33" ht="11.1" customHeight="1" x14ac:dyDescent="0.3">
      <c r="B34" s="19">
        <v>26</v>
      </c>
      <c r="C34" s="19">
        <f t="shared" si="1"/>
        <v>97</v>
      </c>
      <c r="E34" s="20">
        <f t="shared" si="2"/>
        <v>0.3409522379612544</v>
      </c>
      <c r="F34" s="20">
        <f t="shared" si="3"/>
        <v>0.43272909710547069</v>
      </c>
      <c r="G34" s="20">
        <f t="shared" si="4"/>
        <v>0.64088423924472204</v>
      </c>
      <c r="H34" s="20">
        <f t="shared" si="5"/>
        <v>0.86524952291683888</v>
      </c>
      <c r="L34" s="21">
        <f>Tp!AD34</f>
        <v>1.2001754299435276E-5</v>
      </c>
      <c r="M34" s="21">
        <f>Tp!AE34</f>
        <v>1.780935978022623E-6</v>
      </c>
      <c r="N34" s="21">
        <f>Tp!AF34</f>
        <v>7.4857906265244312E-6</v>
      </c>
      <c r="O34" s="21">
        <f>Tp!AG34</f>
        <v>2.4677539176677164E-6</v>
      </c>
      <c r="P34" s="21">
        <f>Tp!AH34</f>
        <v>2.9329139567300845E-6</v>
      </c>
      <c r="Q34" s="21">
        <f>Tp!AI34</f>
        <v>1.6088385211097408E-6</v>
      </c>
      <c r="R34" s="21">
        <f>Tp!AJ34</f>
        <v>1.2580279275233142E-6</v>
      </c>
      <c r="S34" s="21">
        <f>Tp!AK34</f>
        <v>1.2634690958773354E-6</v>
      </c>
      <c r="T34" s="21">
        <f>Tp!AL34</f>
        <v>1.1935077443385478E-2</v>
      </c>
      <c r="U34" s="21">
        <f>Tp!AM34</f>
        <v>1.4795014009164919E-2</v>
      </c>
      <c r="V34" s="21">
        <f>Tp!AN34</f>
        <v>1.1709348194295553E-4</v>
      </c>
      <c r="W34" s="21">
        <f>Tp!AO34</f>
        <v>1.8557604112537923E-5</v>
      </c>
      <c r="X34" s="21">
        <f>Tp!AP34</f>
        <v>9.1442573775232021E-5</v>
      </c>
      <c r="Y34" s="21">
        <f>Tp!AQ34</f>
        <v>2.7144383882690169E-5</v>
      </c>
      <c r="Z34" s="21">
        <f>Tp!AR34</f>
        <v>5.3776933832728113E-5</v>
      </c>
      <c r="AA34" s="21">
        <f>Tp!AS34</f>
        <v>2.8413376482539145E-5</v>
      </c>
      <c r="AB34" s="21">
        <f>Tp!AT34</f>
        <v>2.4836908774895611E-5</v>
      </c>
      <c r="AC34" s="21">
        <f>Tp!AU34</f>
        <v>2.5452892079955892E-5</v>
      </c>
      <c r="AD34" s="21">
        <f>Tp!AV34</f>
        <v>0.40826431984715778</v>
      </c>
      <c r="AE34" s="21">
        <f>Tp!AW34</f>
        <v>0.56458807106108533</v>
      </c>
      <c r="AG34" s="83">
        <f t="shared" si="0"/>
        <v>1</v>
      </c>
    </row>
    <row r="35" spans="2:33" ht="11.1" customHeight="1" x14ac:dyDescent="0.3">
      <c r="B35" s="19">
        <v>27</v>
      </c>
      <c r="C35" s="19">
        <f t="shared" si="1"/>
        <v>98</v>
      </c>
      <c r="E35" s="20">
        <f t="shared" si="2"/>
        <v>0.36713684560572502</v>
      </c>
      <c r="F35" s="20">
        <f t="shared" si="3"/>
        <v>0.46315234601266697</v>
      </c>
      <c r="G35" s="20">
        <f t="shared" si="4"/>
        <v>0.67492092832184647</v>
      </c>
      <c r="H35" s="20">
        <f t="shared" si="5"/>
        <v>0.8891098991545856</v>
      </c>
      <c r="L35" s="21">
        <f>Tp!AD35</f>
        <v>5.8507599474980872E-6</v>
      </c>
      <c r="M35" s="21">
        <f>Tp!AE35</f>
        <v>8.9528306066947207E-7</v>
      </c>
      <c r="N35" s="21">
        <f>Tp!AF35</f>
        <v>3.5511489296550446E-6</v>
      </c>
      <c r="O35" s="21">
        <f>Tp!AG35</f>
        <v>1.1607871870741975E-6</v>
      </c>
      <c r="P35" s="21">
        <f>Tp!AH35</f>
        <v>1.3371304896263148E-6</v>
      </c>
      <c r="Q35" s="21">
        <f>Tp!AI35</f>
        <v>7.1218220303099057E-7</v>
      </c>
      <c r="R35" s="21">
        <f>Tp!AJ35</f>
        <v>5.3286548269609268E-7</v>
      </c>
      <c r="S35" s="21">
        <f>Tp!AK35</f>
        <v>4.8936052890474934E-7</v>
      </c>
      <c r="T35" s="21">
        <f>Tp!AL35</f>
        <v>1.0391826776148611E-2</v>
      </c>
      <c r="U35" s="21">
        <f>Tp!AM35</f>
        <v>1.2875618821101996E-2</v>
      </c>
      <c r="V35" s="21">
        <f>Tp!AN35</f>
        <v>6.1765894716619453E-5</v>
      </c>
      <c r="W35" s="21">
        <f>Tp!AO35</f>
        <v>1.0098682020566488E-5</v>
      </c>
      <c r="X35" s="21">
        <f>Tp!AP35</f>
        <v>4.7214098165658164E-5</v>
      </c>
      <c r="Y35" s="21">
        <f>Tp!AQ35</f>
        <v>1.3954724308578122E-5</v>
      </c>
      <c r="Z35" s="21">
        <f>Tp!AR35</f>
        <v>2.6623440922914908E-5</v>
      </c>
      <c r="AA35" s="21">
        <f>Tp!AS35</f>
        <v>1.3596845096532992E-5</v>
      </c>
      <c r="AB35" s="21">
        <f>Tp!AT35</f>
        <v>1.1389861587682468E-5</v>
      </c>
      <c r="AC35" s="21">
        <f>Tp!AU35</f>
        <v>1.0491416256528742E-5</v>
      </c>
      <c r="AD35" s="21">
        <f>Tp!AV35</f>
        <v>0.40993948283807413</v>
      </c>
      <c r="AE35" s="21">
        <f>Tp!AW35</f>
        <v>0.56658340708377097</v>
      </c>
      <c r="AG35" s="83">
        <f t="shared" si="0"/>
        <v>1</v>
      </c>
    </row>
    <row r="36" spans="2:33" ht="11.1" customHeight="1" x14ac:dyDescent="0.3">
      <c r="B36" s="19">
        <v>28</v>
      </c>
      <c r="C36" s="19">
        <f t="shared" si="1"/>
        <v>99</v>
      </c>
      <c r="E36" s="20">
        <f t="shared" si="2"/>
        <v>0.39356086132689128</v>
      </c>
      <c r="F36" s="20">
        <f t="shared" si="3"/>
        <v>0.49339807318142703</v>
      </c>
      <c r="G36" s="20">
        <f t="shared" si="4"/>
        <v>0.70725132923122391</v>
      </c>
      <c r="H36" s="20">
        <f t="shared" si="5"/>
        <v>0.90966534992871451</v>
      </c>
      <c r="L36" s="21">
        <f>Tp!AD36</f>
        <v>2.7368695395402949E-6</v>
      </c>
      <c r="M36" s="21">
        <f>Tp!AE36</f>
        <v>4.3060181665423239E-7</v>
      </c>
      <c r="N36" s="21">
        <f>Tp!AF36</f>
        <v>1.6151782754022689E-6</v>
      </c>
      <c r="O36" s="21">
        <f>Tp!AG36</f>
        <v>5.2280076772715304E-7</v>
      </c>
      <c r="P36" s="21">
        <f>Tp!AH36</f>
        <v>5.8423043652200854E-7</v>
      </c>
      <c r="Q36" s="21">
        <f>Tp!AI36</f>
        <v>3.0232472978126865E-7</v>
      </c>
      <c r="R36" s="21">
        <f>Tp!AJ36</f>
        <v>2.1690421420844774E-7</v>
      </c>
      <c r="S36" s="21">
        <f>Tp!AK36</f>
        <v>1.8434808948057498E-7</v>
      </c>
      <c r="T36" s="21">
        <f>Tp!AL36</f>
        <v>9.0450819679418447E-3</v>
      </c>
      <c r="U36" s="21">
        <f>Tp!AM36</f>
        <v>1.120364312430823E-2</v>
      </c>
      <c r="V36" s="21">
        <f>Tp!AN36</f>
        <v>3.1226345071580307E-5</v>
      </c>
      <c r="W36" s="21">
        <f>Tp!AO36</f>
        <v>5.2520463080766172E-6</v>
      </c>
      <c r="X36" s="21">
        <f>Tp!AP36</f>
        <v>2.3349838970195378E-5</v>
      </c>
      <c r="Y36" s="21">
        <f>Tp!AQ36</f>
        <v>6.8686107148827374E-6</v>
      </c>
      <c r="Z36" s="21">
        <f>Tp!AR36</f>
        <v>1.2620293912189796E-5</v>
      </c>
      <c r="AA36" s="21">
        <f>Tp!AS36</f>
        <v>6.2452520682967829E-6</v>
      </c>
      <c r="AB36" s="21">
        <f>Tp!AT36</f>
        <v>5.0170699205460186E-6</v>
      </c>
      <c r="AC36" s="21">
        <f>Tp!AU36</f>
        <v>4.2257144001386608E-6</v>
      </c>
      <c r="AD36" s="21">
        <f>Tp!AV36</f>
        <v>0.41135711410495351</v>
      </c>
      <c r="AE36" s="21">
        <f>Tp!AW36</f>
        <v>0.56829276237356119</v>
      </c>
      <c r="AG36" s="83">
        <f t="shared" si="0"/>
        <v>1</v>
      </c>
    </row>
    <row r="37" spans="2:33" ht="11.1" customHeight="1" x14ac:dyDescent="0.3">
      <c r="B37" s="19">
        <v>29</v>
      </c>
      <c r="C37" s="19">
        <f t="shared" si="1"/>
        <v>100</v>
      </c>
      <c r="E37" s="20">
        <f t="shared" si="2"/>
        <v>1</v>
      </c>
      <c r="F37" s="20">
        <f t="shared" si="3"/>
        <v>1</v>
      </c>
      <c r="G37" s="20">
        <f t="shared" si="4"/>
        <v>1</v>
      </c>
      <c r="H37" s="20">
        <f t="shared" si="5"/>
        <v>1</v>
      </c>
      <c r="L37" s="21">
        <f>Tp!AD37</f>
        <v>1.2259034014509192E-6</v>
      </c>
      <c r="M37" s="21">
        <f>Tp!AE37</f>
        <v>1.977878805634679E-7</v>
      </c>
      <c r="N37" s="21">
        <f>Tp!AF37</f>
        <v>7.030158200107627E-7</v>
      </c>
      <c r="O37" s="21">
        <f>Tp!AG37</f>
        <v>2.250704802560761E-7</v>
      </c>
      <c r="P37" s="21">
        <f>Tp!AH37</f>
        <v>2.4423430539474722E-7</v>
      </c>
      <c r="Q37" s="21">
        <f>Tp!AI37</f>
        <v>1.2285077284446153E-7</v>
      </c>
      <c r="R37" s="21">
        <f>Tp!AJ37</f>
        <v>8.470864088718289E-8</v>
      </c>
      <c r="S37" s="21">
        <f>Tp!AK37</f>
        <v>6.7226629531794113E-8</v>
      </c>
      <c r="T37" s="21">
        <f>Tp!AL37</f>
        <v>7.8712464822097462E-3</v>
      </c>
      <c r="U37" s="21">
        <f>Tp!AM37</f>
        <v>9.7480096844631842E-3</v>
      </c>
      <c r="V37" s="21">
        <f>Tp!AN37</f>
        <v>1.5099931112318436E-5</v>
      </c>
      <c r="W37" s="21">
        <f>Tp!AO37</f>
        <v>2.6059477829951441E-6</v>
      </c>
      <c r="X37" s="21">
        <f>Tp!AP37</f>
        <v>1.1040252088721538E-5</v>
      </c>
      <c r="Y37" s="21">
        <f>Tp!AQ37</f>
        <v>3.231216360646263E-6</v>
      </c>
      <c r="Z37" s="21">
        <f>Tp!AR37</f>
        <v>5.7191318387896732E-6</v>
      </c>
      <c r="AA37" s="21">
        <f>Tp!AS37</f>
        <v>2.748047450845112E-6</v>
      </c>
      <c r="AB37" s="21">
        <f>Tp!AT37</f>
        <v>2.119372852168799E-6</v>
      </c>
      <c r="AC37" s="21">
        <f>Tp!AU37</f>
        <v>1.6535266000860527E-6</v>
      </c>
      <c r="AD37" s="21">
        <f>Tp!AV37</f>
        <v>0.41256741444145961</v>
      </c>
      <c r="AE37" s="21">
        <f>Tp!AW37</f>
        <v>0.56976624116784991</v>
      </c>
      <c r="AG37" s="83">
        <f t="shared" si="0"/>
        <v>1</v>
      </c>
    </row>
    <row r="38" spans="2:33" ht="11.1" customHeight="1" x14ac:dyDescent="0.3">
      <c r="B38" s="19">
        <v>30</v>
      </c>
      <c r="C38" s="19">
        <f t="shared" si="1"/>
        <v>101</v>
      </c>
      <c r="E38" s="20">
        <f t="shared" si="2"/>
        <v>1</v>
      </c>
      <c r="F38" s="20">
        <f t="shared" si="3"/>
        <v>1</v>
      </c>
      <c r="G38" s="20">
        <f t="shared" si="4"/>
        <v>1</v>
      </c>
      <c r="H38" s="20">
        <f t="shared" si="5"/>
        <v>1</v>
      </c>
      <c r="L38" s="21">
        <f>Tp!AD38</f>
        <v>0</v>
      </c>
      <c r="M38" s="21">
        <f>Tp!AE38</f>
        <v>0</v>
      </c>
      <c r="N38" s="21">
        <f>Tp!AF38</f>
        <v>0</v>
      </c>
      <c r="O38" s="21">
        <f>Tp!AG38</f>
        <v>0</v>
      </c>
      <c r="P38" s="21">
        <f>Tp!AH38</f>
        <v>0</v>
      </c>
      <c r="Q38" s="21">
        <f>Tp!AI38</f>
        <v>0</v>
      </c>
      <c r="R38" s="21">
        <f>Tp!AJ38</f>
        <v>0</v>
      </c>
      <c r="S38" s="21">
        <f>Tp!AK38</f>
        <v>0</v>
      </c>
      <c r="T38" s="21">
        <f>Tp!AL38</f>
        <v>6.8498652782645964E-3</v>
      </c>
      <c r="U38" s="21">
        <f>Tp!AM38</f>
        <v>8.4813851809407721E-3</v>
      </c>
      <c r="V38" s="21">
        <f>Tp!AN38</f>
        <v>0</v>
      </c>
      <c r="W38" s="21">
        <f>Tp!AO38</f>
        <v>0</v>
      </c>
      <c r="X38" s="21">
        <f>Tp!AP38</f>
        <v>0</v>
      </c>
      <c r="Y38" s="21">
        <f>Tp!AQ38</f>
        <v>0</v>
      </c>
      <c r="Z38" s="21">
        <f>Tp!AR38</f>
        <v>0</v>
      </c>
      <c r="AA38" s="21">
        <f>Tp!AS38</f>
        <v>0</v>
      </c>
      <c r="AB38" s="21">
        <f>Tp!AT38</f>
        <v>0</v>
      </c>
      <c r="AC38" s="21">
        <f>Tp!AU38</f>
        <v>0</v>
      </c>
      <c r="AD38" s="21">
        <f>Tp!AV38</f>
        <v>0.41362294674327654</v>
      </c>
      <c r="AE38" s="21">
        <f>Tp!AW38</f>
        <v>0.57104580279751804</v>
      </c>
      <c r="AG38" s="83">
        <f t="shared" si="0"/>
        <v>1</v>
      </c>
    </row>
    <row r="39" spans="2:33" ht="11.1" customHeight="1" x14ac:dyDescent="0.3">
      <c r="B39" s="19">
        <v>31</v>
      </c>
      <c r="C39" s="19">
        <f t="shared" si="1"/>
        <v>102</v>
      </c>
      <c r="E39" s="20">
        <f t="shared" si="2"/>
        <v>1</v>
      </c>
      <c r="F39" s="20">
        <f t="shared" si="3"/>
        <v>1</v>
      </c>
      <c r="G39" s="20">
        <f t="shared" si="4"/>
        <v>1</v>
      </c>
      <c r="H39" s="20">
        <f t="shared" si="5"/>
        <v>1</v>
      </c>
      <c r="L39" s="21">
        <f>Tp!AD39</f>
        <v>0</v>
      </c>
      <c r="M39" s="21">
        <f>Tp!AE39</f>
        <v>0</v>
      </c>
      <c r="N39" s="21">
        <f>Tp!AF39</f>
        <v>0</v>
      </c>
      <c r="O39" s="21">
        <f>Tp!AG39</f>
        <v>0</v>
      </c>
      <c r="P39" s="21">
        <f>Tp!AH39</f>
        <v>0</v>
      </c>
      <c r="Q39" s="21">
        <f>Tp!AI39</f>
        <v>0</v>
      </c>
      <c r="R39" s="21">
        <f>Tp!AJ39</f>
        <v>0</v>
      </c>
      <c r="S39" s="21">
        <f>Tp!AK39</f>
        <v>0</v>
      </c>
      <c r="T39" s="21">
        <f>Tp!AL39</f>
        <v>5.959382792090199E-3</v>
      </c>
      <c r="U39" s="21">
        <f>Tp!AM39</f>
        <v>7.3788051074184713E-3</v>
      </c>
      <c r="V39" s="21">
        <f>Tp!AN39</f>
        <v>0</v>
      </c>
      <c r="W39" s="21">
        <f>Tp!AO39</f>
        <v>0</v>
      </c>
      <c r="X39" s="21">
        <f>Tp!AP39</f>
        <v>0</v>
      </c>
      <c r="Y39" s="21">
        <f>Tp!AQ39</f>
        <v>0</v>
      </c>
      <c r="Z39" s="21">
        <f>Tp!AR39</f>
        <v>0</v>
      </c>
      <c r="AA39" s="21">
        <f>Tp!AS39</f>
        <v>0</v>
      </c>
      <c r="AB39" s="21">
        <f>Tp!AT39</f>
        <v>0</v>
      </c>
      <c r="AC39" s="21">
        <f>Tp!AU39</f>
        <v>0</v>
      </c>
      <c r="AD39" s="21">
        <f>Tp!AV39</f>
        <v>0.41451342922945095</v>
      </c>
      <c r="AE39" s="21">
        <f>Tp!AW39</f>
        <v>0.57214838287104031</v>
      </c>
      <c r="AG39" s="83">
        <f t="shared" si="0"/>
        <v>1</v>
      </c>
    </row>
    <row r="40" spans="2:33" ht="11.1" customHeight="1" x14ac:dyDescent="0.3">
      <c r="B40" s="19">
        <v>32</v>
      </c>
      <c r="C40" s="19">
        <f t="shared" ref="C40:C71" si="6">start_age+Alz_cycle</f>
        <v>103</v>
      </c>
      <c r="E40" s="20">
        <f t="shared" ref="E40:E71" si="7">VLOOKUP(Alz_age,table_mort_MCI,2)</f>
        <v>1</v>
      </c>
      <c r="F40" s="20">
        <f t="shared" ref="F40:F71" si="8">VLOOKUP(Alz_age,table_mort_Mild,2)</f>
        <v>1</v>
      </c>
      <c r="G40" s="20">
        <f t="shared" ref="G40:G71" si="9">VLOOKUP(Alz_age,table_mort_Moderate,2)</f>
        <v>1</v>
      </c>
      <c r="H40" s="20">
        <f t="shared" ref="H40:H71" si="10">VLOOKUP(Alz_age,table_mort_Severe,2)</f>
        <v>1</v>
      </c>
      <c r="L40" s="21">
        <f>Tp!AD40</f>
        <v>0</v>
      </c>
      <c r="M40" s="21">
        <f>Tp!AE40</f>
        <v>0</v>
      </c>
      <c r="N40" s="21">
        <f>Tp!AF40</f>
        <v>0</v>
      </c>
      <c r="O40" s="21">
        <f>Tp!AG40</f>
        <v>0</v>
      </c>
      <c r="P40" s="21">
        <f>Tp!AH40</f>
        <v>0</v>
      </c>
      <c r="Q40" s="21">
        <f>Tp!AI40</f>
        <v>0</v>
      </c>
      <c r="R40" s="21">
        <f>Tp!AJ40</f>
        <v>0</v>
      </c>
      <c r="S40" s="21">
        <f>Tp!AK40</f>
        <v>0</v>
      </c>
      <c r="T40" s="21">
        <f>Tp!AL40</f>
        <v>5.1846630291184732E-3</v>
      </c>
      <c r="U40" s="21">
        <f>Tp!AM40</f>
        <v>6.4195604434540698E-3</v>
      </c>
      <c r="V40" s="21">
        <f>Tp!AN40</f>
        <v>0</v>
      </c>
      <c r="W40" s="21">
        <f>Tp!AO40</f>
        <v>0</v>
      </c>
      <c r="X40" s="21">
        <f>Tp!AP40</f>
        <v>0</v>
      </c>
      <c r="Y40" s="21">
        <f>Tp!AQ40</f>
        <v>0</v>
      </c>
      <c r="Z40" s="21">
        <f>Tp!AR40</f>
        <v>0</v>
      </c>
      <c r="AA40" s="21">
        <f>Tp!AS40</f>
        <v>0</v>
      </c>
      <c r="AB40" s="21">
        <f>Tp!AT40</f>
        <v>0</v>
      </c>
      <c r="AC40" s="21">
        <f>Tp!AU40</f>
        <v>0</v>
      </c>
      <c r="AD40" s="21">
        <f>Tp!AV40</f>
        <v>0.41528814899242267</v>
      </c>
      <c r="AE40" s="21">
        <f>Tp!AW40</f>
        <v>0.57310762753500466</v>
      </c>
      <c r="AG40" s="83">
        <f t="shared" si="0"/>
        <v>0.99999999999999989</v>
      </c>
    </row>
    <row r="41" spans="2:33" ht="11.1" customHeight="1" x14ac:dyDescent="0.3">
      <c r="B41" s="19">
        <v>33</v>
      </c>
      <c r="C41" s="19">
        <f t="shared" si="6"/>
        <v>104</v>
      </c>
      <c r="E41" s="20">
        <f t="shared" si="7"/>
        <v>1</v>
      </c>
      <c r="F41" s="20">
        <f t="shared" si="8"/>
        <v>1</v>
      </c>
      <c r="G41" s="20">
        <f t="shared" si="9"/>
        <v>1</v>
      </c>
      <c r="H41" s="20">
        <f t="shared" si="10"/>
        <v>1</v>
      </c>
      <c r="L41" s="21">
        <f>Tp!AD41</f>
        <v>0</v>
      </c>
      <c r="M41" s="21">
        <f>Tp!AE41</f>
        <v>0</v>
      </c>
      <c r="N41" s="21">
        <f>Tp!AF41</f>
        <v>0</v>
      </c>
      <c r="O41" s="21">
        <f>Tp!AG41</f>
        <v>0</v>
      </c>
      <c r="P41" s="21">
        <f>Tp!AH41</f>
        <v>0</v>
      </c>
      <c r="Q41" s="21">
        <f>Tp!AI41</f>
        <v>0</v>
      </c>
      <c r="R41" s="21">
        <f>Tp!AJ41</f>
        <v>0</v>
      </c>
      <c r="S41" s="21">
        <f>Tp!AK41</f>
        <v>0</v>
      </c>
      <c r="T41" s="21">
        <f>Tp!AL41</f>
        <v>4.5106568353330719E-3</v>
      </c>
      <c r="U41" s="21">
        <f>Tp!AM41</f>
        <v>5.585017585805041E-3</v>
      </c>
      <c r="V41" s="21">
        <f>Tp!AN41</f>
        <v>0</v>
      </c>
      <c r="W41" s="21">
        <f>Tp!AO41</f>
        <v>0</v>
      </c>
      <c r="X41" s="21">
        <f>Tp!AP41</f>
        <v>0</v>
      </c>
      <c r="Y41" s="21">
        <f>Tp!AQ41</f>
        <v>0</v>
      </c>
      <c r="Z41" s="21">
        <f>Tp!AR41</f>
        <v>0</v>
      </c>
      <c r="AA41" s="21">
        <f>Tp!AS41</f>
        <v>0</v>
      </c>
      <c r="AB41" s="21">
        <f>Tp!AT41</f>
        <v>0</v>
      </c>
      <c r="AC41" s="21">
        <f>Tp!AU41</f>
        <v>0</v>
      </c>
      <c r="AD41" s="21">
        <f>Tp!AV41</f>
        <v>0.41596215518620805</v>
      </c>
      <c r="AE41" s="21">
        <f>Tp!AW41</f>
        <v>0.57394217039265372</v>
      </c>
      <c r="AG41" s="83">
        <f t="shared" si="0"/>
        <v>0.99999999999999989</v>
      </c>
    </row>
    <row r="42" spans="2:33" ht="11.1" customHeight="1" x14ac:dyDescent="0.3">
      <c r="B42" s="19">
        <v>34</v>
      </c>
      <c r="C42" s="19">
        <f t="shared" si="6"/>
        <v>105</v>
      </c>
      <c r="E42" s="20">
        <f t="shared" si="7"/>
        <v>1</v>
      </c>
      <c r="F42" s="20">
        <f t="shared" si="8"/>
        <v>1</v>
      </c>
      <c r="G42" s="20">
        <f t="shared" si="9"/>
        <v>1</v>
      </c>
      <c r="H42" s="20">
        <f t="shared" si="10"/>
        <v>1</v>
      </c>
      <c r="L42" s="21">
        <f>Tp!AD42</f>
        <v>0</v>
      </c>
      <c r="M42" s="21">
        <f>Tp!AE42</f>
        <v>0</v>
      </c>
      <c r="N42" s="21">
        <f>Tp!AF42</f>
        <v>0</v>
      </c>
      <c r="O42" s="21">
        <f>Tp!AG42</f>
        <v>0</v>
      </c>
      <c r="P42" s="21">
        <f>Tp!AH42</f>
        <v>0</v>
      </c>
      <c r="Q42" s="21">
        <f>Tp!AI42</f>
        <v>0</v>
      </c>
      <c r="R42" s="21">
        <f>Tp!AJ42</f>
        <v>0</v>
      </c>
      <c r="S42" s="21">
        <f>Tp!AK42</f>
        <v>0</v>
      </c>
      <c r="T42" s="21">
        <f>Tp!AL42</f>
        <v>3.9242714467397728E-3</v>
      </c>
      <c r="U42" s="21">
        <f>Tp!AM42</f>
        <v>4.8589652996503859E-3</v>
      </c>
      <c r="V42" s="21">
        <f>Tp!AN42</f>
        <v>0</v>
      </c>
      <c r="W42" s="21">
        <f>Tp!AO42</f>
        <v>0</v>
      </c>
      <c r="X42" s="21">
        <f>Tp!AP42</f>
        <v>0</v>
      </c>
      <c r="Y42" s="21">
        <f>Tp!AQ42</f>
        <v>0</v>
      </c>
      <c r="Z42" s="21">
        <f>Tp!AR42</f>
        <v>0</v>
      </c>
      <c r="AA42" s="21">
        <f>Tp!AS42</f>
        <v>0</v>
      </c>
      <c r="AB42" s="21">
        <f>Tp!AT42</f>
        <v>0</v>
      </c>
      <c r="AC42" s="21">
        <f>Tp!AU42</f>
        <v>0</v>
      </c>
      <c r="AD42" s="21">
        <f>Tp!AV42</f>
        <v>0.41654854057480134</v>
      </c>
      <c r="AE42" s="21">
        <f>Tp!AW42</f>
        <v>0.57466822267880835</v>
      </c>
      <c r="AG42" s="83">
        <f t="shared" si="0"/>
        <v>0.99999999999999978</v>
      </c>
    </row>
    <row r="43" spans="2:33" ht="11.1" customHeight="1" x14ac:dyDescent="0.3">
      <c r="B43" s="19">
        <v>35</v>
      </c>
      <c r="C43" s="19">
        <f t="shared" si="6"/>
        <v>106</v>
      </c>
      <c r="E43" s="20">
        <f t="shared" si="7"/>
        <v>1</v>
      </c>
      <c r="F43" s="20">
        <f t="shared" si="8"/>
        <v>1</v>
      </c>
      <c r="G43" s="20">
        <f t="shared" si="9"/>
        <v>1</v>
      </c>
      <c r="H43" s="20">
        <f t="shared" si="10"/>
        <v>1</v>
      </c>
      <c r="L43" s="21">
        <f>Tp!AD43</f>
        <v>0</v>
      </c>
      <c r="M43" s="21">
        <f>Tp!AE43</f>
        <v>0</v>
      </c>
      <c r="N43" s="21">
        <f>Tp!AF43</f>
        <v>0</v>
      </c>
      <c r="O43" s="21">
        <f>Tp!AG43</f>
        <v>0</v>
      </c>
      <c r="P43" s="21">
        <f>Tp!AH43</f>
        <v>0</v>
      </c>
      <c r="Q43" s="21">
        <f>Tp!AI43</f>
        <v>0</v>
      </c>
      <c r="R43" s="21">
        <f>Tp!AJ43</f>
        <v>0</v>
      </c>
      <c r="S43" s="21">
        <f>Tp!AK43</f>
        <v>0</v>
      </c>
      <c r="T43" s="21">
        <f>Tp!AL43</f>
        <v>3.4141161586636022E-3</v>
      </c>
      <c r="U43" s="21">
        <f>Tp!AM43</f>
        <v>4.2272998106958354E-3</v>
      </c>
      <c r="V43" s="21">
        <f>Tp!AN43</f>
        <v>0</v>
      </c>
      <c r="W43" s="21">
        <f>Tp!AO43</f>
        <v>0</v>
      </c>
      <c r="X43" s="21">
        <f>Tp!AP43</f>
        <v>0</v>
      </c>
      <c r="Y43" s="21">
        <f>Tp!AQ43</f>
        <v>0</v>
      </c>
      <c r="Z43" s="21">
        <f>Tp!AR43</f>
        <v>0</v>
      </c>
      <c r="AA43" s="21">
        <f>Tp!AS43</f>
        <v>0</v>
      </c>
      <c r="AB43" s="21">
        <f>Tp!AT43</f>
        <v>0</v>
      </c>
      <c r="AC43" s="21">
        <f>Tp!AU43</f>
        <v>0</v>
      </c>
      <c r="AD43" s="21">
        <f>Tp!AV43</f>
        <v>0.41705869586287753</v>
      </c>
      <c r="AE43" s="21">
        <f>Tp!AW43</f>
        <v>0.5752998881677629</v>
      </c>
      <c r="AG43" s="83">
        <f t="shared" si="0"/>
        <v>0.99999999999999978</v>
      </c>
    </row>
    <row r="44" spans="2:33" ht="11.1" customHeight="1" x14ac:dyDescent="0.3">
      <c r="B44" s="19">
        <v>36</v>
      </c>
      <c r="C44" s="19">
        <f t="shared" si="6"/>
        <v>107</v>
      </c>
      <c r="E44" s="20">
        <f t="shared" si="7"/>
        <v>1</v>
      </c>
      <c r="F44" s="20">
        <f t="shared" si="8"/>
        <v>1</v>
      </c>
      <c r="G44" s="20">
        <f t="shared" si="9"/>
        <v>1</v>
      </c>
      <c r="H44" s="20">
        <f t="shared" si="10"/>
        <v>1</v>
      </c>
      <c r="L44" s="21">
        <f>Tp!AD44</f>
        <v>0</v>
      </c>
      <c r="M44" s="21">
        <f>Tp!AE44</f>
        <v>0</v>
      </c>
      <c r="N44" s="21">
        <f>Tp!AF44</f>
        <v>0</v>
      </c>
      <c r="O44" s="21">
        <f>Tp!AG44</f>
        <v>0</v>
      </c>
      <c r="P44" s="21">
        <f>Tp!AH44</f>
        <v>0</v>
      </c>
      <c r="Q44" s="21">
        <f>Tp!AI44</f>
        <v>0</v>
      </c>
      <c r="R44" s="21">
        <f>Tp!AJ44</f>
        <v>0</v>
      </c>
      <c r="S44" s="21">
        <f>Tp!AK44</f>
        <v>0</v>
      </c>
      <c r="T44" s="21">
        <f>Tp!AL44</f>
        <v>2.970281058037334E-3</v>
      </c>
      <c r="U44" s="21">
        <f>Tp!AM44</f>
        <v>3.677750835305377E-3</v>
      </c>
      <c r="V44" s="21">
        <f>Tp!AN44</f>
        <v>0</v>
      </c>
      <c r="W44" s="21">
        <f>Tp!AO44</f>
        <v>0</v>
      </c>
      <c r="X44" s="21">
        <f>Tp!AP44</f>
        <v>0</v>
      </c>
      <c r="Y44" s="21">
        <f>Tp!AQ44</f>
        <v>0</v>
      </c>
      <c r="Z44" s="21">
        <f>Tp!AR44</f>
        <v>0</v>
      </c>
      <c r="AA44" s="21">
        <f>Tp!AS44</f>
        <v>0</v>
      </c>
      <c r="AB44" s="21">
        <f>Tp!AT44</f>
        <v>0</v>
      </c>
      <c r="AC44" s="21">
        <f>Tp!AU44</f>
        <v>0</v>
      </c>
      <c r="AD44" s="21">
        <f>Tp!AV44</f>
        <v>0.41750253096350382</v>
      </c>
      <c r="AE44" s="21">
        <f>Tp!AW44</f>
        <v>0.5758494371431534</v>
      </c>
      <c r="AG44" s="83">
        <f t="shared" si="0"/>
        <v>1</v>
      </c>
    </row>
    <row r="45" spans="2:33" ht="11.1" customHeight="1" x14ac:dyDescent="0.3">
      <c r="B45" s="19">
        <v>37</v>
      </c>
      <c r="C45" s="19">
        <f t="shared" si="6"/>
        <v>108</v>
      </c>
      <c r="E45" s="20">
        <f t="shared" si="7"/>
        <v>1</v>
      </c>
      <c r="F45" s="20">
        <f t="shared" si="8"/>
        <v>1</v>
      </c>
      <c r="G45" s="20">
        <f t="shared" si="9"/>
        <v>1</v>
      </c>
      <c r="H45" s="20">
        <f t="shared" si="10"/>
        <v>1</v>
      </c>
      <c r="L45" s="21">
        <f>Tp!AD45</f>
        <v>0</v>
      </c>
      <c r="M45" s="21">
        <f>Tp!AE45</f>
        <v>0</v>
      </c>
      <c r="N45" s="21">
        <f>Tp!AF45</f>
        <v>0</v>
      </c>
      <c r="O45" s="21">
        <f>Tp!AG45</f>
        <v>0</v>
      </c>
      <c r="P45" s="21">
        <f>Tp!AH45</f>
        <v>0</v>
      </c>
      <c r="Q45" s="21">
        <f>Tp!AI45</f>
        <v>0</v>
      </c>
      <c r="R45" s="21">
        <f>Tp!AJ45</f>
        <v>0</v>
      </c>
      <c r="S45" s="21">
        <f>Tp!AK45</f>
        <v>0</v>
      </c>
      <c r="T45" s="21">
        <f>Tp!AL45</f>
        <v>2.5841445204924807E-3</v>
      </c>
      <c r="U45" s="21">
        <f>Tp!AM45</f>
        <v>3.1996432267156778E-3</v>
      </c>
      <c r="V45" s="21">
        <f>Tp!AN45</f>
        <v>0</v>
      </c>
      <c r="W45" s="21">
        <f>Tp!AO45</f>
        <v>0</v>
      </c>
      <c r="X45" s="21">
        <f>Tp!AP45</f>
        <v>0</v>
      </c>
      <c r="Y45" s="21">
        <f>Tp!AQ45</f>
        <v>0</v>
      </c>
      <c r="Z45" s="21">
        <f>Tp!AR45</f>
        <v>0</v>
      </c>
      <c r="AA45" s="21">
        <f>Tp!AS45</f>
        <v>0</v>
      </c>
      <c r="AB45" s="21">
        <f>Tp!AT45</f>
        <v>0</v>
      </c>
      <c r="AC45" s="21">
        <f>Tp!AU45</f>
        <v>0</v>
      </c>
      <c r="AD45" s="21">
        <f>Tp!AV45</f>
        <v>0.41788866750104869</v>
      </c>
      <c r="AE45" s="21">
        <f>Tp!AW45</f>
        <v>0.57632754475174308</v>
      </c>
      <c r="AG45" s="83">
        <f t="shared" si="0"/>
        <v>1</v>
      </c>
    </row>
    <row r="46" spans="2:33" ht="11.1" customHeight="1" x14ac:dyDescent="0.3">
      <c r="B46" s="19">
        <v>38</v>
      </c>
      <c r="C46" s="19">
        <f t="shared" si="6"/>
        <v>109</v>
      </c>
      <c r="E46" s="20">
        <f t="shared" si="7"/>
        <v>1</v>
      </c>
      <c r="F46" s="20">
        <f t="shared" si="8"/>
        <v>1</v>
      </c>
      <c r="G46" s="20">
        <f t="shared" si="9"/>
        <v>1</v>
      </c>
      <c r="H46" s="20">
        <f t="shared" si="10"/>
        <v>1</v>
      </c>
      <c r="L46" s="21">
        <f>Tp!AD46</f>
        <v>0</v>
      </c>
      <c r="M46" s="21">
        <f>Tp!AE46</f>
        <v>0</v>
      </c>
      <c r="N46" s="21">
        <f>Tp!AF46</f>
        <v>0</v>
      </c>
      <c r="O46" s="21">
        <f>Tp!AG46</f>
        <v>0</v>
      </c>
      <c r="P46" s="21">
        <f>Tp!AH46</f>
        <v>0</v>
      </c>
      <c r="Q46" s="21">
        <f>Tp!AI46</f>
        <v>0</v>
      </c>
      <c r="R46" s="21">
        <f>Tp!AJ46</f>
        <v>0</v>
      </c>
      <c r="S46" s="21">
        <f>Tp!AK46</f>
        <v>0</v>
      </c>
      <c r="T46" s="21">
        <f>Tp!AL46</f>
        <v>2.2482057328284582E-3</v>
      </c>
      <c r="U46" s="21">
        <f>Tp!AM46</f>
        <v>2.7836896072426396E-3</v>
      </c>
      <c r="V46" s="21">
        <f>Tp!AN46</f>
        <v>0</v>
      </c>
      <c r="W46" s="21">
        <f>Tp!AO46</f>
        <v>0</v>
      </c>
      <c r="X46" s="21">
        <f>Tp!AP46</f>
        <v>0</v>
      </c>
      <c r="Y46" s="21">
        <f>Tp!AQ46</f>
        <v>0</v>
      </c>
      <c r="Z46" s="21">
        <f>Tp!AR46</f>
        <v>0</v>
      </c>
      <c r="AA46" s="21">
        <f>Tp!AS46</f>
        <v>0</v>
      </c>
      <c r="AB46" s="21">
        <f>Tp!AT46</f>
        <v>0</v>
      </c>
      <c r="AC46" s="21">
        <f>Tp!AU46</f>
        <v>0</v>
      </c>
      <c r="AD46" s="21">
        <f>Tp!AV46</f>
        <v>0.41822460628871272</v>
      </c>
      <c r="AE46" s="21">
        <f>Tp!AW46</f>
        <v>0.57674349837121608</v>
      </c>
      <c r="AG46" s="83">
        <f t="shared" si="0"/>
        <v>0.99999999999999989</v>
      </c>
    </row>
    <row r="47" spans="2:33" ht="11.1" customHeight="1" x14ac:dyDescent="0.3">
      <c r="B47" s="19">
        <v>39</v>
      </c>
      <c r="C47" s="19">
        <f t="shared" si="6"/>
        <v>110</v>
      </c>
      <c r="E47" s="20">
        <f t="shared" si="7"/>
        <v>1</v>
      </c>
      <c r="F47" s="20">
        <f t="shared" si="8"/>
        <v>1</v>
      </c>
      <c r="G47" s="20">
        <f t="shared" si="9"/>
        <v>1</v>
      </c>
      <c r="H47" s="20">
        <f t="shared" si="10"/>
        <v>1</v>
      </c>
      <c r="L47" s="21">
        <f>Tp!AD47</f>
        <v>0</v>
      </c>
      <c r="M47" s="21">
        <f>Tp!AE47</f>
        <v>0</v>
      </c>
      <c r="N47" s="21">
        <f>Tp!AF47</f>
        <v>0</v>
      </c>
      <c r="O47" s="21">
        <f>Tp!AG47</f>
        <v>0</v>
      </c>
      <c r="P47" s="21">
        <f>Tp!AH47</f>
        <v>0</v>
      </c>
      <c r="Q47" s="21">
        <f>Tp!AI47</f>
        <v>0</v>
      </c>
      <c r="R47" s="21">
        <f>Tp!AJ47</f>
        <v>0</v>
      </c>
      <c r="S47" s="21">
        <f>Tp!AK47</f>
        <v>0</v>
      </c>
      <c r="T47" s="21">
        <f>Tp!AL47</f>
        <v>1.9559389875607584E-3</v>
      </c>
      <c r="U47" s="21">
        <f>Tp!AM47</f>
        <v>2.4218099583010965E-3</v>
      </c>
      <c r="V47" s="21">
        <f>Tp!AN47</f>
        <v>0</v>
      </c>
      <c r="W47" s="21">
        <f>Tp!AO47</f>
        <v>0</v>
      </c>
      <c r="X47" s="21">
        <f>Tp!AP47</f>
        <v>0</v>
      </c>
      <c r="Y47" s="21">
        <f>Tp!AQ47</f>
        <v>0</v>
      </c>
      <c r="Z47" s="21">
        <f>Tp!AR47</f>
        <v>0</v>
      </c>
      <c r="AA47" s="21">
        <f>Tp!AS47</f>
        <v>0</v>
      </c>
      <c r="AB47" s="21">
        <f>Tp!AT47</f>
        <v>0</v>
      </c>
      <c r="AC47" s="21">
        <f>Tp!AU47</f>
        <v>0</v>
      </c>
      <c r="AD47" s="21">
        <f>Tp!AV47</f>
        <v>0.41851687303398044</v>
      </c>
      <c r="AE47" s="21">
        <f>Tp!AW47</f>
        <v>0.5771053780201576</v>
      </c>
      <c r="AG47" s="83">
        <f t="shared" si="0"/>
        <v>0.99999999999999989</v>
      </c>
    </row>
    <row r="48" spans="2:33" ht="11.1" customHeight="1" x14ac:dyDescent="0.3">
      <c r="B48" s="19">
        <v>40</v>
      </c>
      <c r="C48" s="19">
        <f t="shared" si="6"/>
        <v>111</v>
      </c>
      <c r="E48" s="20">
        <f t="shared" si="7"/>
        <v>1</v>
      </c>
      <c r="F48" s="20">
        <f t="shared" si="8"/>
        <v>1</v>
      </c>
      <c r="G48" s="20">
        <f t="shared" si="9"/>
        <v>1</v>
      </c>
      <c r="H48" s="20">
        <f t="shared" si="10"/>
        <v>1</v>
      </c>
      <c r="L48" s="21">
        <f>Tp!AD48</f>
        <v>0</v>
      </c>
      <c r="M48" s="21">
        <f>Tp!AE48</f>
        <v>0</v>
      </c>
      <c r="N48" s="21">
        <f>Tp!AF48</f>
        <v>0</v>
      </c>
      <c r="O48" s="21">
        <f>Tp!AG48</f>
        <v>0</v>
      </c>
      <c r="P48" s="21">
        <f>Tp!AH48</f>
        <v>0</v>
      </c>
      <c r="Q48" s="21">
        <f>Tp!AI48</f>
        <v>0</v>
      </c>
      <c r="R48" s="21">
        <f>Tp!AJ48</f>
        <v>0</v>
      </c>
      <c r="S48" s="21">
        <f>Tp!AK48</f>
        <v>0</v>
      </c>
      <c r="T48" s="21">
        <f>Tp!AL48</f>
        <v>0</v>
      </c>
      <c r="U48" s="21">
        <f>Tp!AM48</f>
        <v>0</v>
      </c>
      <c r="V48" s="21">
        <f>Tp!AN48</f>
        <v>0</v>
      </c>
      <c r="W48" s="21">
        <f>Tp!AO48</f>
        <v>0</v>
      </c>
      <c r="X48" s="21">
        <f>Tp!AP48</f>
        <v>0</v>
      </c>
      <c r="Y48" s="21">
        <f>Tp!AQ48</f>
        <v>0</v>
      </c>
      <c r="Z48" s="21">
        <f>Tp!AR48</f>
        <v>0</v>
      </c>
      <c r="AA48" s="21">
        <f>Tp!AS48</f>
        <v>0</v>
      </c>
      <c r="AB48" s="21">
        <f>Tp!AT48</f>
        <v>0</v>
      </c>
      <c r="AC48" s="21">
        <f>Tp!AU48</f>
        <v>0</v>
      </c>
      <c r="AD48" s="21">
        <f>Tp!AV48</f>
        <v>0</v>
      </c>
      <c r="AE48" s="21">
        <f>Tp!AW48</f>
        <v>0</v>
      </c>
      <c r="AG48" s="83">
        <f t="shared" si="0"/>
        <v>0</v>
      </c>
    </row>
    <row r="49" spans="2:33" ht="11.1" customHeight="1" x14ac:dyDescent="0.3">
      <c r="B49" s="19">
        <v>41</v>
      </c>
      <c r="C49" s="19">
        <f t="shared" si="6"/>
        <v>112</v>
      </c>
      <c r="E49" s="20">
        <f t="shared" si="7"/>
        <v>1</v>
      </c>
      <c r="F49" s="20">
        <f t="shared" si="8"/>
        <v>1</v>
      </c>
      <c r="G49" s="20">
        <f t="shared" si="9"/>
        <v>1</v>
      </c>
      <c r="H49" s="20">
        <f t="shared" si="10"/>
        <v>1</v>
      </c>
      <c r="L49" s="21">
        <f>Tp!AD49</f>
        <v>0</v>
      </c>
      <c r="M49" s="21">
        <f>Tp!AE49</f>
        <v>0</v>
      </c>
      <c r="N49" s="21">
        <f>Tp!AF49</f>
        <v>0</v>
      </c>
      <c r="O49" s="21">
        <f>Tp!AG49</f>
        <v>0</v>
      </c>
      <c r="P49" s="21">
        <f>Tp!AH49</f>
        <v>0</v>
      </c>
      <c r="Q49" s="21">
        <f>Tp!AI49</f>
        <v>0</v>
      </c>
      <c r="R49" s="21">
        <f>Tp!AJ49</f>
        <v>0</v>
      </c>
      <c r="S49" s="21">
        <f>Tp!AK49</f>
        <v>0</v>
      </c>
      <c r="T49" s="21">
        <f>Tp!AL49</f>
        <v>0</v>
      </c>
      <c r="U49" s="21">
        <f>Tp!AM49</f>
        <v>0</v>
      </c>
      <c r="V49" s="21">
        <f>Tp!AN49</f>
        <v>0</v>
      </c>
      <c r="W49" s="21">
        <f>Tp!AO49</f>
        <v>0</v>
      </c>
      <c r="X49" s="21">
        <f>Tp!AP49</f>
        <v>0</v>
      </c>
      <c r="Y49" s="21">
        <f>Tp!AQ49</f>
        <v>0</v>
      </c>
      <c r="Z49" s="21">
        <f>Tp!AR49</f>
        <v>0</v>
      </c>
      <c r="AA49" s="21">
        <f>Tp!AS49</f>
        <v>0</v>
      </c>
      <c r="AB49" s="21">
        <f>Tp!AT49</f>
        <v>0</v>
      </c>
      <c r="AC49" s="21">
        <f>Tp!AU49</f>
        <v>0</v>
      </c>
      <c r="AD49" s="21">
        <f>Tp!AV49</f>
        <v>0</v>
      </c>
      <c r="AE49" s="21">
        <f>Tp!AW49</f>
        <v>0</v>
      </c>
      <c r="AG49" s="83">
        <f t="shared" si="0"/>
        <v>0</v>
      </c>
    </row>
    <row r="50" spans="2:33" ht="11.1" customHeight="1" x14ac:dyDescent="0.3">
      <c r="B50" s="19">
        <v>42</v>
      </c>
      <c r="C50" s="19">
        <f t="shared" si="6"/>
        <v>113</v>
      </c>
      <c r="E50" s="20">
        <f t="shared" si="7"/>
        <v>1</v>
      </c>
      <c r="F50" s="20">
        <f t="shared" si="8"/>
        <v>1</v>
      </c>
      <c r="G50" s="20">
        <f t="shared" si="9"/>
        <v>1</v>
      </c>
      <c r="H50" s="20">
        <f t="shared" si="10"/>
        <v>1</v>
      </c>
      <c r="L50" s="21">
        <f>Tp!AD50</f>
        <v>0</v>
      </c>
      <c r="M50" s="21">
        <f>Tp!AE50</f>
        <v>0</v>
      </c>
      <c r="N50" s="21">
        <f>Tp!AF50</f>
        <v>0</v>
      </c>
      <c r="O50" s="21">
        <f>Tp!AG50</f>
        <v>0</v>
      </c>
      <c r="P50" s="21">
        <f>Tp!AH50</f>
        <v>0</v>
      </c>
      <c r="Q50" s="21">
        <f>Tp!AI50</f>
        <v>0</v>
      </c>
      <c r="R50" s="21">
        <f>Tp!AJ50</f>
        <v>0</v>
      </c>
      <c r="S50" s="21">
        <f>Tp!AK50</f>
        <v>0</v>
      </c>
      <c r="T50" s="21">
        <f>Tp!AL50</f>
        <v>0</v>
      </c>
      <c r="U50" s="21">
        <f>Tp!AM50</f>
        <v>0</v>
      </c>
      <c r="V50" s="21">
        <f>Tp!AN50</f>
        <v>0</v>
      </c>
      <c r="W50" s="21">
        <f>Tp!AO50</f>
        <v>0</v>
      </c>
      <c r="X50" s="21">
        <f>Tp!AP50</f>
        <v>0</v>
      </c>
      <c r="Y50" s="21">
        <f>Tp!AQ50</f>
        <v>0</v>
      </c>
      <c r="Z50" s="21">
        <f>Tp!AR50</f>
        <v>0</v>
      </c>
      <c r="AA50" s="21">
        <f>Tp!AS50</f>
        <v>0</v>
      </c>
      <c r="AB50" s="21">
        <f>Tp!AT50</f>
        <v>0</v>
      </c>
      <c r="AC50" s="21">
        <f>Tp!AU50</f>
        <v>0</v>
      </c>
      <c r="AD50" s="21">
        <f>Tp!AV50</f>
        <v>0</v>
      </c>
      <c r="AE50" s="21">
        <f>Tp!AW50</f>
        <v>0</v>
      </c>
      <c r="AG50" s="83">
        <f t="shared" si="0"/>
        <v>0</v>
      </c>
    </row>
    <row r="51" spans="2:33" ht="11.1" customHeight="1" x14ac:dyDescent="0.3">
      <c r="B51" s="19">
        <v>43</v>
      </c>
      <c r="C51" s="19">
        <f t="shared" si="6"/>
        <v>114</v>
      </c>
      <c r="E51" s="20">
        <f t="shared" si="7"/>
        <v>1</v>
      </c>
      <c r="F51" s="20">
        <f t="shared" si="8"/>
        <v>1</v>
      </c>
      <c r="G51" s="20">
        <f t="shared" si="9"/>
        <v>1</v>
      </c>
      <c r="H51" s="20">
        <f t="shared" si="10"/>
        <v>1</v>
      </c>
      <c r="L51" s="21">
        <f>Tp!AD51</f>
        <v>0</v>
      </c>
      <c r="M51" s="21">
        <f>Tp!AE51</f>
        <v>0</v>
      </c>
      <c r="N51" s="21">
        <f>Tp!AF51</f>
        <v>0</v>
      </c>
      <c r="O51" s="21">
        <f>Tp!AG51</f>
        <v>0</v>
      </c>
      <c r="P51" s="21">
        <f>Tp!AH51</f>
        <v>0</v>
      </c>
      <c r="Q51" s="21">
        <f>Tp!AI51</f>
        <v>0</v>
      </c>
      <c r="R51" s="21">
        <f>Tp!AJ51</f>
        <v>0</v>
      </c>
      <c r="S51" s="21">
        <f>Tp!AK51</f>
        <v>0</v>
      </c>
      <c r="T51" s="21">
        <f>Tp!AL51</f>
        <v>0</v>
      </c>
      <c r="U51" s="21">
        <f>Tp!AM51</f>
        <v>0</v>
      </c>
      <c r="V51" s="21">
        <f>Tp!AN51</f>
        <v>0</v>
      </c>
      <c r="W51" s="21">
        <f>Tp!AO51</f>
        <v>0</v>
      </c>
      <c r="X51" s="21">
        <f>Tp!AP51</f>
        <v>0</v>
      </c>
      <c r="Y51" s="21">
        <f>Tp!AQ51</f>
        <v>0</v>
      </c>
      <c r="Z51" s="21">
        <f>Tp!AR51</f>
        <v>0</v>
      </c>
      <c r="AA51" s="21">
        <f>Tp!AS51</f>
        <v>0</v>
      </c>
      <c r="AB51" s="21">
        <f>Tp!AT51</f>
        <v>0</v>
      </c>
      <c r="AC51" s="21">
        <f>Tp!AU51</f>
        <v>0</v>
      </c>
      <c r="AD51" s="21">
        <f>Tp!AV51</f>
        <v>0</v>
      </c>
      <c r="AE51" s="21">
        <f>Tp!AW51</f>
        <v>0</v>
      </c>
      <c r="AG51" s="83">
        <f t="shared" si="0"/>
        <v>0</v>
      </c>
    </row>
    <row r="52" spans="2:33" ht="11.1" customHeight="1" x14ac:dyDescent="0.3">
      <c r="B52" s="19">
        <v>44</v>
      </c>
      <c r="C52" s="19">
        <f t="shared" si="6"/>
        <v>115</v>
      </c>
      <c r="E52" s="20">
        <f t="shared" si="7"/>
        <v>1</v>
      </c>
      <c r="F52" s="20">
        <f t="shared" si="8"/>
        <v>1</v>
      </c>
      <c r="G52" s="20">
        <f t="shared" si="9"/>
        <v>1</v>
      </c>
      <c r="H52" s="20">
        <f t="shared" si="10"/>
        <v>1</v>
      </c>
      <c r="L52" s="21">
        <f>Tp!AD52</f>
        <v>0</v>
      </c>
      <c r="M52" s="21">
        <f>Tp!AE52</f>
        <v>0</v>
      </c>
      <c r="N52" s="21">
        <f>Tp!AF52</f>
        <v>0</v>
      </c>
      <c r="O52" s="21">
        <f>Tp!AG52</f>
        <v>0</v>
      </c>
      <c r="P52" s="21">
        <f>Tp!AH52</f>
        <v>0</v>
      </c>
      <c r="Q52" s="21">
        <f>Tp!AI52</f>
        <v>0</v>
      </c>
      <c r="R52" s="21">
        <f>Tp!AJ52</f>
        <v>0</v>
      </c>
      <c r="S52" s="21">
        <f>Tp!AK52</f>
        <v>0</v>
      </c>
      <c r="T52" s="21">
        <f>Tp!AL52</f>
        <v>0</v>
      </c>
      <c r="U52" s="21">
        <f>Tp!AM52</f>
        <v>0</v>
      </c>
      <c r="V52" s="21">
        <f>Tp!AN52</f>
        <v>0</v>
      </c>
      <c r="W52" s="21">
        <f>Tp!AO52</f>
        <v>0</v>
      </c>
      <c r="X52" s="21">
        <f>Tp!AP52</f>
        <v>0</v>
      </c>
      <c r="Y52" s="21">
        <f>Tp!AQ52</f>
        <v>0</v>
      </c>
      <c r="Z52" s="21">
        <f>Tp!AR52</f>
        <v>0</v>
      </c>
      <c r="AA52" s="21">
        <f>Tp!AS52</f>
        <v>0</v>
      </c>
      <c r="AB52" s="21">
        <f>Tp!AT52</f>
        <v>0</v>
      </c>
      <c r="AC52" s="21">
        <f>Tp!AU52</f>
        <v>0</v>
      </c>
      <c r="AD52" s="21">
        <f>Tp!AV52</f>
        <v>0</v>
      </c>
      <c r="AE52" s="21">
        <f>Tp!AW52</f>
        <v>0</v>
      </c>
      <c r="AG52" s="83">
        <f t="shared" si="0"/>
        <v>0</v>
      </c>
    </row>
    <row r="53" spans="2:33" ht="11.1" customHeight="1" x14ac:dyDescent="0.3">
      <c r="B53" s="19">
        <v>45</v>
      </c>
      <c r="C53" s="19">
        <f t="shared" si="6"/>
        <v>116</v>
      </c>
      <c r="E53" s="20">
        <f t="shared" si="7"/>
        <v>1</v>
      </c>
      <c r="F53" s="20">
        <f t="shared" si="8"/>
        <v>1</v>
      </c>
      <c r="G53" s="20">
        <f t="shared" si="9"/>
        <v>1</v>
      </c>
      <c r="H53" s="20">
        <f t="shared" si="10"/>
        <v>1</v>
      </c>
      <c r="L53" s="21">
        <f>Tp!AD53</f>
        <v>0</v>
      </c>
      <c r="M53" s="21">
        <f>Tp!AE53</f>
        <v>0</v>
      </c>
      <c r="N53" s="21">
        <f>Tp!AF53</f>
        <v>0</v>
      </c>
      <c r="O53" s="21">
        <f>Tp!AG53</f>
        <v>0</v>
      </c>
      <c r="P53" s="21">
        <f>Tp!AH53</f>
        <v>0</v>
      </c>
      <c r="Q53" s="21">
        <f>Tp!AI53</f>
        <v>0</v>
      </c>
      <c r="R53" s="21">
        <f>Tp!AJ53</f>
        <v>0</v>
      </c>
      <c r="S53" s="21">
        <f>Tp!AK53</f>
        <v>0</v>
      </c>
      <c r="T53" s="21">
        <f>Tp!AL53</f>
        <v>0</v>
      </c>
      <c r="U53" s="21">
        <f>Tp!AM53</f>
        <v>0</v>
      </c>
      <c r="V53" s="21">
        <f>Tp!AN53</f>
        <v>0</v>
      </c>
      <c r="W53" s="21">
        <f>Tp!AO53</f>
        <v>0</v>
      </c>
      <c r="X53" s="21">
        <f>Tp!AP53</f>
        <v>0</v>
      </c>
      <c r="Y53" s="21">
        <f>Tp!AQ53</f>
        <v>0</v>
      </c>
      <c r="Z53" s="21">
        <f>Tp!AR53</f>
        <v>0</v>
      </c>
      <c r="AA53" s="21">
        <f>Tp!AS53</f>
        <v>0</v>
      </c>
      <c r="AB53" s="21">
        <f>Tp!AT53</f>
        <v>0</v>
      </c>
      <c r="AC53" s="21">
        <f>Tp!AU53</f>
        <v>0</v>
      </c>
      <c r="AD53" s="21">
        <f>Tp!AV53</f>
        <v>0</v>
      </c>
      <c r="AE53" s="21">
        <f>Tp!AW53</f>
        <v>0</v>
      </c>
      <c r="AG53" s="83">
        <f t="shared" si="0"/>
        <v>0</v>
      </c>
    </row>
    <row r="54" spans="2:33" ht="11.1" customHeight="1" x14ac:dyDescent="0.3">
      <c r="B54" s="19">
        <v>46</v>
      </c>
      <c r="C54" s="19">
        <f t="shared" si="6"/>
        <v>117</v>
      </c>
      <c r="E54" s="20">
        <f t="shared" si="7"/>
        <v>1</v>
      </c>
      <c r="F54" s="20">
        <f t="shared" si="8"/>
        <v>1</v>
      </c>
      <c r="G54" s="20">
        <f t="shared" si="9"/>
        <v>1</v>
      </c>
      <c r="H54" s="20">
        <f t="shared" si="10"/>
        <v>1</v>
      </c>
      <c r="L54" s="21">
        <f>Tp!AD54</f>
        <v>0</v>
      </c>
      <c r="M54" s="21">
        <f>Tp!AE54</f>
        <v>0</v>
      </c>
      <c r="N54" s="21">
        <f>Tp!AF54</f>
        <v>0</v>
      </c>
      <c r="O54" s="21">
        <f>Tp!AG54</f>
        <v>0</v>
      </c>
      <c r="P54" s="21">
        <f>Tp!AH54</f>
        <v>0</v>
      </c>
      <c r="Q54" s="21">
        <f>Tp!AI54</f>
        <v>0</v>
      </c>
      <c r="R54" s="21">
        <f>Tp!AJ54</f>
        <v>0</v>
      </c>
      <c r="S54" s="21">
        <f>Tp!AK54</f>
        <v>0</v>
      </c>
      <c r="T54" s="21">
        <f>Tp!AL54</f>
        <v>0</v>
      </c>
      <c r="U54" s="21">
        <f>Tp!AM54</f>
        <v>0</v>
      </c>
      <c r="V54" s="21">
        <f>Tp!AN54</f>
        <v>0</v>
      </c>
      <c r="W54" s="21">
        <f>Tp!AO54</f>
        <v>0</v>
      </c>
      <c r="X54" s="21">
        <f>Tp!AP54</f>
        <v>0</v>
      </c>
      <c r="Y54" s="21">
        <f>Tp!AQ54</f>
        <v>0</v>
      </c>
      <c r="Z54" s="21">
        <f>Tp!AR54</f>
        <v>0</v>
      </c>
      <c r="AA54" s="21">
        <f>Tp!AS54</f>
        <v>0</v>
      </c>
      <c r="AB54" s="21">
        <f>Tp!AT54</f>
        <v>0</v>
      </c>
      <c r="AC54" s="21">
        <f>Tp!AU54</f>
        <v>0</v>
      </c>
      <c r="AD54" s="21">
        <f>Tp!AV54</f>
        <v>0</v>
      </c>
      <c r="AE54" s="21">
        <f>Tp!AW54</f>
        <v>0</v>
      </c>
      <c r="AG54" s="83">
        <f t="shared" si="0"/>
        <v>0</v>
      </c>
    </row>
    <row r="55" spans="2:33" ht="11.1" customHeight="1" x14ac:dyDescent="0.3">
      <c r="B55" s="19">
        <v>47</v>
      </c>
      <c r="C55" s="19">
        <f t="shared" si="6"/>
        <v>118</v>
      </c>
      <c r="E55" s="20">
        <f t="shared" si="7"/>
        <v>1</v>
      </c>
      <c r="F55" s="20">
        <f t="shared" si="8"/>
        <v>1</v>
      </c>
      <c r="G55" s="20">
        <f t="shared" si="9"/>
        <v>1</v>
      </c>
      <c r="H55" s="20">
        <f t="shared" si="10"/>
        <v>1</v>
      </c>
      <c r="L55" s="21">
        <f>Tp!AD55</f>
        <v>0</v>
      </c>
      <c r="M55" s="21">
        <f>Tp!AE55</f>
        <v>0</v>
      </c>
      <c r="N55" s="21">
        <f>Tp!AF55</f>
        <v>0</v>
      </c>
      <c r="O55" s="21">
        <f>Tp!AG55</f>
        <v>0</v>
      </c>
      <c r="P55" s="21">
        <f>Tp!AH55</f>
        <v>0</v>
      </c>
      <c r="Q55" s="21">
        <f>Tp!AI55</f>
        <v>0</v>
      </c>
      <c r="R55" s="21">
        <f>Tp!AJ55</f>
        <v>0</v>
      </c>
      <c r="S55" s="21">
        <f>Tp!AK55</f>
        <v>0</v>
      </c>
      <c r="T55" s="21">
        <f>Tp!AL55</f>
        <v>0</v>
      </c>
      <c r="U55" s="21">
        <f>Tp!AM55</f>
        <v>0</v>
      </c>
      <c r="V55" s="21">
        <f>Tp!AN55</f>
        <v>0</v>
      </c>
      <c r="W55" s="21">
        <f>Tp!AO55</f>
        <v>0</v>
      </c>
      <c r="X55" s="21">
        <f>Tp!AP55</f>
        <v>0</v>
      </c>
      <c r="Y55" s="21">
        <f>Tp!AQ55</f>
        <v>0</v>
      </c>
      <c r="Z55" s="21">
        <f>Tp!AR55</f>
        <v>0</v>
      </c>
      <c r="AA55" s="21">
        <f>Tp!AS55</f>
        <v>0</v>
      </c>
      <c r="AB55" s="21">
        <f>Tp!AT55</f>
        <v>0</v>
      </c>
      <c r="AC55" s="21">
        <f>Tp!AU55</f>
        <v>0</v>
      </c>
      <c r="AD55" s="21">
        <f>Tp!AV55</f>
        <v>0</v>
      </c>
      <c r="AE55" s="21">
        <f>Tp!AW55</f>
        <v>0</v>
      </c>
      <c r="AG55" s="83">
        <f t="shared" si="0"/>
        <v>0</v>
      </c>
    </row>
    <row r="56" spans="2:33" ht="11.1" customHeight="1" x14ac:dyDescent="0.3">
      <c r="B56" s="19">
        <v>48</v>
      </c>
      <c r="C56" s="19">
        <f t="shared" si="6"/>
        <v>119</v>
      </c>
      <c r="E56" s="20">
        <f t="shared" si="7"/>
        <v>1</v>
      </c>
      <c r="F56" s="20">
        <f t="shared" si="8"/>
        <v>1</v>
      </c>
      <c r="G56" s="20">
        <f t="shared" si="9"/>
        <v>1</v>
      </c>
      <c r="H56" s="20">
        <f t="shared" si="10"/>
        <v>1</v>
      </c>
      <c r="L56" s="21">
        <f>Tp!AD56</f>
        <v>0</v>
      </c>
      <c r="M56" s="21">
        <f>Tp!AE56</f>
        <v>0</v>
      </c>
      <c r="N56" s="21">
        <f>Tp!AF56</f>
        <v>0</v>
      </c>
      <c r="O56" s="21">
        <f>Tp!AG56</f>
        <v>0</v>
      </c>
      <c r="P56" s="21">
        <f>Tp!AH56</f>
        <v>0</v>
      </c>
      <c r="Q56" s="21">
        <f>Tp!AI56</f>
        <v>0</v>
      </c>
      <c r="R56" s="21">
        <f>Tp!AJ56</f>
        <v>0</v>
      </c>
      <c r="S56" s="21">
        <f>Tp!AK56</f>
        <v>0</v>
      </c>
      <c r="T56" s="21">
        <f>Tp!AL56</f>
        <v>0</v>
      </c>
      <c r="U56" s="21">
        <f>Tp!AM56</f>
        <v>0</v>
      </c>
      <c r="V56" s="21">
        <f>Tp!AN56</f>
        <v>0</v>
      </c>
      <c r="W56" s="21">
        <f>Tp!AO56</f>
        <v>0</v>
      </c>
      <c r="X56" s="21">
        <f>Tp!AP56</f>
        <v>0</v>
      </c>
      <c r="Y56" s="21">
        <f>Tp!AQ56</f>
        <v>0</v>
      </c>
      <c r="Z56" s="21">
        <f>Tp!AR56</f>
        <v>0</v>
      </c>
      <c r="AA56" s="21">
        <f>Tp!AS56</f>
        <v>0</v>
      </c>
      <c r="AB56" s="21">
        <f>Tp!AT56</f>
        <v>0</v>
      </c>
      <c r="AC56" s="21">
        <f>Tp!AU56</f>
        <v>0</v>
      </c>
      <c r="AD56" s="21">
        <f>Tp!AV56</f>
        <v>0</v>
      </c>
      <c r="AE56" s="21">
        <f>Tp!AW56</f>
        <v>0</v>
      </c>
      <c r="AG56" s="83">
        <f t="shared" si="0"/>
        <v>0</v>
      </c>
    </row>
    <row r="57" spans="2:33" ht="11.1" customHeight="1" x14ac:dyDescent="0.3">
      <c r="B57" s="19">
        <v>49</v>
      </c>
      <c r="C57" s="19">
        <f t="shared" si="6"/>
        <v>120</v>
      </c>
      <c r="E57" s="20">
        <f t="shared" si="7"/>
        <v>1</v>
      </c>
      <c r="F57" s="20">
        <f t="shared" si="8"/>
        <v>1</v>
      </c>
      <c r="G57" s="20">
        <f t="shared" si="9"/>
        <v>1</v>
      </c>
      <c r="H57" s="20">
        <f t="shared" si="10"/>
        <v>1</v>
      </c>
      <c r="L57" s="21">
        <f>Tp!AD57</f>
        <v>0</v>
      </c>
      <c r="M57" s="21">
        <f>Tp!AE57</f>
        <v>0</v>
      </c>
      <c r="N57" s="21">
        <f>Tp!AF57</f>
        <v>0</v>
      </c>
      <c r="O57" s="21">
        <f>Tp!AG57</f>
        <v>0</v>
      </c>
      <c r="P57" s="21">
        <f>Tp!AH57</f>
        <v>0</v>
      </c>
      <c r="Q57" s="21">
        <f>Tp!AI57</f>
        <v>0</v>
      </c>
      <c r="R57" s="21">
        <f>Tp!AJ57</f>
        <v>0</v>
      </c>
      <c r="S57" s="21">
        <f>Tp!AK57</f>
        <v>0</v>
      </c>
      <c r="T57" s="21">
        <f>Tp!AL57</f>
        <v>0</v>
      </c>
      <c r="U57" s="21">
        <f>Tp!AM57</f>
        <v>0</v>
      </c>
      <c r="V57" s="21">
        <f>Tp!AN57</f>
        <v>0</v>
      </c>
      <c r="W57" s="21">
        <f>Tp!AO57</f>
        <v>0</v>
      </c>
      <c r="X57" s="21">
        <f>Tp!AP57</f>
        <v>0</v>
      </c>
      <c r="Y57" s="21">
        <f>Tp!AQ57</f>
        <v>0</v>
      </c>
      <c r="Z57" s="21">
        <f>Tp!AR57</f>
        <v>0</v>
      </c>
      <c r="AA57" s="21">
        <f>Tp!AS57</f>
        <v>0</v>
      </c>
      <c r="AB57" s="21">
        <f>Tp!AT57</f>
        <v>0</v>
      </c>
      <c r="AC57" s="21">
        <f>Tp!AU57</f>
        <v>0</v>
      </c>
      <c r="AD57" s="21">
        <f>Tp!AV57</f>
        <v>0</v>
      </c>
      <c r="AE57" s="21">
        <f>Tp!AW57</f>
        <v>0</v>
      </c>
      <c r="AG57" s="83">
        <f t="shared" si="0"/>
        <v>0</v>
      </c>
    </row>
    <row r="58" spans="2:33" ht="11.1" customHeight="1" x14ac:dyDescent="0.3">
      <c r="B58" s="19">
        <v>50</v>
      </c>
      <c r="C58" s="19">
        <f t="shared" si="6"/>
        <v>121</v>
      </c>
      <c r="E58" s="20">
        <f t="shared" si="7"/>
        <v>1</v>
      </c>
      <c r="F58" s="20">
        <f t="shared" si="8"/>
        <v>1</v>
      </c>
      <c r="G58" s="20">
        <f t="shared" si="9"/>
        <v>1</v>
      </c>
      <c r="H58" s="20">
        <f t="shared" si="10"/>
        <v>1</v>
      </c>
      <c r="L58" s="21">
        <f>Tp!AD58</f>
        <v>0</v>
      </c>
      <c r="M58" s="21">
        <f>Tp!AE58</f>
        <v>0</v>
      </c>
      <c r="N58" s="21">
        <f>Tp!AF58</f>
        <v>0</v>
      </c>
      <c r="O58" s="21">
        <f>Tp!AG58</f>
        <v>0</v>
      </c>
      <c r="P58" s="21">
        <f>Tp!AH58</f>
        <v>0</v>
      </c>
      <c r="Q58" s="21">
        <f>Tp!AI58</f>
        <v>0</v>
      </c>
      <c r="R58" s="21">
        <f>Tp!AJ58</f>
        <v>0</v>
      </c>
      <c r="S58" s="21">
        <f>Tp!AK58</f>
        <v>0</v>
      </c>
      <c r="T58" s="21">
        <f>Tp!AL58</f>
        <v>0</v>
      </c>
      <c r="U58" s="21">
        <f>Tp!AM58</f>
        <v>0</v>
      </c>
      <c r="V58" s="21">
        <f>Tp!AN58</f>
        <v>0</v>
      </c>
      <c r="W58" s="21">
        <f>Tp!AO58</f>
        <v>0</v>
      </c>
      <c r="X58" s="21">
        <f>Tp!AP58</f>
        <v>0</v>
      </c>
      <c r="Y58" s="21">
        <f>Tp!AQ58</f>
        <v>0</v>
      </c>
      <c r="Z58" s="21">
        <f>Tp!AR58</f>
        <v>0</v>
      </c>
      <c r="AA58" s="21">
        <f>Tp!AS58</f>
        <v>0</v>
      </c>
      <c r="AB58" s="21">
        <f>Tp!AT58</f>
        <v>0</v>
      </c>
      <c r="AC58" s="21">
        <f>Tp!AU58</f>
        <v>0</v>
      </c>
      <c r="AD58" s="21">
        <f>Tp!AV58</f>
        <v>0</v>
      </c>
      <c r="AE58" s="21">
        <f>Tp!AW58</f>
        <v>0</v>
      </c>
      <c r="AG58" s="83">
        <f t="shared" si="0"/>
        <v>0</v>
      </c>
    </row>
    <row r="59" spans="2:33" ht="11.1" customHeight="1" x14ac:dyDescent="0.3">
      <c r="B59" s="19">
        <v>51</v>
      </c>
      <c r="C59" s="19">
        <f t="shared" si="6"/>
        <v>122</v>
      </c>
      <c r="E59" s="20">
        <f t="shared" si="7"/>
        <v>1</v>
      </c>
      <c r="F59" s="20">
        <f t="shared" si="8"/>
        <v>1</v>
      </c>
      <c r="G59" s="20">
        <f t="shared" si="9"/>
        <v>1</v>
      </c>
      <c r="H59" s="20">
        <f t="shared" si="10"/>
        <v>1</v>
      </c>
      <c r="L59" s="21">
        <f>Tp!AD59</f>
        <v>0</v>
      </c>
      <c r="M59" s="21">
        <f>Tp!AE59</f>
        <v>0</v>
      </c>
      <c r="N59" s="21">
        <f>Tp!AF59</f>
        <v>0</v>
      </c>
      <c r="O59" s="21">
        <f>Tp!AG59</f>
        <v>0</v>
      </c>
      <c r="P59" s="21">
        <f>Tp!AH59</f>
        <v>0</v>
      </c>
      <c r="Q59" s="21">
        <f>Tp!AI59</f>
        <v>0</v>
      </c>
      <c r="R59" s="21">
        <f>Tp!AJ59</f>
        <v>0</v>
      </c>
      <c r="S59" s="21">
        <f>Tp!AK59</f>
        <v>0</v>
      </c>
      <c r="T59" s="21">
        <f>Tp!AL59</f>
        <v>0</v>
      </c>
      <c r="U59" s="21">
        <f>Tp!AM59</f>
        <v>0</v>
      </c>
      <c r="V59" s="21">
        <f>Tp!AN59</f>
        <v>0</v>
      </c>
      <c r="W59" s="21">
        <f>Tp!AO59</f>
        <v>0</v>
      </c>
      <c r="X59" s="21">
        <f>Tp!AP59</f>
        <v>0</v>
      </c>
      <c r="Y59" s="21">
        <f>Tp!AQ59</f>
        <v>0</v>
      </c>
      <c r="Z59" s="21">
        <f>Tp!AR59</f>
        <v>0</v>
      </c>
      <c r="AA59" s="21">
        <f>Tp!AS59</f>
        <v>0</v>
      </c>
      <c r="AB59" s="21">
        <f>Tp!AT59</f>
        <v>0</v>
      </c>
      <c r="AC59" s="21">
        <f>Tp!AU59</f>
        <v>0</v>
      </c>
      <c r="AD59" s="21">
        <f>Tp!AV59</f>
        <v>0</v>
      </c>
      <c r="AE59" s="21">
        <f>Tp!AW59</f>
        <v>0</v>
      </c>
      <c r="AG59" s="83">
        <f t="shared" si="0"/>
        <v>0</v>
      </c>
    </row>
    <row r="60" spans="2:33" ht="11.1" customHeight="1" x14ac:dyDescent="0.3">
      <c r="B60" s="19">
        <v>52</v>
      </c>
      <c r="C60" s="19">
        <f t="shared" si="6"/>
        <v>123</v>
      </c>
      <c r="E60" s="20">
        <f t="shared" si="7"/>
        <v>1</v>
      </c>
      <c r="F60" s="20">
        <f t="shared" si="8"/>
        <v>1</v>
      </c>
      <c r="G60" s="20">
        <f t="shared" si="9"/>
        <v>1</v>
      </c>
      <c r="H60" s="20">
        <f t="shared" si="10"/>
        <v>1</v>
      </c>
      <c r="L60" s="21">
        <f>Tp!AD60</f>
        <v>0</v>
      </c>
      <c r="M60" s="21">
        <f>Tp!AE60</f>
        <v>0</v>
      </c>
      <c r="N60" s="21">
        <f>Tp!AF60</f>
        <v>0</v>
      </c>
      <c r="O60" s="21">
        <f>Tp!AG60</f>
        <v>0</v>
      </c>
      <c r="P60" s="21">
        <f>Tp!AH60</f>
        <v>0</v>
      </c>
      <c r="Q60" s="21">
        <f>Tp!AI60</f>
        <v>0</v>
      </c>
      <c r="R60" s="21">
        <f>Tp!AJ60</f>
        <v>0</v>
      </c>
      <c r="S60" s="21">
        <f>Tp!AK60</f>
        <v>0</v>
      </c>
      <c r="T60" s="21">
        <f>Tp!AL60</f>
        <v>0</v>
      </c>
      <c r="U60" s="21">
        <f>Tp!AM60</f>
        <v>0</v>
      </c>
      <c r="V60" s="21">
        <f>Tp!AN60</f>
        <v>0</v>
      </c>
      <c r="W60" s="21">
        <f>Tp!AO60</f>
        <v>0</v>
      </c>
      <c r="X60" s="21">
        <f>Tp!AP60</f>
        <v>0</v>
      </c>
      <c r="Y60" s="21">
        <f>Tp!AQ60</f>
        <v>0</v>
      </c>
      <c r="Z60" s="21">
        <f>Tp!AR60</f>
        <v>0</v>
      </c>
      <c r="AA60" s="21">
        <f>Tp!AS60</f>
        <v>0</v>
      </c>
      <c r="AB60" s="21">
        <f>Tp!AT60</f>
        <v>0</v>
      </c>
      <c r="AC60" s="21">
        <f>Tp!AU60</f>
        <v>0</v>
      </c>
      <c r="AD60" s="21">
        <f>Tp!AV60</f>
        <v>0</v>
      </c>
      <c r="AE60" s="21">
        <f>Tp!AW60</f>
        <v>0</v>
      </c>
      <c r="AG60" s="83">
        <f t="shared" si="0"/>
        <v>0</v>
      </c>
    </row>
    <row r="61" spans="2:33" ht="11.1" customHeight="1" x14ac:dyDescent="0.3">
      <c r="B61" s="19">
        <v>53</v>
      </c>
      <c r="C61" s="19">
        <f t="shared" si="6"/>
        <v>124</v>
      </c>
      <c r="E61" s="20">
        <f t="shared" si="7"/>
        <v>1</v>
      </c>
      <c r="F61" s="20">
        <f t="shared" si="8"/>
        <v>1</v>
      </c>
      <c r="G61" s="20">
        <f t="shared" si="9"/>
        <v>1</v>
      </c>
      <c r="H61" s="20">
        <f t="shared" si="10"/>
        <v>1</v>
      </c>
      <c r="L61" s="21">
        <f>Tp!AD61</f>
        <v>0</v>
      </c>
      <c r="M61" s="21">
        <f>Tp!AE61</f>
        <v>0</v>
      </c>
      <c r="N61" s="21">
        <f>Tp!AF61</f>
        <v>0</v>
      </c>
      <c r="O61" s="21">
        <f>Tp!AG61</f>
        <v>0</v>
      </c>
      <c r="P61" s="21">
        <f>Tp!AH61</f>
        <v>0</v>
      </c>
      <c r="Q61" s="21">
        <f>Tp!AI61</f>
        <v>0</v>
      </c>
      <c r="R61" s="21">
        <f>Tp!AJ61</f>
        <v>0</v>
      </c>
      <c r="S61" s="21">
        <f>Tp!AK61</f>
        <v>0</v>
      </c>
      <c r="T61" s="21">
        <f>Tp!AL61</f>
        <v>0</v>
      </c>
      <c r="U61" s="21">
        <f>Tp!AM61</f>
        <v>0</v>
      </c>
      <c r="V61" s="21">
        <f>Tp!AN61</f>
        <v>0</v>
      </c>
      <c r="W61" s="21">
        <f>Tp!AO61</f>
        <v>0</v>
      </c>
      <c r="X61" s="21">
        <f>Tp!AP61</f>
        <v>0</v>
      </c>
      <c r="Y61" s="21">
        <f>Tp!AQ61</f>
        <v>0</v>
      </c>
      <c r="Z61" s="21">
        <f>Tp!AR61</f>
        <v>0</v>
      </c>
      <c r="AA61" s="21">
        <f>Tp!AS61</f>
        <v>0</v>
      </c>
      <c r="AB61" s="21">
        <f>Tp!AT61</f>
        <v>0</v>
      </c>
      <c r="AC61" s="21">
        <f>Tp!AU61</f>
        <v>0</v>
      </c>
      <c r="AD61" s="21">
        <f>Tp!AV61</f>
        <v>0</v>
      </c>
      <c r="AE61" s="21">
        <f>Tp!AW61</f>
        <v>0</v>
      </c>
      <c r="AG61" s="83">
        <f t="shared" si="0"/>
        <v>0</v>
      </c>
    </row>
    <row r="62" spans="2:33" ht="11.1" customHeight="1" x14ac:dyDescent="0.3">
      <c r="B62" s="19">
        <v>54</v>
      </c>
      <c r="C62" s="19">
        <f t="shared" si="6"/>
        <v>125</v>
      </c>
      <c r="E62" s="20">
        <f t="shared" si="7"/>
        <v>1</v>
      </c>
      <c r="F62" s="20">
        <f t="shared" si="8"/>
        <v>1</v>
      </c>
      <c r="G62" s="20">
        <f t="shared" si="9"/>
        <v>1</v>
      </c>
      <c r="H62" s="20">
        <f t="shared" si="10"/>
        <v>1</v>
      </c>
      <c r="L62" s="21">
        <f>Tp!AD62</f>
        <v>0</v>
      </c>
      <c r="M62" s="21">
        <f>Tp!AE62</f>
        <v>0</v>
      </c>
      <c r="N62" s="21">
        <f>Tp!AF62</f>
        <v>0</v>
      </c>
      <c r="O62" s="21">
        <f>Tp!AG62</f>
        <v>0</v>
      </c>
      <c r="P62" s="21">
        <f>Tp!AH62</f>
        <v>0</v>
      </c>
      <c r="Q62" s="21">
        <f>Tp!AI62</f>
        <v>0</v>
      </c>
      <c r="R62" s="21">
        <f>Tp!AJ62</f>
        <v>0</v>
      </c>
      <c r="S62" s="21">
        <f>Tp!AK62</f>
        <v>0</v>
      </c>
      <c r="T62" s="21">
        <f>Tp!AL62</f>
        <v>0</v>
      </c>
      <c r="U62" s="21">
        <f>Tp!AM62</f>
        <v>0</v>
      </c>
      <c r="V62" s="21">
        <f>Tp!AN62</f>
        <v>0</v>
      </c>
      <c r="W62" s="21">
        <f>Tp!AO62</f>
        <v>0</v>
      </c>
      <c r="X62" s="21">
        <f>Tp!AP62</f>
        <v>0</v>
      </c>
      <c r="Y62" s="21">
        <f>Tp!AQ62</f>
        <v>0</v>
      </c>
      <c r="Z62" s="21">
        <f>Tp!AR62</f>
        <v>0</v>
      </c>
      <c r="AA62" s="21">
        <f>Tp!AS62</f>
        <v>0</v>
      </c>
      <c r="AB62" s="21">
        <f>Tp!AT62</f>
        <v>0</v>
      </c>
      <c r="AC62" s="21">
        <f>Tp!AU62</f>
        <v>0</v>
      </c>
      <c r="AD62" s="21">
        <f>Tp!AV62</f>
        <v>0</v>
      </c>
      <c r="AE62" s="21">
        <f>Tp!AW62</f>
        <v>0</v>
      </c>
      <c r="AG62" s="83">
        <f t="shared" si="0"/>
        <v>0</v>
      </c>
    </row>
    <row r="63" spans="2:33" ht="11.1" customHeight="1" x14ac:dyDescent="0.3">
      <c r="B63" s="19">
        <v>55</v>
      </c>
      <c r="C63" s="19">
        <f t="shared" si="6"/>
        <v>126</v>
      </c>
      <c r="E63" s="20">
        <f t="shared" si="7"/>
        <v>1</v>
      </c>
      <c r="F63" s="20">
        <f t="shared" si="8"/>
        <v>1</v>
      </c>
      <c r="G63" s="20">
        <f t="shared" si="9"/>
        <v>1</v>
      </c>
      <c r="H63" s="20">
        <f t="shared" si="10"/>
        <v>1</v>
      </c>
      <c r="L63" s="21">
        <f>Tp!AD63</f>
        <v>0</v>
      </c>
      <c r="M63" s="21">
        <f>Tp!AE63</f>
        <v>0</v>
      </c>
      <c r="N63" s="21">
        <f>Tp!AF63</f>
        <v>0</v>
      </c>
      <c r="O63" s="21">
        <f>Tp!AG63</f>
        <v>0</v>
      </c>
      <c r="P63" s="21">
        <f>Tp!AH63</f>
        <v>0</v>
      </c>
      <c r="Q63" s="21">
        <f>Tp!AI63</f>
        <v>0</v>
      </c>
      <c r="R63" s="21">
        <f>Tp!AJ63</f>
        <v>0</v>
      </c>
      <c r="S63" s="21">
        <f>Tp!AK63</f>
        <v>0</v>
      </c>
      <c r="T63" s="21">
        <f>Tp!AL63</f>
        <v>0</v>
      </c>
      <c r="U63" s="21">
        <f>Tp!AM63</f>
        <v>0</v>
      </c>
      <c r="V63" s="21">
        <f>Tp!AN63</f>
        <v>0</v>
      </c>
      <c r="W63" s="21">
        <f>Tp!AO63</f>
        <v>0</v>
      </c>
      <c r="X63" s="21">
        <f>Tp!AP63</f>
        <v>0</v>
      </c>
      <c r="Y63" s="21">
        <f>Tp!AQ63</f>
        <v>0</v>
      </c>
      <c r="Z63" s="21">
        <f>Tp!AR63</f>
        <v>0</v>
      </c>
      <c r="AA63" s="21">
        <f>Tp!AS63</f>
        <v>0</v>
      </c>
      <c r="AB63" s="21">
        <f>Tp!AT63</f>
        <v>0</v>
      </c>
      <c r="AC63" s="21">
        <f>Tp!AU63</f>
        <v>0</v>
      </c>
      <c r="AD63" s="21">
        <f>Tp!AV63</f>
        <v>0</v>
      </c>
      <c r="AE63" s="21">
        <f>Tp!AW63</f>
        <v>0</v>
      </c>
      <c r="AG63" s="83">
        <f t="shared" si="0"/>
        <v>0</v>
      </c>
    </row>
    <row r="64" spans="2:33" ht="11.1" customHeight="1" x14ac:dyDescent="0.3">
      <c r="B64" s="19">
        <v>56</v>
      </c>
      <c r="C64" s="19">
        <f t="shared" si="6"/>
        <v>127</v>
      </c>
      <c r="E64" s="20">
        <f t="shared" si="7"/>
        <v>1</v>
      </c>
      <c r="F64" s="20">
        <f t="shared" si="8"/>
        <v>1</v>
      </c>
      <c r="G64" s="20">
        <f t="shared" si="9"/>
        <v>1</v>
      </c>
      <c r="H64" s="20">
        <f t="shared" si="10"/>
        <v>1</v>
      </c>
      <c r="L64" s="21">
        <f>Tp!AD64</f>
        <v>0</v>
      </c>
      <c r="M64" s="21">
        <f>Tp!AE64</f>
        <v>0</v>
      </c>
      <c r="N64" s="21">
        <f>Tp!AF64</f>
        <v>0</v>
      </c>
      <c r="O64" s="21">
        <f>Tp!AG64</f>
        <v>0</v>
      </c>
      <c r="P64" s="21">
        <f>Tp!AH64</f>
        <v>0</v>
      </c>
      <c r="Q64" s="21">
        <f>Tp!AI64</f>
        <v>0</v>
      </c>
      <c r="R64" s="21">
        <f>Tp!AJ64</f>
        <v>0</v>
      </c>
      <c r="S64" s="21">
        <f>Tp!AK64</f>
        <v>0</v>
      </c>
      <c r="T64" s="21">
        <f>Tp!AL64</f>
        <v>0</v>
      </c>
      <c r="U64" s="21">
        <f>Tp!AM64</f>
        <v>0</v>
      </c>
      <c r="V64" s="21">
        <f>Tp!AN64</f>
        <v>0</v>
      </c>
      <c r="W64" s="21">
        <f>Tp!AO64</f>
        <v>0</v>
      </c>
      <c r="X64" s="21">
        <f>Tp!AP64</f>
        <v>0</v>
      </c>
      <c r="Y64" s="21">
        <f>Tp!AQ64</f>
        <v>0</v>
      </c>
      <c r="Z64" s="21">
        <f>Tp!AR64</f>
        <v>0</v>
      </c>
      <c r="AA64" s="21">
        <f>Tp!AS64</f>
        <v>0</v>
      </c>
      <c r="AB64" s="21">
        <f>Tp!AT64</f>
        <v>0</v>
      </c>
      <c r="AC64" s="21">
        <f>Tp!AU64</f>
        <v>0</v>
      </c>
      <c r="AD64" s="21">
        <f>Tp!AV64</f>
        <v>0</v>
      </c>
      <c r="AE64" s="21">
        <f>Tp!AW64</f>
        <v>0</v>
      </c>
      <c r="AG64" s="83">
        <f t="shared" si="0"/>
        <v>0</v>
      </c>
    </row>
    <row r="65" spans="2:33" ht="11.1" customHeight="1" x14ac:dyDescent="0.3">
      <c r="B65" s="19">
        <v>57</v>
      </c>
      <c r="C65" s="19">
        <f t="shared" si="6"/>
        <v>128</v>
      </c>
      <c r="E65" s="20">
        <f t="shared" si="7"/>
        <v>1</v>
      </c>
      <c r="F65" s="20">
        <f t="shared" si="8"/>
        <v>1</v>
      </c>
      <c r="G65" s="20">
        <f t="shared" si="9"/>
        <v>1</v>
      </c>
      <c r="H65" s="20">
        <f t="shared" si="10"/>
        <v>1</v>
      </c>
      <c r="L65" s="21">
        <f>Tp!AD65</f>
        <v>0</v>
      </c>
      <c r="M65" s="21">
        <f>Tp!AE65</f>
        <v>0</v>
      </c>
      <c r="N65" s="21">
        <f>Tp!AF65</f>
        <v>0</v>
      </c>
      <c r="O65" s="21">
        <f>Tp!AG65</f>
        <v>0</v>
      </c>
      <c r="P65" s="21">
        <f>Tp!AH65</f>
        <v>0</v>
      </c>
      <c r="Q65" s="21">
        <f>Tp!AI65</f>
        <v>0</v>
      </c>
      <c r="R65" s="21">
        <f>Tp!AJ65</f>
        <v>0</v>
      </c>
      <c r="S65" s="21">
        <f>Tp!AK65</f>
        <v>0</v>
      </c>
      <c r="T65" s="21">
        <f>Tp!AL65</f>
        <v>0</v>
      </c>
      <c r="U65" s="21">
        <f>Tp!AM65</f>
        <v>0</v>
      </c>
      <c r="V65" s="21">
        <f>Tp!AN65</f>
        <v>0</v>
      </c>
      <c r="W65" s="21">
        <f>Tp!AO65</f>
        <v>0</v>
      </c>
      <c r="X65" s="21">
        <f>Tp!AP65</f>
        <v>0</v>
      </c>
      <c r="Y65" s="21">
        <f>Tp!AQ65</f>
        <v>0</v>
      </c>
      <c r="Z65" s="21">
        <f>Tp!AR65</f>
        <v>0</v>
      </c>
      <c r="AA65" s="21">
        <f>Tp!AS65</f>
        <v>0</v>
      </c>
      <c r="AB65" s="21">
        <f>Tp!AT65</f>
        <v>0</v>
      </c>
      <c r="AC65" s="21">
        <f>Tp!AU65</f>
        <v>0</v>
      </c>
      <c r="AD65" s="21">
        <f>Tp!AV65</f>
        <v>0</v>
      </c>
      <c r="AE65" s="21">
        <f>Tp!AW65</f>
        <v>0</v>
      </c>
      <c r="AG65" s="83">
        <f t="shared" si="0"/>
        <v>0</v>
      </c>
    </row>
    <row r="66" spans="2:33" ht="11.1" customHeight="1" x14ac:dyDescent="0.3">
      <c r="B66" s="19">
        <v>58</v>
      </c>
      <c r="C66" s="19">
        <f t="shared" si="6"/>
        <v>129</v>
      </c>
      <c r="E66" s="20">
        <f t="shared" si="7"/>
        <v>1</v>
      </c>
      <c r="F66" s="20">
        <f t="shared" si="8"/>
        <v>1</v>
      </c>
      <c r="G66" s="20">
        <f t="shared" si="9"/>
        <v>1</v>
      </c>
      <c r="H66" s="20">
        <f t="shared" si="10"/>
        <v>1</v>
      </c>
      <c r="L66" s="21">
        <f>Tp!AD66</f>
        <v>0</v>
      </c>
      <c r="M66" s="21">
        <f>Tp!AE66</f>
        <v>0</v>
      </c>
      <c r="N66" s="21">
        <f>Tp!AF66</f>
        <v>0</v>
      </c>
      <c r="O66" s="21">
        <f>Tp!AG66</f>
        <v>0</v>
      </c>
      <c r="P66" s="21">
        <f>Tp!AH66</f>
        <v>0</v>
      </c>
      <c r="Q66" s="21">
        <f>Tp!AI66</f>
        <v>0</v>
      </c>
      <c r="R66" s="21">
        <f>Tp!AJ66</f>
        <v>0</v>
      </c>
      <c r="S66" s="21">
        <f>Tp!AK66</f>
        <v>0</v>
      </c>
      <c r="T66" s="21">
        <f>Tp!AL66</f>
        <v>0</v>
      </c>
      <c r="U66" s="21">
        <f>Tp!AM66</f>
        <v>0</v>
      </c>
      <c r="V66" s="21">
        <f>Tp!AN66</f>
        <v>0</v>
      </c>
      <c r="W66" s="21">
        <f>Tp!AO66</f>
        <v>0</v>
      </c>
      <c r="X66" s="21">
        <f>Tp!AP66</f>
        <v>0</v>
      </c>
      <c r="Y66" s="21">
        <f>Tp!AQ66</f>
        <v>0</v>
      </c>
      <c r="Z66" s="21">
        <f>Tp!AR66</f>
        <v>0</v>
      </c>
      <c r="AA66" s="21">
        <f>Tp!AS66</f>
        <v>0</v>
      </c>
      <c r="AB66" s="21">
        <f>Tp!AT66</f>
        <v>0</v>
      </c>
      <c r="AC66" s="21">
        <f>Tp!AU66</f>
        <v>0</v>
      </c>
      <c r="AD66" s="21">
        <f>Tp!AV66</f>
        <v>0</v>
      </c>
      <c r="AE66" s="21">
        <f>Tp!AW66</f>
        <v>0</v>
      </c>
      <c r="AG66" s="83">
        <f t="shared" si="0"/>
        <v>0</v>
      </c>
    </row>
    <row r="67" spans="2:33" ht="11.1" customHeight="1" x14ac:dyDescent="0.3">
      <c r="B67" s="19">
        <v>59</v>
      </c>
      <c r="C67" s="19">
        <f t="shared" si="6"/>
        <v>130</v>
      </c>
      <c r="E67" s="20">
        <f t="shared" si="7"/>
        <v>1</v>
      </c>
      <c r="F67" s="20">
        <f t="shared" si="8"/>
        <v>1</v>
      </c>
      <c r="G67" s="20">
        <f t="shared" si="9"/>
        <v>1</v>
      </c>
      <c r="H67" s="20">
        <f t="shared" si="10"/>
        <v>1</v>
      </c>
      <c r="L67" s="21">
        <f>Tp!AD67</f>
        <v>0</v>
      </c>
      <c r="M67" s="21">
        <f>Tp!AE67</f>
        <v>0</v>
      </c>
      <c r="N67" s="21">
        <f>Tp!AF67</f>
        <v>0</v>
      </c>
      <c r="O67" s="21">
        <f>Tp!AG67</f>
        <v>0</v>
      </c>
      <c r="P67" s="21">
        <f>Tp!AH67</f>
        <v>0</v>
      </c>
      <c r="Q67" s="21">
        <f>Tp!AI67</f>
        <v>0</v>
      </c>
      <c r="R67" s="21">
        <f>Tp!AJ67</f>
        <v>0</v>
      </c>
      <c r="S67" s="21">
        <f>Tp!AK67</f>
        <v>0</v>
      </c>
      <c r="T67" s="21">
        <f>Tp!AL67</f>
        <v>0</v>
      </c>
      <c r="U67" s="21">
        <f>Tp!AM67</f>
        <v>0</v>
      </c>
      <c r="V67" s="21">
        <f>Tp!AN67</f>
        <v>0</v>
      </c>
      <c r="W67" s="21">
        <f>Tp!AO67</f>
        <v>0</v>
      </c>
      <c r="X67" s="21">
        <f>Tp!AP67</f>
        <v>0</v>
      </c>
      <c r="Y67" s="21">
        <f>Tp!AQ67</f>
        <v>0</v>
      </c>
      <c r="Z67" s="21">
        <f>Tp!AR67</f>
        <v>0</v>
      </c>
      <c r="AA67" s="21">
        <f>Tp!AS67</f>
        <v>0</v>
      </c>
      <c r="AB67" s="21">
        <f>Tp!AT67</f>
        <v>0</v>
      </c>
      <c r="AC67" s="21">
        <f>Tp!AU67</f>
        <v>0</v>
      </c>
      <c r="AD67" s="21">
        <f>Tp!AV67</f>
        <v>0</v>
      </c>
      <c r="AE67" s="21">
        <f>Tp!AW67</f>
        <v>0</v>
      </c>
      <c r="AG67" s="83">
        <f t="shared" si="0"/>
        <v>0</v>
      </c>
    </row>
    <row r="68" spans="2:33" ht="11.1" customHeight="1" x14ac:dyDescent="0.3">
      <c r="B68" s="19">
        <v>60</v>
      </c>
      <c r="C68" s="19">
        <f t="shared" si="6"/>
        <v>131</v>
      </c>
      <c r="E68" s="20">
        <f t="shared" si="7"/>
        <v>1</v>
      </c>
      <c r="F68" s="20">
        <f t="shared" si="8"/>
        <v>1</v>
      </c>
      <c r="G68" s="20">
        <f t="shared" si="9"/>
        <v>1</v>
      </c>
      <c r="H68" s="20">
        <f t="shared" si="10"/>
        <v>1</v>
      </c>
      <c r="L68" s="21">
        <f>Tp!AD85</f>
        <v>0</v>
      </c>
      <c r="M68" s="21">
        <f>Tp!AE85</f>
        <v>0</v>
      </c>
      <c r="N68" s="21">
        <f>Tp!AF85</f>
        <v>0</v>
      </c>
      <c r="O68" s="21">
        <f>Tp!AG85</f>
        <v>0</v>
      </c>
      <c r="P68" s="21">
        <f>Tp!AH85</f>
        <v>0</v>
      </c>
      <c r="Q68" s="21">
        <f>Tp!AI85</f>
        <v>0</v>
      </c>
      <c r="R68" s="21">
        <f>Tp!AJ85</f>
        <v>0</v>
      </c>
      <c r="S68" s="21">
        <f>Tp!AK85</f>
        <v>0</v>
      </c>
      <c r="T68" s="21">
        <f>Tp!AL85</f>
        <v>0</v>
      </c>
      <c r="U68" s="21">
        <f>Tp!AM85</f>
        <v>0</v>
      </c>
      <c r="V68" s="21">
        <f>Tp!AN85</f>
        <v>0</v>
      </c>
      <c r="W68" s="21">
        <f>Tp!AO85</f>
        <v>0</v>
      </c>
      <c r="X68" s="21">
        <f>Tp!AP85</f>
        <v>0</v>
      </c>
      <c r="Y68" s="21">
        <f>Tp!AQ85</f>
        <v>0</v>
      </c>
      <c r="Z68" s="21">
        <f>Tp!AR85</f>
        <v>0</v>
      </c>
      <c r="AA68" s="21">
        <f>Tp!AS85</f>
        <v>0</v>
      </c>
      <c r="AB68" s="21">
        <f>Tp!AT85</f>
        <v>0</v>
      </c>
      <c r="AC68" s="21">
        <f>Tp!AU85</f>
        <v>0</v>
      </c>
      <c r="AD68" s="21">
        <f>Tp!AV85</f>
        <v>0</v>
      </c>
      <c r="AE68" s="21">
        <f>Tp!AW85</f>
        <v>0</v>
      </c>
      <c r="AG68" s="83">
        <f t="shared" si="0"/>
        <v>0</v>
      </c>
    </row>
    <row r="69" spans="2:33" ht="11.1" customHeight="1" x14ac:dyDescent="0.3">
      <c r="B69" s="19">
        <v>61</v>
      </c>
      <c r="C69" s="19">
        <f t="shared" si="6"/>
        <v>132</v>
      </c>
      <c r="E69" s="20">
        <f t="shared" si="7"/>
        <v>1</v>
      </c>
      <c r="F69" s="20">
        <f t="shared" si="8"/>
        <v>1</v>
      </c>
      <c r="G69" s="20">
        <f t="shared" si="9"/>
        <v>1</v>
      </c>
      <c r="H69" s="20">
        <f t="shared" si="10"/>
        <v>1</v>
      </c>
      <c r="L69" s="21">
        <f>Tp!AD86</f>
        <v>0</v>
      </c>
      <c r="M69" s="21">
        <f>Tp!AE86</f>
        <v>0</v>
      </c>
      <c r="N69" s="21">
        <f>Tp!AF86</f>
        <v>0</v>
      </c>
      <c r="O69" s="21">
        <f>Tp!AG86</f>
        <v>0</v>
      </c>
      <c r="P69" s="21">
        <f>Tp!AH86</f>
        <v>0</v>
      </c>
      <c r="Q69" s="21">
        <f>Tp!AI86</f>
        <v>0</v>
      </c>
      <c r="R69" s="21">
        <f>Tp!AJ86</f>
        <v>0</v>
      </c>
      <c r="S69" s="21">
        <f>Tp!AK86</f>
        <v>0</v>
      </c>
      <c r="T69" s="21">
        <f>Tp!AL86</f>
        <v>0</v>
      </c>
      <c r="U69" s="21">
        <f>Tp!AM86</f>
        <v>0</v>
      </c>
      <c r="V69" s="21">
        <f>Tp!AN86</f>
        <v>0</v>
      </c>
      <c r="W69" s="21">
        <f>Tp!AO86</f>
        <v>0</v>
      </c>
      <c r="X69" s="21">
        <f>Tp!AP86</f>
        <v>0</v>
      </c>
      <c r="Y69" s="21">
        <f>Tp!AQ86</f>
        <v>0</v>
      </c>
      <c r="Z69" s="21">
        <f>Tp!AR86</f>
        <v>0</v>
      </c>
      <c r="AA69" s="21">
        <f>Tp!AS86</f>
        <v>0</v>
      </c>
      <c r="AB69" s="21">
        <f>Tp!AT86</f>
        <v>0</v>
      </c>
      <c r="AC69" s="21">
        <f>Tp!AU86</f>
        <v>0</v>
      </c>
      <c r="AD69" s="21">
        <f>Tp!AV86</f>
        <v>0</v>
      </c>
      <c r="AE69" s="21">
        <f>Tp!AW86</f>
        <v>0</v>
      </c>
      <c r="AG69" s="83">
        <f t="shared" si="0"/>
        <v>0</v>
      </c>
    </row>
    <row r="70" spans="2:33" ht="11.1" customHeight="1" x14ac:dyDescent="0.3">
      <c r="B70" s="19">
        <v>62</v>
      </c>
      <c r="C70" s="19">
        <f t="shared" si="6"/>
        <v>133</v>
      </c>
      <c r="E70" s="20">
        <f t="shared" si="7"/>
        <v>1</v>
      </c>
      <c r="F70" s="20">
        <f t="shared" si="8"/>
        <v>1</v>
      </c>
      <c r="G70" s="20">
        <f t="shared" si="9"/>
        <v>1</v>
      </c>
      <c r="H70" s="20">
        <f t="shared" si="10"/>
        <v>1</v>
      </c>
      <c r="L70" s="21">
        <f>Tp!AD87</f>
        <v>0</v>
      </c>
      <c r="M70" s="21">
        <f>Tp!AE87</f>
        <v>0</v>
      </c>
      <c r="N70" s="21">
        <f>Tp!AF87</f>
        <v>0</v>
      </c>
      <c r="O70" s="21">
        <f>Tp!AG87</f>
        <v>0</v>
      </c>
      <c r="P70" s="21">
        <f>Tp!AH87</f>
        <v>0</v>
      </c>
      <c r="Q70" s="21">
        <f>Tp!AI87</f>
        <v>0</v>
      </c>
      <c r="R70" s="21">
        <f>Tp!AJ87</f>
        <v>0</v>
      </c>
      <c r="S70" s="21">
        <f>Tp!AK87</f>
        <v>0</v>
      </c>
      <c r="T70" s="21">
        <f>Tp!AL87</f>
        <v>0</v>
      </c>
      <c r="U70" s="21">
        <f>Tp!AM87</f>
        <v>0</v>
      </c>
      <c r="V70" s="21">
        <f>Tp!AN87</f>
        <v>0</v>
      </c>
      <c r="W70" s="21">
        <f>Tp!AO87</f>
        <v>0</v>
      </c>
      <c r="X70" s="21">
        <f>Tp!AP87</f>
        <v>0</v>
      </c>
      <c r="Y70" s="21">
        <f>Tp!AQ87</f>
        <v>0</v>
      </c>
      <c r="Z70" s="21">
        <f>Tp!AR87</f>
        <v>0</v>
      </c>
      <c r="AA70" s="21">
        <f>Tp!AS87</f>
        <v>0</v>
      </c>
      <c r="AB70" s="21">
        <f>Tp!AT87</f>
        <v>0</v>
      </c>
      <c r="AC70" s="21">
        <f>Tp!AU87</f>
        <v>0</v>
      </c>
      <c r="AD70" s="21">
        <f>Tp!AV87</f>
        <v>0</v>
      </c>
      <c r="AE70" s="21">
        <f>Tp!AW87</f>
        <v>0</v>
      </c>
      <c r="AG70" s="83">
        <f t="shared" si="0"/>
        <v>0</v>
      </c>
    </row>
    <row r="71" spans="2:33" ht="11.1" customHeight="1" x14ac:dyDescent="0.3">
      <c r="B71" s="19">
        <v>63</v>
      </c>
      <c r="C71" s="19">
        <f t="shared" si="6"/>
        <v>134</v>
      </c>
      <c r="E71" s="20">
        <f t="shared" si="7"/>
        <v>1</v>
      </c>
      <c r="F71" s="20">
        <f t="shared" si="8"/>
        <v>1</v>
      </c>
      <c r="G71" s="20">
        <f t="shared" si="9"/>
        <v>1</v>
      </c>
      <c r="H71" s="20">
        <f t="shared" si="10"/>
        <v>1</v>
      </c>
      <c r="L71" s="21">
        <f>Tp!AD88</f>
        <v>0</v>
      </c>
      <c r="M71" s="21">
        <f>Tp!AE88</f>
        <v>0</v>
      </c>
      <c r="N71" s="21">
        <f>Tp!AF88</f>
        <v>0</v>
      </c>
      <c r="O71" s="21">
        <f>Tp!AG88</f>
        <v>0</v>
      </c>
      <c r="P71" s="21">
        <f>Tp!AH88</f>
        <v>0</v>
      </c>
      <c r="Q71" s="21">
        <f>Tp!AI88</f>
        <v>0</v>
      </c>
      <c r="R71" s="21">
        <f>Tp!AJ88</f>
        <v>0</v>
      </c>
      <c r="S71" s="21">
        <f>Tp!AK88</f>
        <v>0</v>
      </c>
      <c r="T71" s="21">
        <f>Tp!AL88</f>
        <v>0</v>
      </c>
      <c r="U71" s="21">
        <f>Tp!AM88</f>
        <v>0</v>
      </c>
      <c r="V71" s="21">
        <f>Tp!AN88</f>
        <v>0</v>
      </c>
      <c r="W71" s="21">
        <f>Tp!AO88</f>
        <v>0</v>
      </c>
      <c r="X71" s="21">
        <f>Tp!AP88</f>
        <v>0</v>
      </c>
      <c r="Y71" s="21">
        <f>Tp!AQ88</f>
        <v>0</v>
      </c>
      <c r="Z71" s="21">
        <f>Tp!AR88</f>
        <v>0</v>
      </c>
      <c r="AA71" s="21">
        <f>Tp!AS88</f>
        <v>0</v>
      </c>
      <c r="AB71" s="21">
        <f>Tp!AT88</f>
        <v>0</v>
      </c>
      <c r="AC71" s="21">
        <f>Tp!AU88</f>
        <v>0</v>
      </c>
      <c r="AD71" s="21">
        <f>Tp!AV88</f>
        <v>0</v>
      </c>
      <c r="AE71" s="21">
        <f>Tp!AW88</f>
        <v>0</v>
      </c>
      <c r="AG71" s="83">
        <f t="shared" si="0"/>
        <v>0</v>
      </c>
    </row>
    <row r="72" spans="2:33" ht="11.1" customHeight="1" x14ac:dyDescent="0.3">
      <c r="B72" s="19">
        <v>64</v>
      </c>
      <c r="C72" s="19">
        <f t="shared" ref="C72:C78" si="11">start_age+Alz_cycle</f>
        <v>135</v>
      </c>
      <c r="E72" s="20">
        <f t="shared" ref="E72:E78" si="12">VLOOKUP(Alz_age,table_mort_MCI,2)</f>
        <v>1</v>
      </c>
      <c r="F72" s="20">
        <f t="shared" ref="F72:F78" si="13">VLOOKUP(Alz_age,table_mort_Mild,2)</f>
        <v>1</v>
      </c>
      <c r="G72" s="20">
        <f t="shared" ref="G72:G78" si="14">VLOOKUP(Alz_age,table_mort_Moderate,2)</f>
        <v>1</v>
      </c>
      <c r="H72" s="20">
        <f t="shared" ref="H72:H78" si="15">VLOOKUP(Alz_age,table_mort_Severe,2)</f>
        <v>1</v>
      </c>
      <c r="L72" s="21">
        <f>Tp!AD89</f>
        <v>0</v>
      </c>
      <c r="M72" s="21">
        <f>Tp!AE89</f>
        <v>0</v>
      </c>
      <c r="N72" s="21">
        <f>Tp!AF89</f>
        <v>0</v>
      </c>
      <c r="O72" s="21">
        <f>Tp!AG89</f>
        <v>0</v>
      </c>
      <c r="P72" s="21">
        <f>Tp!AH89</f>
        <v>0</v>
      </c>
      <c r="Q72" s="21">
        <f>Tp!AI89</f>
        <v>0</v>
      </c>
      <c r="R72" s="21">
        <f>Tp!AJ89</f>
        <v>0</v>
      </c>
      <c r="S72" s="21">
        <f>Tp!AK89</f>
        <v>0</v>
      </c>
      <c r="T72" s="21">
        <f>Tp!AL89</f>
        <v>0</v>
      </c>
      <c r="U72" s="21">
        <f>Tp!AM89</f>
        <v>0</v>
      </c>
      <c r="V72" s="21">
        <f>Tp!AN89</f>
        <v>0</v>
      </c>
      <c r="W72" s="21">
        <f>Tp!AO89</f>
        <v>0</v>
      </c>
      <c r="X72" s="21">
        <f>Tp!AP89</f>
        <v>0</v>
      </c>
      <c r="Y72" s="21">
        <f>Tp!AQ89</f>
        <v>0</v>
      </c>
      <c r="Z72" s="21">
        <f>Tp!AR89</f>
        <v>0</v>
      </c>
      <c r="AA72" s="21">
        <f>Tp!AS89</f>
        <v>0</v>
      </c>
      <c r="AB72" s="21">
        <f>Tp!AT89</f>
        <v>0</v>
      </c>
      <c r="AC72" s="21">
        <f>Tp!AU89</f>
        <v>0</v>
      </c>
      <c r="AD72" s="21">
        <f>Tp!AV89</f>
        <v>0</v>
      </c>
      <c r="AE72" s="21">
        <f>Tp!AW89</f>
        <v>0</v>
      </c>
      <c r="AG72" s="83">
        <f t="shared" si="0"/>
        <v>0</v>
      </c>
    </row>
    <row r="73" spans="2:33" ht="11.1" customHeight="1" x14ac:dyDescent="0.3">
      <c r="B73" s="19">
        <v>65</v>
      </c>
      <c r="C73" s="19">
        <f t="shared" si="11"/>
        <v>136</v>
      </c>
      <c r="E73" s="20">
        <f t="shared" si="12"/>
        <v>1</v>
      </c>
      <c r="F73" s="20">
        <f t="shared" si="13"/>
        <v>1</v>
      </c>
      <c r="G73" s="20">
        <f t="shared" si="14"/>
        <v>1</v>
      </c>
      <c r="H73" s="20">
        <f t="shared" si="15"/>
        <v>1</v>
      </c>
      <c r="L73" s="21">
        <f>Tp!AD90</f>
        <v>0</v>
      </c>
      <c r="M73" s="21">
        <f>Tp!AE90</f>
        <v>0</v>
      </c>
      <c r="N73" s="21">
        <f>Tp!AF90</f>
        <v>0</v>
      </c>
      <c r="O73" s="21">
        <f>Tp!AG90</f>
        <v>0</v>
      </c>
      <c r="P73" s="21">
        <f>Tp!AH90</f>
        <v>0</v>
      </c>
      <c r="Q73" s="21">
        <f>Tp!AI90</f>
        <v>0</v>
      </c>
      <c r="R73" s="21">
        <f>Tp!AJ90</f>
        <v>0</v>
      </c>
      <c r="S73" s="21">
        <f>Tp!AK90</f>
        <v>0</v>
      </c>
      <c r="T73" s="21">
        <f>Tp!AL90</f>
        <v>0</v>
      </c>
      <c r="U73" s="21">
        <f>Tp!AM90</f>
        <v>0</v>
      </c>
      <c r="V73" s="21">
        <f>Tp!AN90</f>
        <v>0</v>
      </c>
      <c r="W73" s="21">
        <f>Tp!AO90</f>
        <v>0</v>
      </c>
      <c r="X73" s="21">
        <f>Tp!AP90</f>
        <v>0</v>
      </c>
      <c r="Y73" s="21">
        <f>Tp!AQ90</f>
        <v>0</v>
      </c>
      <c r="Z73" s="21">
        <f>Tp!AR90</f>
        <v>0</v>
      </c>
      <c r="AA73" s="21">
        <f>Tp!AS90</f>
        <v>0</v>
      </c>
      <c r="AB73" s="21">
        <f>Tp!AT90</f>
        <v>0</v>
      </c>
      <c r="AC73" s="21">
        <f>Tp!AU90</f>
        <v>0</v>
      </c>
      <c r="AD73" s="21">
        <f>Tp!AV90</f>
        <v>0</v>
      </c>
      <c r="AE73" s="21">
        <f>Tp!AW90</f>
        <v>0</v>
      </c>
      <c r="AG73" s="83">
        <f t="shared" ref="AG73:AG78" si="16">SUM(L73:AE73)</f>
        <v>0</v>
      </c>
    </row>
    <row r="74" spans="2:33" ht="11.1" customHeight="1" x14ac:dyDescent="0.3">
      <c r="B74" s="19">
        <v>66</v>
      </c>
      <c r="C74" s="19">
        <f t="shared" si="11"/>
        <v>137</v>
      </c>
      <c r="E74" s="20">
        <f t="shared" si="12"/>
        <v>1</v>
      </c>
      <c r="F74" s="20">
        <f t="shared" si="13"/>
        <v>1</v>
      </c>
      <c r="G74" s="20">
        <f t="shared" si="14"/>
        <v>1</v>
      </c>
      <c r="H74" s="20">
        <f t="shared" si="15"/>
        <v>1</v>
      </c>
      <c r="L74" s="21">
        <f>Tp!AD91</f>
        <v>0</v>
      </c>
      <c r="M74" s="21">
        <f>Tp!AE91</f>
        <v>0</v>
      </c>
      <c r="N74" s="21">
        <f>Tp!AF91</f>
        <v>0</v>
      </c>
      <c r="O74" s="21">
        <f>Tp!AG91</f>
        <v>0</v>
      </c>
      <c r="P74" s="21">
        <f>Tp!AH91</f>
        <v>0</v>
      </c>
      <c r="Q74" s="21">
        <f>Tp!AI91</f>
        <v>0</v>
      </c>
      <c r="R74" s="21">
        <f>Tp!AJ91</f>
        <v>0</v>
      </c>
      <c r="S74" s="21">
        <f>Tp!AK91</f>
        <v>0</v>
      </c>
      <c r="T74" s="21">
        <f>Tp!AL91</f>
        <v>0</v>
      </c>
      <c r="U74" s="21">
        <f>Tp!AM91</f>
        <v>0</v>
      </c>
      <c r="V74" s="21">
        <f>Tp!AN91</f>
        <v>0</v>
      </c>
      <c r="W74" s="21">
        <f>Tp!AO91</f>
        <v>0</v>
      </c>
      <c r="X74" s="21">
        <f>Tp!AP91</f>
        <v>0</v>
      </c>
      <c r="Y74" s="21">
        <f>Tp!AQ91</f>
        <v>0</v>
      </c>
      <c r="Z74" s="21">
        <f>Tp!AR91</f>
        <v>0</v>
      </c>
      <c r="AA74" s="21">
        <f>Tp!AS91</f>
        <v>0</v>
      </c>
      <c r="AB74" s="21">
        <f>Tp!AT91</f>
        <v>0</v>
      </c>
      <c r="AC74" s="21">
        <f>Tp!AU91</f>
        <v>0</v>
      </c>
      <c r="AD74" s="21">
        <f>Tp!AV91</f>
        <v>0</v>
      </c>
      <c r="AE74" s="21">
        <f>Tp!AW91</f>
        <v>0</v>
      </c>
      <c r="AG74" s="83">
        <f t="shared" si="16"/>
        <v>0</v>
      </c>
    </row>
    <row r="75" spans="2:33" ht="11.1" customHeight="1" x14ac:dyDescent="0.3">
      <c r="B75" s="19">
        <v>67</v>
      </c>
      <c r="C75" s="19">
        <f t="shared" si="11"/>
        <v>138</v>
      </c>
      <c r="E75" s="20">
        <f t="shared" si="12"/>
        <v>1</v>
      </c>
      <c r="F75" s="20">
        <f t="shared" si="13"/>
        <v>1</v>
      </c>
      <c r="G75" s="20">
        <f t="shared" si="14"/>
        <v>1</v>
      </c>
      <c r="H75" s="20">
        <f t="shared" si="15"/>
        <v>1</v>
      </c>
      <c r="L75" s="21">
        <f>Tp!AD92</f>
        <v>0</v>
      </c>
      <c r="M75" s="21">
        <f>Tp!AE92</f>
        <v>0</v>
      </c>
      <c r="N75" s="21">
        <f>Tp!AF92</f>
        <v>0</v>
      </c>
      <c r="O75" s="21">
        <f>Tp!AG92</f>
        <v>0</v>
      </c>
      <c r="P75" s="21">
        <f>Tp!AH92</f>
        <v>0</v>
      </c>
      <c r="Q75" s="21">
        <f>Tp!AI92</f>
        <v>0</v>
      </c>
      <c r="R75" s="21">
        <f>Tp!AJ92</f>
        <v>0</v>
      </c>
      <c r="S75" s="21">
        <f>Tp!AK92</f>
        <v>0</v>
      </c>
      <c r="T75" s="21">
        <f>Tp!AL92</f>
        <v>0</v>
      </c>
      <c r="U75" s="21">
        <f>Tp!AM92</f>
        <v>0</v>
      </c>
      <c r="V75" s="21">
        <f>Tp!AN92</f>
        <v>0</v>
      </c>
      <c r="W75" s="21">
        <f>Tp!AO92</f>
        <v>0</v>
      </c>
      <c r="X75" s="21">
        <f>Tp!AP92</f>
        <v>0</v>
      </c>
      <c r="Y75" s="21">
        <f>Tp!AQ92</f>
        <v>0</v>
      </c>
      <c r="Z75" s="21">
        <f>Tp!AR92</f>
        <v>0</v>
      </c>
      <c r="AA75" s="21">
        <f>Tp!AS92</f>
        <v>0</v>
      </c>
      <c r="AB75" s="21">
        <f>Tp!AT92</f>
        <v>0</v>
      </c>
      <c r="AC75" s="21">
        <f>Tp!AU92</f>
        <v>0</v>
      </c>
      <c r="AD75" s="21">
        <f>Tp!AV92</f>
        <v>0</v>
      </c>
      <c r="AE75" s="21">
        <f>Tp!AW92</f>
        <v>0</v>
      </c>
      <c r="AG75" s="83">
        <f t="shared" si="16"/>
        <v>0</v>
      </c>
    </row>
    <row r="76" spans="2:33" ht="11.1" customHeight="1" x14ac:dyDescent="0.3">
      <c r="B76" s="19">
        <v>68</v>
      </c>
      <c r="C76" s="19">
        <f t="shared" si="11"/>
        <v>139</v>
      </c>
      <c r="E76" s="20">
        <f t="shared" si="12"/>
        <v>1</v>
      </c>
      <c r="F76" s="20">
        <f t="shared" si="13"/>
        <v>1</v>
      </c>
      <c r="G76" s="20">
        <f t="shared" si="14"/>
        <v>1</v>
      </c>
      <c r="H76" s="20">
        <f t="shared" si="15"/>
        <v>1</v>
      </c>
      <c r="L76" s="21">
        <f>Tp!AD93</f>
        <v>0</v>
      </c>
      <c r="M76" s="21">
        <f>Tp!AE93</f>
        <v>0</v>
      </c>
      <c r="N76" s="21">
        <f>Tp!AF93</f>
        <v>0</v>
      </c>
      <c r="O76" s="21">
        <f>Tp!AG93</f>
        <v>0</v>
      </c>
      <c r="P76" s="21">
        <f>Tp!AH93</f>
        <v>0</v>
      </c>
      <c r="Q76" s="21">
        <f>Tp!AI93</f>
        <v>0</v>
      </c>
      <c r="R76" s="21">
        <f>Tp!AJ93</f>
        <v>0</v>
      </c>
      <c r="S76" s="21">
        <f>Tp!AK93</f>
        <v>0</v>
      </c>
      <c r="T76" s="21">
        <f>Tp!AL93</f>
        <v>0</v>
      </c>
      <c r="U76" s="21">
        <f>Tp!AM93</f>
        <v>0</v>
      </c>
      <c r="V76" s="21">
        <f>Tp!AN93</f>
        <v>0</v>
      </c>
      <c r="W76" s="21">
        <f>Tp!AO93</f>
        <v>0</v>
      </c>
      <c r="X76" s="21">
        <f>Tp!AP93</f>
        <v>0</v>
      </c>
      <c r="Y76" s="21">
        <f>Tp!AQ93</f>
        <v>0</v>
      </c>
      <c r="Z76" s="21">
        <f>Tp!AR93</f>
        <v>0</v>
      </c>
      <c r="AA76" s="21">
        <f>Tp!AS93</f>
        <v>0</v>
      </c>
      <c r="AB76" s="21">
        <f>Tp!AT93</f>
        <v>0</v>
      </c>
      <c r="AC76" s="21">
        <f>Tp!AU93</f>
        <v>0</v>
      </c>
      <c r="AD76" s="21">
        <f>Tp!AV93</f>
        <v>0</v>
      </c>
      <c r="AE76" s="21">
        <f>Tp!AW93</f>
        <v>0</v>
      </c>
      <c r="AG76" s="83">
        <f t="shared" si="16"/>
        <v>0</v>
      </c>
    </row>
    <row r="77" spans="2:33" ht="11.1" customHeight="1" x14ac:dyDescent="0.3">
      <c r="B77" s="19">
        <v>69</v>
      </c>
      <c r="C77" s="19">
        <f t="shared" si="11"/>
        <v>140</v>
      </c>
      <c r="E77" s="20">
        <f t="shared" si="12"/>
        <v>1</v>
      </c>
      <c r="F77" s="20">
        <f t="shared" si="13"/>
        <v>1</v>
      </c>
      <c r="G77" s="20">
        <f t="shared" si="14"/>
        <v>1</v>
      </c>
      <c r="H77" s="20">
        <f t="shared" si="15"/>
        <v>1</v>
      </c>
      <c r="L77" s="21">
        <f>Tp!AD94</f>
        <v>0</v>
      </c>
      <c r="M77" s="21">
        <f>Tp!AE94</f>
        <v>0</v>
      </c>
      <c r="N77" s="21">
        <f>Tp!AF94</f>
        <v>0</v>
      </c>
      <c r="O77" s="21">
        <f>Tp!AG94</f>
        <v>0</v>
      </c>
      <c r="P77" s="21">
        <f>Tp!AH94</f>
        <v>0</v>
      </c>
      <c r="Q77" s="21">
        <f>Tp!AI94</f>
        <v>0</v>
      </c>
      <c r="R77" s="21">
        <f>Tp!AJ94</f>
        <v>0</v>
      </c>
      <c r="S77" s="21">
        <f>Tp!AK94</f>
        <v>0</v>
      </c>
      <c r="T77" s="21">
        <f>Tp!AL94</f>
        <v>0</v>
      </c>
      <c r="U77" s="21">
        <f>Tp!AM94</f>
        <v>0</v>
      </c>
      <c r="V77" s="21">
        <f>Tp!AN94</f>
        <v>0</v>
      </c>
      <c r="W77" s="21">
        <f>Tp!AO94</f>
        <v>0</v>
      </c>
      <c r="X77" s="21">
        <f>Tp!AP94</f>
        <v>0</v>
      </c>
      <c r="Y77" s="21">
        <f>Tp!AQ94</f>
        <v>0</v>
      </c>
      <c r="Z77" s="21">
        <f>Tp!AR94</f>
        <v>0</v>
      </c>
      <c r="AA77" s="21">
        <f>Tp!AS94</f>
        <v>0</v>
      </c>
      <c r="AB77" s="21">
        <f>Tp!AT94</f>
        <v>0</v>
      </c>
      <c r="AC77" s="21">
        <f>Tp!AU94</f>
        <v>0</v>
      </c>
      <c r="AD77" s="21">
        <f>Tp!AV94</f>
        <v>0</v>
      </c>
      <c r="AE77" s="21">
        <f>Tp!AW94</f>
        <v>0</v>
      </c>
      <c r="AG77" s="83">
        <f t="shared" si="16"/>
        <v>0</v>
      </c>
    </row>
    <row r="78" spans="2:33" ht="11.1" customHeight="1" x14ac:dyDescent="0.3">
      <c r="B78" s="19">
        <v>70</v>
      </c>
      <c r="C78" s="19">
        <f t="shared" si="11"/>
        <v>141</v>
      </c>
      <c r="E78" s="20">
        <f t="shared" si="12"/>
        <v>1</v>
      </c>
      <c r="F78" s="20">
        <f t="shared" si="13"/>
        <v>1</v>
      </c>
      <c r="G78" s="20">
        <f t="shared" si="14"/>
        <v>1</v>
      </c>
      <c r="H78" s="20">
        <f t="shared" si="15"/>
        <v>1</v>
      </c>
      <c r="L78" s="21">
        <f>Tp!AD95</f>
        <v>0</v>
      </c>
      <c r="M78" s="21">
        <f>Tp!AE95</f>
        <v>0</v>
      </c>
      <c r="N78" s="21">
        <f>Tp!AF95</f>
        <v>0</v>
      </c>
      <c r="O78" s="21">
        <f>Tp!AG95</f>
        <v>0</v>
      </c>
      <c r="P78" s="21">
        <f>Tp!AH95</f>
        <v>0</v>
      </c>
      <c r="Q78" s="21">
        <f>Tp!AI95</f>
        <v>0</v>
      </c>
      <c r="R78" s="21">
        <f>Tp!AJ95</f>
        <v>0</v>
      </c>
      <c r="S78" s="21">
        <f>Tp!AK95</f>
        <v>0</v>
      </c>
      <c r="T78" s="21">
        <f>Tp!AL95</f>
        <v>0</v>
      </c>
      <c r="U78" s="21">
        <f>Tp!AM95</f>
        <v>0</v>
      </c>
      <c r="V78" s="21">
        <f>Tp!AN95</f>
        <v>0</v>
      </c>
      <c r="W78" s="21">
        <f>Tp!AO95</f>
        <v>0</v>
      </c>
      <c r="X78" s="21">
        <f>Tp!AP95</f>
        <v>0</v>
      </c>
      <c r="Y78" s="21">
        <f>Tp!AQ95</f>
        <v>0</v>
      </c>
      <c r="Z78" s="21">
        <f>Tp!AR95</f>
        <v>0</v>
      </c>
      <c r="AA78" s="21">
        <f>Tp!AS95</f>
        <v>0</v>
      </c>
      <c r="AB78" s="21">
        <f>Tp!AT95</f>
        <v>0</v>
      </c>
      <c r="AC78" s="21">
        <f>Tp!AU95</f>
        <v>0</v>
      </c>
      <c r="AD78" s="21">
        <f>Tp!AV95</f>
        <v>0</v>
      </c>
      <c r="AE78" s="21">
        <f>Tp!AW95</f>
        <v>0</v>
      </c>
      <c r="AG78" s="83">
        <f t="shared" si="16"/>
        <v>0</v>
      </c>
    </row>
  </sheetData>
  <mergeCells count="13">
    <mergeCell ref="V5:W5"/>
    <mergeCell ref="E5:H5"/>
    <mergeCell ref="L4:U4"/>
    <mergeCell ref="V4:AE4"/>
    <mergeCell ref="X5:Y5"/>
    <mergeCell ref="Z5:AA5"/>
    <mergeCell ref="AB5:AC5"/>
    <mergeCell ref="AD5:AE5"/>
    <mergeCell ref="L5:M5"/>
    <mergeCell ref="N5:O5"/>
    <mergeCell ref="P5:Q5"/>
    <mergeCell ref="R5:S5"/>
    <mergeCell ref="T5:U5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6"/>
  <dimension ref="B1:AV77"/>
  <sheetViews>
    <sheetView zoomScale="85" zoomScaleNormal="85" workbookViewId="0">
      <selection activeCell="O2" sqref="O2"/>
    </sheetView>
  </sheetViews>
  <sheetFormatPr defaultColWidth="9.09765625" defaultRowHeight="11.1" customHeight="1" outlineLevelCol="1" x14ac:dyDescent="0.3"/>
  <cols>
    <col min="1" max="1" width="2.09765625" style="4" customWidth="1"/>
    <col min="2" max="2" width="6.59765625" style="4" customWidth="1"/>
    <col min="3" max="3" width="6.09765625" style="4" customWidth="1"/>
    <col min="4" max="4" width="1.59765625" style="4" customWidth="1"/>
    <col min="5" max="5" width="7.59765625" style="4" customWidth="1" outlineLevel="1"/>
    <col min="6" max="6" width="7.09765625" style="4" customWidth="1" outlineLevel="1"/>
    <col min="7" max="7" width="7.59765625" style="4" customWidth="1" outlineLevel="1"/>
    <col min="8" max="8" width="7" style="4" customWidth="1" outlineLevel="1"/>
    <col min="9" max="9" width="1.59765625" style="4" customWidth="1" outlineLevel="1"/>
    <col min="10" max="10" width="1.09765625" style="1" customWidth="1"/>
    <col min="11" max="11" width="2.09765625" style="4" customWidth="1"/>
    <col min="12" max="22" width="9.59765625" style="4" customWidth="1"/>
    <col min="23" max="23" width="1.09765625" style="1" customWidth="1"/>
    <col min="24" max="24" width="2.09765625" style="4" customWidth="1"/>
    <col min="25" max="25" width="9.59765625" style="4" customWidth="1" outlineLevel="1"/>
    <col min="26" max="26" width="11.09765625" style="4" customWidth="1" outlineLevel="1"/>
    <col min="27" max="27" width="7.59765625" style="4" customWidth="1" outlineLevel="1"/>
    <col min="28" max="29" width="9.09765625" style="4" customWidth="1" outlineLevel="1"/>
    <col min="30" max="30" width="7.59765625" style="4" customWidth="1" outlineLevel="1"/>
    <col min="31" max="33" width="9.09765625" style="4" customWidth="1" outlineLevel="1"/>
    <col min="34" max="34" width="10.59765625" style="4" bestFit="1" customWidth="1" outlineLevel="1"/>
    <col min="35" max="37" width="9.09765625" style="4" customWidth="1" outlineLevel="1"/>
    <col min="38" max="38" width="10.59765625" style="4" bestFit="1" customWidth="1" outlineLevel="1"/>
    <col min="39" max="39" width="1.59765625" style="4" customWidth="1"/>
    <col min="40" max="40" width="1.09765625" style="1" customWidth="1"/>
    <col min="41" max="41" width="2.09765625" style="4" customWidth="1"/>
    <col min="42" max="46" width="9.09765625" style="4"/>
    <col min="47" max="47" width="1.59765625" style="4" customWidth="1"/>
    <col min="48" max="48" width="1.09765625" style="1" customWidth="1"/>
    <col min="49" max="49" width="2.09765625" style="4" customWidth="1"/>
    <col min="50" max="16384" width="9.09765625" style="4"/>
  </cols>
  <sheetData>
    <row r="1" spans="2:46" s="1" customFormat="1" ht="6.75" customHeight="1" x14ac:dyDescent="0.3">
      <c r="R1" s="1" t="s">
        <v>259</v>
      </c>
    </row>
    <row r="2" spans="2:46" s="1" customFormat="1" ht="15" customHeight="1" x14ac:dyDescent="0.45">
      <c r="L2" s="10" t="s">
        <v>26</v>
      </c>
      <c r="O2" s="99"/>
      <c r="R2" s="10"/>
      <c r="AP2" s="10" t="s">
        <v>28</v>
      </c>
    </row>
    <row r="3" spans="2:46" s="1" customFormat="1" ht="5.25" customHeight="1" x14ac:dyDescent="0.3"/>
    <row r="4" spans="2:46" s="1" customFormat="1" ht="11.1" customHeight="1" x14ac:dyDescent="0.3">
      <c r="P4" s="99"/>
      <c r="Y4" s="289" t="s">
        <v>22</v>
      </c>
      <c r="Z4" s="289"/>
      <c r="AA4" s="289"/>
      <c r="AB4" s="289" t="s">
        <v>23</v>
      </c>
      <c r="AC4" s="289"/>
      <c r="AD4" s="289"/>
      <c r="AE4" s="289" t="s">
        <v>24</v>
      </c>
      <c r="AF4" s="289"/>
      <c r="AG4" s="289"/>
      <c r="AH4" s="289" t="s">
        <v>25</v>
      </c>
      <c r="AI4" s="289"/>
      <c r="AJ4" s="289"/>
      <c r="AK4" s="11" t="s">
        <v>29</v>
      </c>
    </row>
    <row r="5" spans="2:46" s="1" customFormat="1" ht="11.1" customHeight="1" x14ac:dyDescent="0.3">
      <c r="E5" s="289" t="s">
        <v>30</v>
      </c>
      <c r="F5" s="289"/>
      <c r="G5" s="289"/>
      <c r="H5" s="289"/>
      <c r="L5" s="290" t="s">
        <v>260</v>
      </c>
      <c r="M5" s="288"/>
      <c r="N5" s="288" t="s">
        <v>261</v>
      </c>
      <c r="O5" s="288"/>
      <c r="P5" s="288" t="s">
        <v>262</v>
      </c>
      <c r="Q5" s="291"/>
      <c r="R5" s="290" t="s">
        <v>265</v>
      </c>
      <c r="S5" s="288"/>
      <c r="T5" s="288" t="s">
        <v>266</v>
      </c>
      <c r="U5" s="288"/>
      <c r="V5" s="14"/>
      <c r="Y5" s="11" t="s">
        <v>31</v>
      </c>
      <c r="Z5" s="11" t="s">
        <v>32</v>
      </c>
      <c r="AA5" s="11" t="s">
        <v>33</v>
      </c>
      <c r="AB5" s="11" t="s">
        <v>31</v>
      </c>
      <c r="AC5" s="11" t="s">
        <v>32</v>
      </c>
      <c r="AD5" s="11" t="s">
        <v>33</v>
      </c>
      <c r="AE5" s="11" t="s">
        <v>31</v>
      </c>
      <c r="AF5" s="11" t="s">
        <v>32</v>
      </c>
      <c r="AG5" s="11" t="s">
        <v>33</v>
      </c>
      <c r="AH5" s="11" t="s">
        <v>31</v>
      </c>
      <c r="AI5" s="11" t="s">
        <v>32</v>
      </c>
      <c r="AJ5" s="11" t="s">
        <v>33</v>
      </c>
      <c r="AK5" s="11" t="s">
        <v>33</v>
      </c>
      <c r="AL5" s="13" t="s">
        <v>34</v>
      </c>
      <c r="AP5" s="11" t="s">
        <v>22</v>
      </c>
      <c r="AQ5" s="11" t="s">
        <v>23</v>
      </c>
      <c r="AR5" s="11" t="s">
        <v>24</v>
      </c>
      <c r="AS5" s="11" t="s">
        <v>25</v>
      </c>
      <c r="AT5" s="13" t="s">
        <v>34</v>
      </c>
    </row>
    <row r="6" spans="2:46" s="1" customFormat="1" ht="11.1" customHeight="1" x14ac:dyDescent="0.3">
      <c r="B6" s="11" t="s">
        <v>35</v>
      </c>
      <c r="C6" s="11" t="s">
        <v>0</v>
      </c>
      <c r="E6" s="11" t="s">
        <v>22</v>
      </c>
      <c r="F6" s="11" t="s">
        <v>23</v>
      </c>
      <c r="G6" s="11" t="s">
        <v>24</v>
      </c>
      <c r="H6" s="11" t="s">
        <v>25</v>
      </c>
      <c r="L6" s="11" t="s">
        <v>263</v>
      </c>
      <c r="M6" s="11" t="s">
        <v>264</v>
      </c>
      <c r="N6" s="11" t="s">
        <v>263</v>
      </c>
      <c r="O6" s="11" t="s">
        <v>264</v>
      </c>
      <c r="P6" s="11" t="s">
        <v>263</v>
      </c>
      <c r="Q6" s="11" t="s">
        <v>264</v>
      </c>
      <c r="R6" s="11" t="s">
        <v>263</v>
      </c>
      <c r="S6" s="11" t="s">
        <v>264</v>
      </c>
      <c r="T6" s="11" t="s">
        <v>263</v>
      </c>
      <c r="U6" s="11" t="s">
        <v>264</v>
      </c>
      <c r="V6" s="14" t="s">
        <v>267</v>
      </c>
      <c r="Y6" s="15">
        <f t="shared" ref="Y6:AL6" ca="1" si="0">SUM(OFFSET(Y8,,,time_horizon,))</f>
        <v>1378027.7100925324</v>
      </c>
      <c r="Z6" s="15">
        <f t="shared" ca="1" si="0"/>
        <v>0</v>
      </c>
      <c r="AA6" s="15">
        <f t="shared" ca="1" si="0"/>
        <v>0</v>
      </c>
      <c r="AB6" s="15">
        <f t="shared" ca="1" si="0"/>
        <v>15307207.415939355</v>
      </c>
      <c r="AC6" s="15">
        <f t="shared" ca="1" si="0"/>
        <v>0</v>
      </c>
      <c r="AD6" s="15">
        <f t="shared" ca="1" si="0"/>
        <v>0</v>
      </c>
      <c r="AE6" s="15">
        <f t="shared" ca="1" si="0"/>
        <v>18322111.665606443</v>
      </c>
      <c r="AF6" s="15">
        <f t="shared" ca="1" si="0"/>
        <v>0</v>
      </c>
      <c r="AG6" s="15">
        <f t="shared" ca="1" si="0"/>
        <v>0</v>
      </c>
      <c r="AH6" s="15">
        <f t="shared" ca="1" si="0"/>
        <v>41750780.407226846</v>
      </c>
      <c r="AI6" s="15">
        <f t="shared" ca="1" si="0"/>
        <v>0</v>
      </c>
      <c r="AJ6" s="15">
        <f t="shared" ca="1" si="0"/>
        <v>0</v>
      </c>
      <c r="AK6" s="15">
        <f t="shared" ca="1" si="0"/>
        <v>0</v>
      </c>
      <c r="AL6" s="16">
        <f t="shared" ca="1" si="0"/>
        <v>76758127.19886519</v>
      </c>
      <c r="AP6" s="17">
        <f ca="1">SUM(OFFSET(AP8,,,time_horizon,))</f>
        <v>1.7800343264710177</v>
      </c>
      <c r="AQ6" s="17">
        <f ca="1">SUM(OFFSET(AQ8,,,time_horizon,))</f>
        <v>0.75223497607546874</v>
      </c>
      <c r="AR6" s="17">
        <f ca="1">SUM(OFFSET(AR8,,,time_horizon,))</f>
        <v>0.29945615827532357</v>
      </c>
      <c r="AS6" s="17">
        <f ca="1">SUM(OFFSET(AS8,,,time_horizon,))</f>
        <v>0.16850262695295448</v>
      </c>
      <c r="AT6" s="18">
        <f ca="1">SUM(OFFSET(AT8,,,time_horizon,))</f>
        <v>3.0002280877747642</v>
      </c>
    </row>
    <row r="7" spans="2:46" ht="6.6" customHeight="1" x14ac:dyDescent="0.3"/>
    <row r="8" spans="2:46" ht="11.1" customHeight="1" x14ac:dyDescent="0.3">
      <c r="B8" s="19">
        <v>0</v>
      </c>
      <c r="C8" s="19">
        <f t="shared" ref="C8:C39" si="1">start_age+Alz_cycle</f>
        <v>71</v>
      </c>
      <c r="E8" s="20">
        <f t="shared" ref="E8:E39" si="2">VLOOKUP(Alz_age,table_mort_MCI,2)</f>
        <v>1.5065903319501861E-2</v>
      </c>
      <c r="F8" s="20">
        <f t="shared" ref="F8:F39" si="3">VLOOKUP(Alz_age,table_mort_Mild,2)</f>
        <v>2.0428666075551383E-2</v>
      </c>
      <c r="G8" s="20">
        <f t="shared" ref="G8:G39" si="4">VLOOKUP(Alz_age,table_mort_Moderate,2)</f>
        <v>3.659900690724005E-2</v>
      </c>
      <c r="H8" s="20">
        <f t="shared" ref="H8:H39" si="5">VLOOKUP(Alz_age,table_mort_Severe,2)</f>
        <v>7.037421508009889E-2</v>
      </c>
      <c r="L8" s="96">
        <f>0.5*('no treatment'!J8+'no treatment'!J9)</f>
        <v>0.61939708479803224</v>
      </c>
      <c r="M8" s="96">
        <f>0.5*('no treatment'!K8+'no treatment'!K9)</f>
        <v>4.5072526002198693E-4</v>
      </c>
      <c r="N8" s="96">
        <f>0.5*('no treatment'!L8+'no treatment'!L9)</f>
        <v>0.29829587914044875</v>
      </c>
      <c r="O8" s="96">
        <f>0.5*('no treatment'!M8+'no treatment'!M9)</f>
        <v>1.6214021693758417E-2</v>
      </c>
      <c r="P8" s="96">
        <f>0.5*('no treatment'!N8+'no treatment'!N9)</f>
        <v>4.6169033664110369E-2</v>
      </c>
      <c r="Q8" s="96">
        <f>0.5*('no treatment'!O8+'no treatment'!O9)</f>
        <v>5.2584613669231809E-3</v>
      </c>
      <c r="R8" s="96">
        <f>0.5*('no treatment'!P8+'no treatment'!P9)</f>
        <v>5.2764609901840417E-3</v>
      </c>
      <c r="S8" s="96">
        <f>0.5*('no treatment'!Q8+'no treatment'!Q9)</f>
        <v>6.0096701336264931E-4</v>
      </c>
      <c r="T8" s="96">
        <f>0.5*('no treatment'!R8+'no treatment'!R9)</f>
        <v>8.02404140722459E-3</v>
      </c>
      <c r="U8" s="96">
        <f>0.5*('no treatment'!S8+'no treatment'!S9)</f>
        <v>3.1332466593376942E-4</v>
      </c>
      <c r="V8" s="21">
        <f>SUM(L8:U8)</f>
        <v>1</v>
      </c>
      <c r="Y8" s="22">
        <f t="shared" ref="Y8:Y39" si="6">((L8*c_Com_MCI)+(M8*c_LTC_MCI))/(1+disc_rate_costs)^Alz_cycle</f>
        <v>358368.11062411434</v>
      </c>
      <c r="Z8" s="22">
        <v>0</v>
      </c>
      <c r="AA8" s="22">
        <v>0</v>
      </c>
      <c r="AB8" s="22">
        <f t="shared" ref="AB8:AB39" si="7">(N8*c_Com_Mild+O8*c_LTC_Mild)/(1+disc_rate_costs)^Alz_cycle</f>
        <v>2596768.1853009141</v>
      </c>
      <c r="AC8" s="22">
        <v>0</v>
      </c>
      <c r="AD8" s="22">
        <v>0</v>
      </c>
      <c r="AE8" s="22">
        <f t="shared" ref="AE8:AE39" si="8">(P8*c_Com_Moderate+Q8*c_LTC_Moderate)/(1+disc_rate_costs)^Alz_cycle</f>
        <v>652955.9497386188</v>
      </c>
      <c r="AF8" s="22">
        <v>0</v>
      </c>
      <c r="AG8" s="22">
        <v>0</v>
      </c>
      <c r="AH8" s="22">
        <f t="shared" ref="AH8:AH39" si="9">(R8*c_Com_Severe+S8*c_LTC_Severe)/(1+disc_rate_costs)^Alz_cycle</f>
        <v>77122.247482410137</v>
      </c>
      <c r="AI8" s="22">
        <v>0</v>
      </c>
      <c r="AJ8" s="22">
        <v>0</v>
      </c>
      <c r="AK8" s="22">
        <v>0</v>
      </c>
      <c r="AL8" s="22">
        <f t="shared" ref="AL8:AL71" si="10">SUM(Y8:AK8)</f>
        <v>3685214.4931460577</v>
      </c>
      <c r="AP8" s="23">
        <f>(L8*U_Com_MCI+M8*U_LTC_MCI)/(1+disc_rate_effects)^Alz_cycle</f>
        <v>0.46591281084092639</v>
      </c>
      <c r="AQ8" s="23">
        <f t="shared" ref="AQ8:AQ39" si="11">(N8*U_Com_Mild+O8*U_LTC_Mild)/(1+disc_rate_effects)^Alz_cycle</f>
        <v>0.13148404781440992</v>
      </c>
      <c r="AR8" s="23">
        <f t="shared" ref="AR8:AR39" si="12">(P8*U_Com_Moderate+Q8*U_LTC_Moderate)/(1+disc_rate_effects)^Alz_cycle</f>
        <v>1.2515703755722512E-2</v>
      </c>
      <c r="AS8" s="23">
        <f t="shared" ref="AS8:AS39" si="13">(R8*U_Com_Severe+S8*U_LTC_Severe)/(1+disc_rate_effects)^Alz_cycle</f>
        <v>5.7425704180053114E-4</v>
      </c>
      <c r="AT8" s="23">
        <f>SUM(AP8:AS8)</f>
        <v>0.61048681945285943</v>
      </c>
    </row>
    <row r="9" spans="2:46" ht="11.1" customHeight="1" x14ac:dyDescent="0.3">
      <c r="B9" s="19">
        <v>1</v>
      </c>
      <c r="C9" s="19">
        <f t="shared" si="1"/>
        <v>72</v>
      </c>
      <c r="E9" s="20">
        <f t="shared" si="2"/>
        <v>1.6894035107792305E-2</v>
      </c>
      <c r="F9" s="20">
        <f t="shared" si="3"/>
        <v>2.2899924743828737E-2</v>
      </c>
      <c r="G9" s="20">
        <f t="shared" si="4"/>
        <v>4.0985055867230225E-2</v>
      </c>
      <c r="H9" s="20">
        <f t="shared" si="5"/>
        <v>7.8639346209840366E-2</v>
      </c>
      <c r="L9" s="96">
        <f>0.5*('no treatment'!J9+'no treatment'!J10)</f>
        <v>0.47764408164430866</v>
      </c>
      <c r="M9" s="96">
        <f>0.5*('no treatment'!K9+'no treatment'!K10)</f>
        <v>1.2985311028131646E-3</v>
      </c>
      <c r="N9" s="96">
        <f>0.5*('no treatment'!L9+'no treatment'!L10)</f>
        <v>0.30129965682807008</v>
      </c>
      <c r="O9" s="96">
        <f>0.5*('no treatment'!M9+'no treatment'!M10)</f>
        <v>1.8937033342612701E-2</v>
      </c>
      <c r="P9" s="96">
        <f>0.5*('no treatment'!N9+'no treatment'!N10)</f>
        <v>0.11772469065918773</v>
      </c>
      <c r="Q9" s="96">
        <f>0.5*('no treatment'!O9+'no treatment'!O10)</f>
        <v>1.7196886710667263E-2</v>
      </c>
      <c r="R9" s="96">
        <f>0.5*('no treatment'!P9+'no treatment'!P10)</f>
        <v>3.0526295705544305E-2</v>
      </c>
      <c r="S9" s="96">
        <f>0.5*('no treatment'!Q9+'no treatment'!Q10)</f>
        <v>7.8020532823267442E-3</v>
      </c>
      <c r="T9" s="96">
        <f>0.5*('no treatment'!R9+'no treatment'!R10)</f>
        <v>2.59053569134075E-2</v>
      </c>
      <c r="U9" s="96">
        <f>0.5*('no treatment'!S9+'no treatment'!S10)</f>
        <v>1.6654138110618632E-3</v>
      </c>
      <c r="V9" s="21">
        <f>SUM(L9:U9)</f>
        <v>0.99999999999999989</v>
      </c>
      <c r="Y9" s="22">
        <f t="shared" si="6"/>
        <v>264979.0107873801</v>
      </c>
      <c r="Z9" s="22">
        <v>0</v>
      </c>
      <c r="AA9" s="22">
        <v>0</v>
      </c>
      <c r="AB9" s="22">
        <f t="shared" si="7"/>
        <v>2531613.4245164776</v>
      </c>
      <c r="AC9" s="22">
        <v>0</v>
      </c>
      <c r="AD9" s="22">
        <v>0</v>
      </c>
      <c r="AE9" s="22">
        <f t="shared" si="8"/>
        <v>1664510.9859544816</v>
      </c>
      <c r="AF9" s="22">
        <v>0</v>
      </c>
      <c r="AG9" s="22">
        <v>0</v>
      </c>
      <c r="AH9" s="22">
        <f t="shared" si="9"/>
        <v>521916.21693237254</v>
      </c>
      <c r="AI9" s="22">
        <v>0</v>
      </c>
      <c r="AJ9" s="22">
        <v>0</v>
      </c>
      <c r="AK9" s="22">
        <v>0</v>
      </c>
      <c r="AL9" s="22">
        <f t="shared" si="10"/>
        <v>4983019.6381907118</v>
      </c>
      <c r="AP9" s="23">
        <f t="shared" ref="AP9:AP39" si="14">(L9*U_Com_MCI+M9*U_LTC_MCI)/(1+disc_rate_effects)^Alz_cycle</f>
        <v>0.34406884029216056</v>
      </c>
      <c r="AQ9" s="23">
        <f t="shared" si="11"/>
        <v>0.12752996946848658</v>
      </c>
      <c r="AR9" s="23">
        <f t="shared" si="12"/>
        <v>3.1082875056491651E-2</v>
      </c>
      <c r="AS9" s="23">
        <f t="shared" si="13"/>
        <v>3.4275649367513151E-3</v>
      </c>
      <c r="AT9" s="23">
        <f t="shared" ref="AT9:AT72" si="15">SUM(AP9:AS9)</f>
        <v>0.50610924975389016</v>
      </c>
    </row>
    <row r="10" spans="2:46" ht="11.1" customHeight="1" x14ac:dyDescent="0.3">
      <c r="B10" s="19">
        <v>2</v>
      </c>
      <c r="C10" s="19">
        <f t="shared" si="1"/>
        <v>73</v>
      </c>
      <c r="E10" s="20">
        <f t="shared" si="2"/>
        <v>1.8890986464756621E-2</v>
      </c>
      <c r="F10" s="20">
        <f t="shared" si="3"/>
        <v>2.559750463291266E-2</v>
      </c>
      <c r="G10" s="20">
        <f t="shared" si="4"/>
        <v>4.5762582894734338E-2</v>
      </c>
      <c r="H10" s="20">
        <f t="shared" si="5"/>
        <v>8.7601105096929643E-2</v>
      </c>
      <c r="L10" s="96">
        <f>0.5*('no treatment'!J10+'no treatment'!J11)</f>
        <v>0.36958745276409116</v>
      </c>
      <c r="M10" s="96">
        <f>0.5*('no treatment'!K10+'no treatment'!K11)</f>
        <v>2.0210597019708542E-3</v>
      </c>
      <c r="N10" s="96">
        <f>0.5*('no treatment'!L10+'no treatment'!L11)</f>
        <v>0.27198301211959558</v>
      </c>
      <c r="O10" s="96">
        <f>0.5*('no treatment'!M10+'no treatment'!M11)</f>
        <v>2.1326807361969825E-2</v>
      </c>
      <c r="P10" s="96">
        <f>0.5*('no treatment'!N10+'no treatment'!N11)</f>
        <v>0.15137090602818598</v>
      </c>
      <c r="Q10" s="96">
        <f>0.5*('no treatment'!O10+'no treatment'!O11)</f>
        <v>2.9644787854281721E-2</v>
      </c>
      <c r="R10" s="96">
        <f>0.5*('no treatment'!P10+'no treatment'!P11)</f>
        <v>7.1395965258626043E-2</v>
      </c>
      <c r="S10" s="96">
        <f>0.5*('no treatment'!Q10+'no treatment'!Q11)</f>
        <v>2.9603333905807654E-2</v>
      </c>
      <c r="T10" s="96">
        <f>0.5*('no treatment'!R10+'no treatment'!R11)</f>
        <v>4.7615821758621807E-2</v>
      </c>
      <c r="U10" s="96">
        <f>0.5*('no treatment'!S10+'no treatment'!S11)</f>
        <v>5.4508532468494301E-3</v>
      </c>
      <c r="V10" s="21">
        <f t="shared" ref="V10:V73" si="16">SUM(L10:U10)</f>
        <v>0.99999999999999989</v>
      </c>
      <c r="Y10" s="22">
        <f t="shared" si="6"/>
        <v>196742.12543194171</v>
      </c>
      <c r="Z10" s="22">
        <v>0</v>
      </c>
      <c r="AA10" s="22">
        <v>0</v>
      </c>
      <c r="AB10" s="22">
        <f t="shared" si="7"/>
        <v>2221123.6994339311</v>
      </c>
      <c r="AC10" s="22">
        <v>0</v>
      </c>
      <c r="AD10" s="22">
        <v>0</v>
      </c>
      <c r="AE10" s="22">
        <f t="shared" si="8"/>
        <v>2183659.7077406752</v>
      </c>
      <c r="AF10" s="22">
        <v>0</v>
      </c>
      <c r="AG10" s="22">
        <v>0</v>
      </c>
      <c r="AH10" s="22">
        <f t="shared" si="9"/>
        <v>1406657.9990751066</v>
      </c>
      <c r="AI10" s="22">
        <v>0</v>
      </c>
      <c r="AJ10" s="22">
        <v>0</v>
      </c>
      <c r="AK10" s="22">
        <v>0</v>
      </c>
      <c r="AL10" s="22">
        <f t="shared" si="10"/>
        <v>6008183.531681654</v>
      </c>
      <c r="AP10" s="23">
        <f t="shared" si="14"/>
        <v>0.25502681824605522</v>
      </c>
      <c r="AQ10" s="23">
        <f t="shared" si="11"/>
        <v>0.1108614762012777</v>
      </c>
      <c r="AR10" s="23">
        <f t="shared" si="12"/>
        <v>3.9280170609007584E-2</v>
      </c>
      <c r="AS10" s="23">
        <f t="shared" si="13"/>
        <v>8.2952207968941347E-3</v>
      </c>
      <c r="AT10" s="23">
        <f t="shared" si="15"/>
        <v>0.41346368585323467</v>
      </c>
    </row>
    <row r="11" spans="2:46" ht="11.1" customHeight="1" x14ac:dyDescent="0.3">
      <c r="B11" s="19">
        <v>3</v>
      </c>
      <c r="C11" s="19">
        <f t="shared" si="1"/>
        <v>74</v>
      </c>
      <c r="E11" s="20">
        <f t="shared" si="2"/>
        <v>2.110847797105786E-2</v>
      </c>
      <c r="F11" s="20">
        <f t="shared" si="3"/>
        <v>2.8590687833229156E-2</v>
      </c>
      <c r="G11" s="20">
        <f t="shared" si="4"/>
        <v>5.1051165766922146E-2</v>
      </c>
      <c r="H11" s="20">
        <f t="shared" si="5"/>
        <v>9.7471547764780064E-2</v>
      </c>
      <c r="L11" s="96">
        <f>0.5*('no treatment'!J11+'no treatment'!J12)</f>
        <v>0.28643342440923975</v>
      </c>
      <c r="M11" s="96">
        <f>0.5*('no treatment'!K11+'no treatment'!K12)</f>
        <v>2.5839038580388876E-3</v>
      </c>
      <c r="N11" s="96">
        <f>0.5*('no treatment'!L11+'no treatment'!L12)</f>
        <v>0.2321177928224781</v>
      </c>
      <c r="O11" s="96">
        <f>0.5*('no treatment'!M11+'no treatment'!M12)</f>
        <v>2.2347358508333234E-2</v>
      </c>
      <c r="P11" s="96">
        <f>0.5*('no treatment'!N11+'no treatment'!N12)</f>
        <v>0.15719718446374975</v>
      </c>
      <c r="Q11" s="96">
        <f>0.5*('no treatment'!O11+'no treatment'!O12)</f>
        <v>3.923772792359146E-2</v>
      </c>
      <c r="R11" s="96">
        <f>0.5*('no treatment'!P11+'no treatment'!P12)</f>
        <v>0.10713626777213928</v>
      </c>
      <c r="S11" s="96">
        <f>0.5*('no treatment'!Q11+'no treatment'!Q12)</f>
        <v>6.6255680530505706E-2</v>
      </c>
      <c r="T11" s="96">
        <f>0.5*('no treatment'!R11+'no treatment'!R12)</f>
        <v>7.2995257482662057E-2</v>
      </c>
      <c r="U11" s="96">
        <f>0.5*('no treatment'!S11+'no treatment'!S12)</f>
        <v>1.3695402229261808E-2</v>
      </c>
      <c r="V11" s="21">
        <f t="shared" si="16"/>
        <v>0.99999999999999989</v>
      </c>
      <c r="Y11" s="22">
        <f t="shared" si="6"/>
        <v>146426.37015217089</v>
      </c>
      <c r="Z11" s="22">
        <v>0</v>
      </c>
      <c r="AA11" s="22">
        <v>0</v>
      </c>
      <c r="AB11" s="22">
        <f t="shared" si="7"/>
        <v>1846048.2767013402</v>
      </c>
      <c r="AC11" s="22">
        <v>0</v>
      </c>
      <c r="AD11" s="22">
        <v>0</v>
      </c>
      <c r="AE11" s="22">
        <f t="shared" si="8"/>
        <v>2315633.5590791781</v>
      </c>
      <c r="AF11" s="22">
        <v>0</v>
      </c>
      <c r="AG11" s="22">
        <v>0</v>
      </c>
      <c r="AH11" s="22">
        <f t="shared" si="9"/>
        <v>2458821.7236338509</v>
      </c>
      <c r="AI11" s="22">
        <v>0</v>
      </c>
      <c r="AJ11" s="22">
        <v>0</v>
      </c>
      <c r="AK11" s="22">
        <v>0</v>
      </c>
      <c r="AL11" s="22">
        <f t="shared" si="10"/>
        <v>6766929.9295665408</v>
      </c>
      <c r="AP11" s="23">
        <f t="shared" si="14"/>
        <v>0.18938647362670286</v>
      </c>
      <c r="AQ11" s="23">
        <f t="shared" si="11"/>
        <v>9.1192063064427245E-2</v>
      </c>
      <c r="AR11" s="23">
        <f t="shared" si="12"/>
        <v>4.0146428323335627E-2</v>
      </c>
      <c r="AS11" s="23">
        <f t="shared" si="13"/>
        <v>1.305965872811774E-2</v>
      </c>
      <c r="AT11" s="23">
        <f t="shared" si="15"/>
        <v>0.3337846237425835</v>
      </c>
    </row>
    <row r="12" spans="2:46" ht="11.1" customHeight="1" x14ac:dyDescent="0.3">
      <c r="B12" s="19">
        <v>4</v>
      </c>
      <c r="C12" s="19">
        <f t="shared" si="1"/>
        <v>75</v>
      </c>
      <c r="E12" s="20">
        <f t="shared" si="2"/>
        <v>2.3646350507162905E-2</v>
      </c>
      <c r="F12" s="20">
        <f t="shared" si="3"/>
        <v>3.2013331721284177E-2</v>
      </c>
      <c r="G12" s="20">
        <f t="shared" si="4"/>
        <v>5.708246662973393E-2</v>
      </c>
      <c r="H12" s="20">
        <f t="shared" si="5"/>
        <v>0.10866408383875836</v>
      </c>
      <c r="L12" s="96">
        <f>0.5*('no treatment'!J12+'no treatment'!J13)</f>
        <v>0.22203587815569803</v>
      </c>
      <c r="M12" s="96">
        <f>0.5*('no treatment'!K12+'no treatment'!K13)</f>
        <v>2.9663979686432931E-3</v>
      </c>
      <c r="N12" s="96">
        <f>0.5*('no treatment'!L12+'no treatment'!L13)</f>
        <v>0.19167651204676692</v>
      </c>
      <c r="O12" s="96">
        <f>0.5*('no treatment'!M12+'no treatment'!M13)</f>
        <v>2.2032838052836075E-2</v>
      </c>
      <c r="P12" s="96">
        <f>0.5*('no treatment'!N12+'no treatment'!N13)</f>
        <v>0.14680215885096448</v>
      </c>
      <c r="Q12" s="96">
        <f>0.5*('no treatment'!O12+'no treatment'!O13)</f>
        <v>4.4876173166053079E-2</v>
      </c>
      <c r="R12" s="96">
        <f>0.5*('no treatment'!P12+'no treatment'!P13)</f>
        <v>0.12896139651629451</v>
      </c>
      <c r="S12" s="96">
        <f>0.5*('no treatment'!Q12+'no treatment'!Q13)</f>
        <v>0.11116178581776787</v>
      </c>
      <c r="T12" s="96">
        <f>0.5*('no treatment'!R12+'no treatment'!R13)</f>
        <v>0.10117513916554051</v>
      </c>
      <c r="U12" s="96">
        <f>0.5*('no treatment'!S12+'no treatment'!S13)</f>
        <v>2.8311720259435274E-2</v>
      </c>
      <c r="V12" s="21">
        <f t="shared" si="16"/>
        <v>1</v>
      </c>
      <c r="Y12" s="22">
        <f t="shared" si="6"/>
        <v>109085.25106819326</v>
      </c>
      <c r="Z12" s="22">
        <v>0</v>
      </c>
      <c r="AA12" s="22">
        <v>0</v>
      </c>
      <c r="AB12" s="22">
        <f t="shared" si="7"/>
        <v>1485291.3268659078</v>
      </c>
      <c r="AC12" s="22">
        <v>0</v>
      </c>
      <c r="AD12" s="22">
        <v>0</v>
      </c>
      <c r="AE12" s="22">
        <f t="shared" si="8"/>
        <v>2205086.905083288</v>
      </c>
      <c r="AF12" s="22">
        <v>0</v>
      </c>
      <c r="AG12" s="22">
        <v>0</v>
      </c>
      <c r="AH12" s="22">
        <f t="shared" si="9"/>
        <v>3436469.6671316107</v>
      </c>
      <c r="AI12" s="22">
        <v>0</v>
      </c>
      <c r="AJ12" s="22">
        <v>0</v>
      </c>
      <c r="AK12" s="22">
        <v>0</v>
      </c>
      <c r="AL12" s="22">
        <f t="shared" si="10"/>
        <v>7235933.1501489989</v>
      </c>
      <c r="AP12" s="23">
        <f t="shared" si="14"/>
        <v>0.14071191150927137</v>
      </c>
      <c r="AQ12" s="23">
        <f t="shared" si="11"/>
        <v>7.2601372839208714E-2</v>
      </c>
      <c r="AR12" s="23">
        <f t="shared" si="12"/>
        <v>3.6912777964203218E-2</v>
      </c>
      <c r="AS12" s="23">
        <f t="shared" si="13"/>
        <v>1.6623446865598964E-2</v>
      </c>
      <c r="AT12" s="23">
        <f t="shared" si="15"/>
        <v>0.26684950917828226</v>
      </c>
    </row>
    <row r="13" spans="2:46" ht="11.1" customHeight="1" x14ac:dyDescent="0.3">
      <c r="B13" s="19">
        <v>5</v>
      </c>
      <c r="C13" s="19">
        <f t="shared" si="1"/>
        <v>76</v>
      </c>
      <c r="E13" s="20">
        <f t="shared" si="2"/>
        <v>2.6875157268125505E-2</v>
      </c>
      <c r="F13" s="20">
        <f t="shared" si="3"/>
        <v>3.6363164851724306E-2</v>
      </c>
      <c r="G13" s="20">
        <f t="shared" si="4"/>
        <v>6.4722854266430319E-2</v>
      </c>
      <c r="H13" s="20">
        <f t="shared" si="5"/>
        <v>0.12274458220862894</v>
      </c>
      <c r="L13" s="96">
        <f>0.5*('no treatment'!J13+'no treatment'!J14)</f>
        <v>0.17193330585712352</v>
      </c>
      <c r="M13" s="96">
        <f>0.5*('no treatment'!K13+'no treatment'!K14)</f>
        <v>3.1701881637069143E-3</v>
      </c>
      <c r="N13" s="96">
        <f>0.5*('no treatment'!L13+'no treatment'!L14)</f>
        <v>0.15486890395845274</v>
      </c>
      <c r="O13" s="96">
        <f>0.5*('no treatment'!M13+'no treatment'!M14)</f>
        <v>2.0724643195805789E-2</v>
      </c>
      <c r="P13" s="96">
        <f>0.5*('no treatment'!N13+'no treatment'!N14)</f>
        <v>0.12867827315953942</v>
      </c>
      <c r="Q13" s="96">
        <f>0.5*('no treatment'!O13+'no treatment'!O14)</f>
        <v>4.6836010486550228E-2</v>
      </c>
      <c r="R13" s="96">
        <f>0.5*('no treatment'!P13+'no treatment'!P14)</f>
        <v>0.13591373063550516</v>
      </c>
      <c r="S13" s="96">
        <f>0.5*('no treatment'!Q13+'no treatment'!Q14)</f>
        <v>0.15583903593124532</v>
      </c>
      <c r="T13" s="96">
        <f>0.5*('no treatment'!R13+'no treatment'!R14)</f>
        <v>0.13116420462492095</v>
      </c>
      <c r="U13" s="96">
        <f>0.5*('no treatment'!S13+'no treatment'!S14)</f>
        <v>5.0871703987150019E-2</v>
      </c>
      <c r="V13" s="21">
        <f t="shared" si="16"/>
        <v>1</v>
      </c>
      <c r="Y13" s="22">
        <f t="shared" si="6"/>
        <v>81237.70496647383</v>
      </c>
      <c r="Z13" s="22">
        <v>0</v>
      </c>
      <c r="AA13" s="22">
        <v>0</v>
      </c>
      <c r="AB13" s="22">
        <f t="shared" si="7"/>
        <v>1169118.1159408395</v>
      </c>
      <c r="AC13" s="22">
        <v>0</v>
      </c>
      <c r="AD13" s="22">
        <v>0</v>
      </c>
      <c r="AE13" s="22">
        <f t="shared" si="8"/>
        <v>1967916.3018615169</v>
      </c>
      <c r="AF13" s="22">
        <v>0</v>
      </c>
      <c r="AG13" s="22">
        <v>0</v>
      </c>
      <c r="AH13" s="22">
        <f t="shared" si="9"/>
        <v>4177887.8888588767</v>
      </c>
      <c r="AI13" s="22">
        <v>0</v>
      </c>
      <c r="AJ13" s="22">
        <v>0</v>
      </c>
      <c r="AK13" s="22">
        <v>0</v>
      </c>
      <c r="AL13" s="22">
        <f t="shared" si="10"/>
        <v>7396160.0116277076</v>
      </c>
      <c r="AP13" s="23">
        <f t="shared" si="14"/>
        <v>0.10446427985913477</v>
      </c>
      <c r="AQ13" s="23">
        <f t="shared" si="11"/>
        <v>5.655589384810681E-2</v>
      </c>
      <c r="AR13" s="23">
        <f t="shared" si="12"/>
        <v>3.1865076643855808E-2</v>
      </c>
      <c r="AS13" s="23">
        <f t="shared" si="13"/>
        <v>1.8627731617112998E-2</v>
      </c>
      <c r="AT13" s="23">
        <f t="shared" si="15"/>
        <v>0.21151298196821039</v>
      </c>
    </row>
    <row r="14" spans="2:46" ht="11.1" customHeight="1" x14ac:dyDescent="0.3">
      <c r="B14" s="19">
        <v>6</v>
      </c>
      <c r="C14" s="19">
        <f t="shared" si="1"/>
        <v>77</v>
      </c>
      <c r="E14" s="20">
        <f t="shared" si="2"/>
        <v>3.1262370100638814E-2</v>
      </c>
      <c r="F14" s="20">
        <f t="shared" si="3"/>
        <v>4.2265281802119969E-2</v>
      </c>
      <c r="G14" s="20">
        <f t="shared" si="4"/>
        <v>7.5045398384775641E-2</v>
      </c>
      <c r="H14" s="20">
        <f t="shared" si="5"/>
        <v>0.14159385725097229</v>
      </c>
      <c r="L14" s="96">
        <f>0.5*('no treatment'!J14+'no treatment'!J15)</f>
        <v>0.13279671334004273</v>
      </c>
      <c r="M14" s="96">
        <f>0.5*('no treatment'!K14+'no treatment'!K15)</f>
        <v>3.2129306577498859E-3</v>
      </c>
      <c r="N14" s="96">
        <f>0.5*('no treatment'!L14+'no treatment'!L15)</f>
        <v>0.12309854672026871</v>
      </c>
      <c r="O14" s="96">
        <f>0.5*('no treatment'!M14+'no treatment'!M15)</f>
        <v>1.8785845542980944E-2</v>
      </c>
      <c r="P14" s="96">
        <f>0.5*('no treatment'!N14+'no treatment'!N15)</f>
        <v>0.10804963327241301</v>
      </c>
      <c r="Q14" s="96">
        <f>0.5*('no treatment'!O14+'no treatment'!O15)</f>
        <v>4.5885618719230359E-2</v>
      </c>
      <c r="R14" s="96">
        <f>0.5*('no treatment'!P14+'no treatment'!P15)</f>
        <v>0.13065389151518536</v>
      </c>
      <c r="S14" s="96">
        <f>0.5*('no treatment'!Q14+'no treatment'!Q15)</f>
        <v>0.19261442565960013</v>
      </c>
      <c r="T14" s="96">
        <f>0.5*('no treatment'!R14+'no treatment'!R15)</f>
        <v>0.16222584734474832</v>
      </c>
      <c r="U14" s="96">
        <f>0.5*('no treatment'!S14+'no treatment'!S15)</f>
        <v>8.2676547227780589E-2</v>
      </c>
      <c r="V14" s="21">
        <f t="shared" si="16"/>
        <v>1</v>
      </c>
      <c r="Y14" s="22">
        <f t="shared" si="6"/>
        <v>60383.217012615918</v>
      </c>
      <c r="Z14" s="22">
        <v>0</v>
      </c>
      <c r="AA14" s="22">
        <v>0</v>
      </c>
      <c r="AB14" s="22">
        <f t="shared" si="7"/>
        <v>904957.083431707</v>
      </c>
      <c r="AC14" s="22">
        <v>0</v>
      </c>
      <c r="AD14" s="22">
        <v>0</v>
      </c>
      <c r="AE14" s="22">
        <f t="shared" si="8"/>
        <v>1680261.2785706504</v>
      </c>
      <c r="AF14" s="22">
        <v>0</v>
      </c>
      <c r="AG14" s="22">
        <v>0</v>
      </c>
      <c r="AH14" s="22">
        <f t="shared" si="9"/>
        <v>4597318.3203364555</v>
      </c>
      <c r="AI14" s="22">
        <v>0</v>
      </c>
      <c r="AJ14" s="22">
        <v>0</v>
      </c>
      <c r="AK14" s="22">
        <v>0</v>
      </c>
      <c r="AL14" s="22">
        <f t="shared" si="10"/>
        <v>7242919.8993514292</v>
      </c>
      <c r="AP14" s="23">
        <f t="shared" si="14"/>
        <v>7.7375285546488412E-2</v>
      </c>
      <c r="AQ14" s="23">
        <f t="shared" si="11"/>
        <v>4.3337674829581944E-2</v>
      </c>
      <c r="AR14" s="23">
        <f t="shared" si="12"/>
        <v>2.6359902299163893E-2</v>
      </c>
      <c r="AS14" s="23">
        <f t="shared" si="13"/>
        <v>1.9107981577059036E-2</v>
      </c>
      <c r="AT14" s="23">
        <f t="shared" si="15"/>
        <v>0.16618084425229326</v>
      </c>
    </row>
    <row r="15" spans="2:46" ht="11.1" customHeight="1" x14ac:dyDescent="0.3">
      <c r="B15" s="19">
        <v>7</v>
      </c>
      <c r="C15" s="19">
        <f t="shared" si="1"/>
        <v>78</v>
      </c>
      <c r="E15" s="20">
        <f t="shared" si="2"/>
        <v>3.6659890087681335E-2</v>
      </c>
      <c r="F15" s="20">
        <f t="shared" si="3"/>
        <v>4.9513383819471346E-2</v>
      </c>
      <c r="G15" s="20">
        <f t="shared" si="4"/>
        <v>8.7651994744920803E-2</v>
      </c>
      <c r="H15" s="20">
        <f t="shared" si="5"/>
        <v>0.16434222218004213</v>
      </c>
      <c r="L15" s="96">
        <f>0.5*('no treatment'!J15+'no treatment'!J16)</f>
        <v>0.1021477286540137</v>
      </c>
      <c r="M15" s="96">
        <f>0.5*('no treatment'!K15+'no treatment'!K16)</f>
        <v>3.1216815927966111E-3</v>
      </c>
      <c r="N15" s="96">
        <f>0.5*('no treatment'!L15+'no treatment'!L16)</f>
        <v>9.6506147678607657E-2</v>
      </c>
      <c r="O15" s="96">
        <f>0.5*('no treatment'!M15+'no treatment'!M16)</f>
        <v>1.651840934636516E-2</v>
      </c>
      <c r="P15" s="96">
        <f>0.5*('no treatment'!N15+'no treatment'!N16)</f>
        <v>8.7841156503880469E-2</v>
      </c>
      <c r="Q15" s="96">
        <f>0.5*('no treatment'!O15+'no treatment'!O16)</f>
        <v>4.2850548691220069E-2</v>
      </c>
      <c r="R15" s="96">
        <f>0.5*('no treatment'!P15+'no treatment'!P16)</f>
        <v>0.11704497605840521</v>
      </c>
      <c r="S15" s="96">
        <f>0.5*('no treatment'!Q15+'no treatment'!Q16)</f>
        <v>0.21602339371424167</v>
      </c>
      <c r="T15" s="96">
        <f>0.5*('no treatment'!R15+'no treatment'!R16)</f>
        <v>0.19357809974768292</v>
      </c>
      <c r="U15" s="96">
        <f>0.5*('no treatment'!S15+'no treatment'!S16)</f>
        <v>0.12436785801278658</v>
      </c>
      <c r="V15" s="21">
        <f t="shared" si="16"/>
        <v>1</v>
      </c>
      <c r="Y15" s="22">
        <f t="shared" si="6"/>
        <v>44723.155958029289</v>
      </c>
      <c r="Z15" s="22">
        <v>0</v>
      </c>
      <c r="AA15" s="22">
        <v>0</v>
      </c>
      <c r="AB15" s="22">
        <f t="shared" si="7"/>
        <v>690540.40203264635</v>
      </c>
      <c r="AC15" s="22">
        <v>0</v>
      </c>
      <c r="AD15" s="22">
        <v>0</v>
      </c>
      <c r="AE15" s="22">
        <f t="shared" si="8"/>
        <v>1387296.4005081421</v>
      </c>
      <c r="AF15" s="22">
        <v>0</v>
      </c>
      <c r="AG15" s="22">
        <v>0</v>
      </c>
      <c r="AH15" s="22">
        <f t="shared" si="9"/>
        <v>4673916.539892354</v>
      </c>
      <c r="AI15" s="22">
        <v>0</v>
      </c>
      <c r="AJ15" s="22">
        <v>0</v>
      </c>
      <c r="AK15" s="22">
        <v>0</v>
      </c>
      <c r="AL15" s="22">
        <f t="shared" si="10"/>
        <v>6796476.4983911719</v>
      </c>
      <c r="AP15" s="23">
        <f t="shared" si="14"/>
        <v>5.7088207674410307E-2</v>
      </c>
      <c r="AQ15" s="23">
        <f t="shared" si="11"/>
        <v>3.2749440342944844E-2</v>
      </c>
      <c r="AR15" s="23">
        <f t="shared" si="12"/>
        <v>2.111840850575903E-2</v>
      </c>
      <c r="AS15" s="23">
        <f t="shared" si="13"/>
        <v>1.829722211570272E-2</v>
      </c>
      <c r="AT15" s="23">
        <f t="shared" si="15"/>
        <v>0.12925327863881692</v>
      </c>
    </row>
    <row r="16" spans="2:46" ht="11.1" customHeight="1" x14ac:dyDescent="0.3">
      <c r="B16" s="19">
        <v>8</v>
      </c>
      <c r="C16" s="19">
        <f t="shared" si="1"/>
        <v>79</v>
      </c>
      <c r="E16" s="20">
        <f t="shared" si="2"/>
        <v>4.2849273174327962E-2</v>
      </c>
      <c r="F16" s="20">
        <f t="shared" si="3"/>
        <v>5.7806883397622633E-2</v>
      </c>
      <c r="G16" s="20">
        <f t="shared" si="4"/>
        <v>0.10198202532948608</v>
      </c>
      <c r="H16" s="20">
        <f t="shared" si="5"/>
        <v>0.18983751460326992</v>
      </c>
      <c r="L16" s="96">
        <f>0.5*('no treatment'!J16+'no treatment'!J17)</f>
        <v>7.8149541809409251E-2</v>
      </c>
      <c r="M16" s="96">
        <f>0.5*('no treatment'!K16+'no treatment'!K17)</f>
        <v>2.9281972354159311E-3</v>
      </c>
      <c r="N16" s="96">
        <f>0.5*('no treatment'!L16+'no treatment'!L17)</f>
        <v>7.4725892588310944E-2</v>
      </c>
      <c r="O16" s="96">
        <f>0.5*('no treatment'!M16+'no treatment'!M17)</f>
        <v>1.4153049854585747E-2</v>
      </c>
      <c r="P16" s="96">
        <f>0.5*('no treatment'!N16+'no treatment'!N17)</f>
        <v>6.9573266189475305E-2</v>
      </c>
      <c r="Q16" s="96">
        <f>0.5*('no treatment'!O16+'no treatment'!O17)</f>
        <v>3.8474602755179658E-2</v>
      </c>
      <c r="R16" s="96">
        <f>0.5*('no treatment'!P16+'no treatment'!P17)</f>
        <v>9.899157728305763E-2</v>
      </c>
      <c r="S16" s="96">
        <f>0.5*('no treatment'!Q16+'no treatment'!Q17)</f>
        <v>0.22362026095129545</v>
      </c>
      <c r="T16" s="96">
        <f>0.5*('no treatment'!R16+'no treatment'!R17)</f>
        <v>0.22412964707821323</v>
      </c>
      <c r="U16" s="96">
        <f>0.5*('no treatment'!S16+'no treatment'!S17)</f>
        <v>0.1752539642550569</v>
      </c>
      <c r="V16" s="21">
        <f t="shared" si="16"/>
        <v>1</v>
      </c>
      <c r="Y16" s="22">
        <f t="shared" si="6"/>
        <v>32962.154572143969</v>
      </c>
      <c r="Z16" s="22">
        <v>0</v>
      </c>
      <c r="AA16" s="22">
        <v>0</v>
      </c>
      <c r="AB16" s="22">
        <f t="shared" si="7"/>
        <v>520135.76689164713</v>
      </c>
      <c r="AC16" s="22">
        <v>0</v>
      </c>
      <c r="AD16" s="22">
        <v>0</v>
      </c>
      <c r="AE16" s="22">
        <f t="shared" si="8"/>
        <v>1114158.2964596502</v>
      </c>
      <c r="AF16" s="22">
        <v>0</v>
      </c>
      <c r="AG16" s="22">
        <v>0</v>
      </c>
      <c r="AH16" s="22">
        <f t="shared" si="9"/>
        <v>4442810.7232705764</v>
      </c>
      <c r="AI16" s="22">
        <v>0</v>
      </c>
      <c r="AJ16" s="22">
        <v>0</v>
      </c>
      <c r="AK16" s="22">
        <v>0</v>
      </c>
      <c r="AL16" s="22">
        <f t="shared" si="10"/>
        <v>6110066.9411940174</v>
      </c>
      <c r="AP16" s="23">
        <f t="shared" si="14"/>
        <v>4.1901641929352473E-2</v>
      </c>
      <c r="AQ16" s="23">
        <f t="shared" si="11"/>
        <v>2.4438783279942637E-2</v>
      </c>
      <c r="AR16" s="23">
        <f t="shared" si="12"/>
        <v>1.6484628312369031E-2</v>
      </c>
      <c r="AS16" s="23">
        <f t="shared" si="13"/>
        <v>1.6534945789135457E-2</v>
      </c>
      <c r="AT16" s="23">
        <f t="shared" si="15"/>
        <v>9.9359999310799613E-2</v>
      </c>
    </row>
    <row r="17" spans="2:46" ht="11.1" customHeight="1" x14ac:dyDescent="0.3">
      <c r="B17" s="19">
        <v>9</v>
      </c>
      <c r="C17" s="19">
        <f t="shared" si="1"/>
        <v>80</v>
      </c>
      <c r="E17" s="20">
        <f t="shared" si="2"/>
        <v>4.972845894543243E-2</v>
      </c>
      <c r="F17" s="20">
        <f t="shared" si="3"/>
        <v>6.7002078676466792E-2</v>
      </c>
      <c r="G17" s="20">
        <f t="shared" si="4"/>
        <v>0.11775156048840807</v>
      </c>
      <c r="H17" s="20">
        <f t="shared" si="5"/>
        <v>0.21744726008184811</v>
      </c>
      <c r="L17" s="96">
        <f>0.5*('no treatment'!J17+'no treatment'!J18)</f>
        <v>5.9405152578017463E-2</v>
      </c>
      <c r="M17" s="96">
        <f>0.5*('no treatment'!K17+'no treatment'!K18)</f>
        <v>2.664592419029394E-3</v>
      </c>
      <c r="N17" s="96">
        <f>0.5*('no treatment'!L17+'no treatment'!L18)</f>
        <v>5.7191024823346995E-2</v>
      </c>
      <c r="O17" s="96">
        <f>0.5*('no treatment'!M17+'no treatment'!M18)</f>
        <v>1.1852001288785666E-2</v>
      </c>
      <c r="P17" s="96">
        <f>0.5*('no treatment'!N17+'no treatment'!N18)</f>
        <v>5.3897122891228652E-2</v>
      </c>
      <c r="Q17" s="96">
        <f>0.5*('no treatment'!O17+'no treatment'!O18)</f>
        <v>3.3372769425730767E-2</v>
      </c>
      <c r="R17" s="96">
        <f>0.5*('no treatment'!P17+'no treatment'!P18)</f>
        <v>7.9731985937478392E-2</v>
      </c>
      <c r="S17" s="96">
        <f>0.5*('no treatment'!Q17+'no treatment'!Q18)</f>
        <v>0.2159444781421182</v>
      </c>
      <c r="T17" s="96">
        <f>0.5*('no treatment'!R17+'no treatment'!R18)</f>
        <v>0.25274953661324195</v>
      </c>
      <c r="U17" s="96">
        <f>0.5*('no treatment'!S17+'no treatment'!S18)</f>
        <v>0.23319133588102256</v>
      </c>
      <c r="V17" s="21">
        <f t="shared" si="16"/>
        <v>1</v>
      </c>
      <c r="Y17" s="22">
        <f t="shared" si="6"/>
        <v>24147.803490403912</v>
      </c>
      <c r="Z17" s="22">
        <v>0</v>
      </c>
      <c r="AA17" s="22">
        <v>0</v>
      </c>
      <c r="AB17" s="22">
        <f t="shared" si="7"/>
        <v>387005.80886688741</v>
      </c>
      <c r="AC17" s="22">
        <v>0</v>
      </c>
      <c r="AD17" s="22">
        <v>0</v>
      </c>
      <c r="AE17" s="22">
        <f t="shared" si="8"/>
        <v>873131.25990894565</v>
      </c>
      <c r="AF17" s="22">
        <v>0</v>
      </c>
      <c r="AG17" s="22">
        <v>0</v>
      </c>
      <c r="AH17" s="22">
        <f t="shared" si="9"/>
        <v>3977442.4654246252</v>
      </c>
      <c r="AI17" s="22">
        <v>0</v>
      </c>
      <c r="AJ17" s="22">
        <v>0</v>
      </c>
      <c r="AK17" s="22">
        <v>0</v>
      </c>
      <c r="AL17" s="22">
        <f t="shared" si="10"/>
        <v>5261727.3376908619</v>
      </c>
      <c r="AP17" s="23">
        <f t="shared" si="14"/>
        <v>3.0562485120122745E-2</v>
      </c>
      <c r="AQ17" s="23">
        <f t="shared" si="11"/>
        <v>1.8022191986562991E-2</v>
      </c>
      <c r="AR17" s="23">
        <f t="shared" si="12"/>
        <v>1.2580476256062702E-2</v>
      </c>
      <c r="AS17" s="23">
        <f t="shared" si="13"/>
        <v>1.4191104378600662E-2</v>
      </c>
      <c r="AT17" s="23">
        <f t="shared" si="15"/>
        <v>7.5356257741349103E-2</v>
      </c>
    </row>
    <row r="18" spans="2:46" ht="11.1" customHeight="1" x14ac:dyDescent="0.3">
      <c r="B18" s="19">
        <v>10</v>
      </c>
      <c r="C18" s="19">
        <f t="shared" si="1"/>
        <v>81</v>
      </c>
      <c r="E18" s="20">
        <f t="shared" si="2"/>
        <v>5.7251654003104502E-2</v>
      </c>
      <c r="F18" s="20">
        <f t="shared" si="3"/>
        <v>7.7030725748545636E-2</v>
      </c>
      <c r="G18" s="20">
        <f t="shared" si="4"/>
        <v>0.13480810978755453</v>
      </c>
      <c r="H18" s="20">
        <f t="shared" si="5"/>
        <v>0.24678309076341653</v>
      </c>
      <c r="L18" s="96">
        <f>0.5*('no treatment'!J18+'no treatment'!J19)</f>
        <v>4.4824717095589217E-2</v>
      </c>
      <c r="M18" s="96">
        <f>0.5*('no treatment'!K18+'no treatment'!K19)</f>
        <v>2.3601657259175292E-3</v>
      </c>
      <c r="N18" s="96">
        <f>0.5*('no treatment'!L18+'no treatment'!L19)</f>
        <v>4.3277620084721073E-2</v>
      </c>
      <c r="O18" s="96">
        <f>0.5*('no treatment'!M18+'no treatment'!M19)</f>
        <v>9.7189707406836086E-3</v>
      </c>
      <c r="P18" s="96">
        <f>0.5*('no treatment'!N18+'no treatment'!N19)</f>
        <v>4.0940966768540366E-2</v>
      </c>
      <c r="Q18" s="96">
        <f>0.5*('no treatment'!O18+'no treatment'!O19)</f>
        <v>2.8028572103653178E-2</v>
      </c>
      <c r="R18" s="96">
        <f>0.5*('no treatment'!P18+'no treatment'!P19)</f>
        <v>6.1534663527765029E-2</v>
      </c>
      <c r="S18" s="96">
        <f>0.5*('no treatment'!Q18+'no treatment'!Q19)</f>
        <v>0.19583882234095731</v>
      </c>
      <c r="T18" s="96">
        <f>0.5*('no treatment'!R18+'no treatment'!R19)</f>
        <v>0.2785362609422779</v>
      </c>
      <c r="U18" s="96">
        <f>0.5*('no treatment'!S18+'no treatment'!S19)</f>
        <v>0.29493924066989485</v>
      </c>
      <c r="V18" s="21">
        <f t="shared" si="16"/>
        <v>1</v>
      </c>
      <c r="Y18" s="22">
        <f t="shared" si="6"/>
        <v>17566.460450475191</v>
      </c>
      <c r="Z18" s="22">
        <v>0</v>
      </c>
      <c r="AA18" s="22">
        <v>0</v>
      </c>
      <c r="AB18" s="22">
        <f t="shared" si="7"/>
        <v>284513.55549205223</v>
      </c>
      <c r="AC18" s="22">
        <v>0</v>
      </c>
      <c r="AD18" s="22">
        <v>0</v>
      </c>
      <c r="AE18" s="22">
        <f t="shared" si="8"/>
        <v>668578.54392442445</v>
      </c>
      <c r="AF18" s="22">
        <v>0</v>
      </c>
      <c r="AG18" s="22">
        <v>0</v>
      </c>
      <c r="AH18" s="22">
        <f t="shared" si="9"/>
        <v>3368514.474752509</v>
      </c>
      <c r="AI18" s="22">
        <v>0</v>
      </c>
      <c r="AJ18" s="22">
        <v>0</v>
      </c>
      <c r="AK18" s="22">
        <v>0</v>
      </c>
      <c r="AL18" s="22">
        <f t="shared" si="10"/>
        <v>4339173.0346194608</v>
      </c>
      <c r="AP18" s="23">
        <f t="shared" si="14"/>
        <v>2.2131172177742558E-2</v>
      </c>
      <c r="AQ18" s="23">
        <f t="shared" si="11"/>
        <v>1.3137456993243302E-2</v>
      </c>
      <c r="AR18" s="23">
        <f t="shared" si="12"/>
        <v>9.4034635649567471E-3</v>
      </c>
      <c r="AS18" s="23">
        <f t="shared" si="13"/>
        <v>1.1607997406783468E-2</v>
      </c>
      <c r="AT18" s="23">
        <f t="shared" si="15"/>
        <v>5.6280090142726079E-2</v>
      </c>
    </row>
    <row r="19" spans="2:46" ht="11.1" customHeight="1" x14ac:dyDescent="0.3">
      <c r="B19" s="19">
        <v>11</v>
      </c>
      <c r="C19" s="19">
        <f t="shared" si="1"/>
        <v>82</v>
      </c>
      <c r="E19" s="20">
        <f t="shared" si="2"/>
        <v>6.6035982757058131E-2</v>
      </c>
      <c r="F19" s="20">
        <f t="shared" si="3"/>
        <v>8.8704119559237626E-2</v>
      </c>
      <c r="G19" s="20">
        <f t="shared" si="4"/>
        <v>0.15447457622922944</v>
      </c>
      <c r="H19" s="20">
        <f t="shared" si="5"/>
        <v>0.27992707068676714</v>
      </c>
      <c r="L19" s="96">
        <f>0.5*('no treatment'!J19+'no treatment'!J20)</f>
        <v>3.3535197720796411E-2</v>
      </c>
      <c r="M19" s="96">
        <f>0.5*('no treatment'!K19+'no treatment'!K20)</f>
        <v>2.0389732870746916E-3</v>
      </c>
      <c r="N19" s="96">
        <f>0.5*('no treatment'!L19+'no treatment'!L20)</f>
        <v>3.2368397268668692E-2</v>
      </c>
      <c r="O19" s="96">
        <f>0.5*('no treatment'!M19+'no treatment'!M20)</f>
        <v>7.8090720833132428E-3</v>
      </c>
      <c r="P19" s="96">
        <f>0.5*('no treatment'!N19+'no treatment'!N20)</f>
        <v>3.0525406900049568E-2</v>
      </c>
      <c r="Q19" s="96">
        <f>0.5*('no treatment'!O19+'no treatment'!O20)</f>
        <v>2.2792245957994124E-2</v>
      </c>
      <c r="R19" s="96">
        <f>0.5*('no treatment'!P19+'no treatment'!P20)</f>
        <v>4.5661098635984276E-2</v>
      </c>
      <c r="S19" s="96">
        <f>0.5*('no treatment'!Q19+'no treatment'!Q20)</f>
        <v>0.16724413499750651</v>
      </c>
      <c r="T19" s="96">
        <f>0.5*('no treatment'!R19+'no treatment'!R20)</f>
        <v>0.30102539077106921</v>
      </c>
      <c r="U19" s="96">
        <f>0.5*('no treatment'!S19+'no treatment'!S20)</f>
        <v>0.35700008237754333</v>
      </c>
      <c r="V19" s="21">
        <f t="shared" si="16"/>
        <v>1</v>
      </c>
      <c r="Y19" s="22">
        <f t="shared" si="6"/>
        <v>12673.596597926318</v>
      </c>
      <c r="Z19" s="22">
        <v>0</v>
      </c>
      <c r="AA19" s="22">
        <v>0</v>
      </c>
      <c r="AB19" s="22">
        <f t="shared" si="7"/>
        <v>206571.65674073549</v>
      </c>
      <c r="AC19" s="22">
        <v>0</v>
      </c>
      <c r="AD19" s="22">
        <v>0</v>
      </c>
      <c r="AE19" s="22">
        <f t="shared" si="8"/>
        <v>499966.12943216675</v>
      </c>
      <c r="AF19" s="22">
        <v>0</v>
      </c>
      <c r="AG19" s="22">
        <v>0</v>
      </c>
      <c r="AH19" s="22">
        <f t="shared" si="9"/>
        <v>2701843.9775795937</v>
      </c>
      <c r="AI19" s="22">
        <v>0</v>
      </c>
      <c r="AJ19" s="22">
        <v>0</v>
      </c>
      <c r="AK19" s="22">
        <v>0</v>
      </c>
      <c r="AL19" s="22">
        <f t="shared" si="10"/>
        <v>3421055.3603504221</v>
      </c>
      <c r="AP19" s="23">
        <f t="shared" si="14"/>
        <v>1.5891384173434518E-2</v>
      </c>
      <c r="AQ19" s="23">
        <f t="shared" si="11"/>
        <v>9.4626018285382443E-3</v>
      </c>
      <c r="AR19" s="23">
        <f t="shared" si="12"/>
        <v>6.8843511591142196E-3</v>
      </c>
      <c r="AS19" s="23">
        <f t="shared" si="13"/>
        <v>9.0532412651603087E-3</v>
      </c>
      <c r="AT19" s="23">
        <f t="shared" si="15"/>
        <v>4.129157842624729E-2</v>
      </c>
    </row>
    <row r="20" spans="2:46" ht="11.1" customHeight="1" x14ac:dyDescent="0.3">
      <c r="B20" s="19">
        <v>12</v>
      </c>
      <c r="C20" s="19">
        <f t="shared" si="1"/>
        <v>83</v>
      </c>
      <c r="E20" s="20">
        <f t="shared" si="2"/>
        <v>7.6062995019991475E-2</v>
      </c>
      <c r="F20" s="20">
        <f t="shared" si="3"/>
        <v>0.10198070718378116</v>
      </c>
      <c r="G20" s="20">
        <f t="shared" si="4"/>
        <v>0.17659629300437474</v>
      </c>
      <c r="H20" s="20">
        <f t="shared" si="5"/>
        <v>0.3163367593772809</v>
      </c>
      <c r="L20" s="96">
        <f>0.5*('no treatment'!J20+'no treatment'!J21)</f>
        <v>2.4837502125495809E-2</v>
      </c>
      <c r="M20" s="96">
        <f>0.5*('no treatment'!K20+'no treatment'!K21)</f>
        <v>1.7195696844250668E-3</v>
      </c>
      <c r="N20" s="96">
        <f>0.5*('no treatment'!L20+'no treatment'!L21)</f>
        <v>2.3902413076604703E-2</v>
      </c>
      <c r="O20" s="96">
        <f>0.5*('no treatment'!M20+'no treatment'!M21)</f>
        <v>6.144327006793562E-3</v>
      </c>
      <c r="P20" s="96">
        <f>0.5*('no treatment'!N20+'no treatment'!N21)</f>
        <v>2.2333568511836207E-2</v>
      </c>
      <c r="Q20" s="96">
        <f>0.5*('no treatment'!O20+'no treatment'!O21)</f>
        <v>1.7912101219175372E-2</v>
      </c>
      <c r="R20" s="96">
        <f>0.5*('no treatment'!P20+'no treatment'!P21)</f>
        <v>3.2614657491786589E-2</v>
      </c>
      <c r="S20" s="96">
        <f>0.5*('no treatment'!Q20+'no treatment'!Q21)</f>
        <v>0.13441658485513122</v>
      </c>
      <c r="T20" s="96">
        <f>0.5*('no treatment'!R20+'no treatment'!R21)</f>
        <v>0.32010204933401021</v>
      </c>
      <c r="U20" s="96">
        <f>0.5*('no treatment'!S20+'no treatment'!S21)</f>
        <v>0.41601722669474128</v>
      </c>
      <c r="V20" s="21">
        <f t="shared" si="16"/>
        <v>1</v>
      </c>
      <c r="Y20" s="22">
        <f t="shared" si="6"/>
        <v>9053.7602190768866</v>
      </c>
      <c r="Z20" s="22">
        <v>0</v>
      </c>
      <c r="AA20" s="22">
        <v>0</v>
      </c>
      <c r="AB20" s="22">
        <f t="shared" si="7"/>
        <v>147941.96850455742</v>
      </c>
      <c r="AC20" s="22">
        <v>0</v>
      </c>
      <c r="AD20" s="22">
        <v>0</v>
      </c>
      <c r="AE20" s="22">
        <f t="shared" si="8"/>
        <v>364372.93570796674</v>
      </c>
      <c r="AF20" s="22">
        <v>0</v>
      </c>
      <c r="AG20" s="22">
        <v>0</v>
      </c>
      <c r="AH20" s="22">
        <f t="shared" si="9"/>
        <v>2049096.3251399877</v>
      </c>
      <c r="AI20" s="22">
        <v>0</v>
      </c>
      <c r="AJ20" s="22">
        <v>0</v>
      </c>
      <c r="AK20" s="22">
        <v>0</v>
      </c>
      <c r="AL20" s="22">
        <f t="shared" si="10"/>
        <v>2570464.989571589</v>
      </c>
      <c r="AP20" s="23">
        <f t="shared" si="14"/>
        <v>1.1297535747379354E-2</v>
      </c>
      <c r="AQ20" s="23">
        <f t="shared" si="11"/>
        <v>6.7268375470214874E-3</v>
      </c>
      <c r="AR20" s="23">
        <f t="shared" si="12"/>
        <v>4.9293195994480664E-3</v>
      </c>
      <c r="AS20" s="23">
        <f t="shared" si="13"/>
        <v>6.7172680444278566E-3</v>
      </c>
      <c r="AT20" s="23">
        <f t="shared" si="15"/>
        <v>2.9670960938276762E-2</v>
      </c>
    </row>
    <row r="21" spans="2:46" ht="11.1" customHeight="1" x14ac:dyDescent="0.3">
      <c r="B21" s="19">
        <v>13</v>
      </c>
      <c r="C21" s="19">
        <f t="shared" si="1"/>
        <v>84</v>
      </c>
      <c r="E21" s="20">
        <f t="shared" si="2"/>
        <v>8.7161206574002503E-2</v>
      </c>
      <c r="F21" s="20">
        <f t="shared" si="3"/>
        <v>0.1166153330973847</v>
      </c>
      <c r="G21" s="20">
        <f t="shared" si="4"/>
        <v>0.20067697726655465</v>
      </c>
      <c r="H21" s="20">
        <f t="shared" si="5"/>
        <v>0.35491983638905999</v>
      </c>
      <c r="L21" s="96">
        <f>0.5*('no treatment'!J21+'no treatment'!J22)</f>
        <v>1.8184530009075585E-2</v>
      </c>
      <c r="M21" s="96">
        <f>0.5*('no treatment'!K21+'no treatment'!K22)</f>
        <v>1.4162051619689585E-3</v>
      </c>
      <c r="N21" s="96">
        <f>0.5*('no treatment'!L21+'no treatment'!L22)</f>
        <v>1.7408005873686617E-2</v>
      </c>
      <c r="O21" s="96">
        <f>0.5*('no treatment'!M21+'no treatment'!M22)</f>
        <v>4.7296674405266567E-3</v>
      </c>
      <c r="P21" s="96">
        <f>0.5*('no treatment'!N21+'no treatment'!N22)</f>
        <v>1.6028609761790102E-2</v>
      </c>
      <c r="Q21" s="96">
        <f>0.5*('no treatment'!O21+'no treatment'!O22)</f>
        <v>1.3576657401487675E-2</v>
      </c>
      <c r="R21" s="96">
        <f>0.5*('no treatment'!P21+'no treatment'!P22)</f>
        <v>2.2453937017597722E-2</v>
      </c>
      <c r="S21" s="96">
        <f>0.5*('no treatment'!Q21+'no treatment'!Q22)</f>
        <v>0.10154308678226588</v>
      </c>
      <c r="T21" s="96">
        <f>0.5*('no treatment'!R21+'no treatment'!R22)</f>
        <v>0.335798505497239</v>
      </c>
      <c r="U21" s="96">
        <f>0.5*('no treatment'!S21+'no treatment'!S22)</f>
        <v>0.46886079505436185</v>
      </c>
      <c r="V21" s="21">
        <f t="shared" si="16"/>
        <v>1</v>
      </c>
      <c r="Y21" s="22">
        <f t="shared" si="6"/>
        <v>6394.4746636382633</v>
      </c>
      <c r="Z21" s="22">
        <v>0</v>
      </c>
      <c r="AA21" s="22">
        <v>0</v>
      </c>
      <c r="AB21" s="22">
        <f t="shared" si="7"/>
        <v>104376.02494061354</v>
      </c>
      <c r="AC21" s="22">
        <v>0</v>
      </c>
      <c r="AD21" s="22">
        <v>0</v>
      </c>
      <c r="AE21" s="22">
        <f t="shared" si="8"/>
        <v>258246.22545239746</v>
      </c>
      <c r="AF21" s="22">
        <v>0</v>
      </c>
      <c r="AG21" s="22">
        <v>0</v>
      </c>
      <c r="AH21" s="22">
        <f t="shared" si="9"/>
        <v>1466506.8878279007</v>
      </c>
      <c r="AI21" s="22">
        <v>0</v>
      </c>
      <c r="AJ21" s="22">
        <v>0</v>
      </c>
      <c r="AK21" s="22">
        <v>0</v>
      </c>
      <c r="AL21" s="22">
        <f t="shared" si="10"/>
        <v>1835523.6128845499</v>
      </c>
      <c r="AP21" s="23">
        <f t="shared" si="14"/>
        <v>7.9400378062402053E-3</v>
      </c>
      <c r="AQ21" s="23">
        <f t="shared" si="11"/>
        <v>4.7140328792355758E-3</v>
      </c>
      <c r="AR21" s="23">
        <f t="shared" si="12"/>
        <v>3.4464388558476527E-3</v>
      </c>
      <c r="AS21" s="23">
        <f t="shared" si="13"/>
        <v>4.7302252813754084E-3</v>
      </c>
      <c r="AT21" s="23">
        <f t="shared" si="15"/>
        <v>2.0830734822698843E-2</v>
      </c>
    </row>
    <row r="22" spans="2:46" ht="11.1" customHeight="1" x14ac:dyDescent="0.3">
      <c r="B22" s="19">
        <v>14</v>
      </c>
      <c r="C22" s="19">
        <f t="shared" si="1"/>
        <v>85</v>
      </c>
      <c r="E22" s="20">
        <f t="shared" si="2"/>
        <v>9.9347691695008566E-2</v>
      </c>
      <c r="F22" s="20">
        <f t="shared" si="3"/>
        <v>0.13261143750077753</v>
      </c>
      <c r="G22" s="20">
        <f t="shared" si="4"/>
        <v>0.22663231220202829</v>
      </c>
      <c r="H22" s="20">
        <f t="shared" si="5"/>
        <v>0.39527837169256685</v>
      </c>
      <c r="L22" s="96">
        <f>0.5*('no treatment'!J22+'no treatment'!J23)</f>
        <v>1.3142477030426121E-2</v>
      </c>
      <c r="M22" s="96">
        <f>0.5*('no treatment'!K22+'no treatment'!K23)</f>
        <v>1.1390161035143222E-3</v>
      </c>
      <c r="N22" s="96">
        <f>0.5*('no treatment'!L22+'no treatment'!L23)</f>
        <v>1.2490229201099261E-2</v>
      </c>
      <c r="O22" s="96">
        <f>0.5*('no treatment'!M22+'no treatment'!M23)</f>
        <v>3.5578607746016549E-3</v>
      </c>
      <c r="P22" s="96">
        <f>0.5*('no treatment'!N22+'no treatment'!N23)</f>
        <v>1.1280475477438387E-2</v>
      </c>
      <c r="Q22" s="96">
        <f>0.5*('no treatment'!O22+'no treatment'!O23)</f>
        <v>9.9075418603593451E-3</v>
      </c>
      <c r="R22" s="96">
        <f>0.5*('no treatment'!P22+'no treatment'!P23)</f>
        <v>1.4926183163582036E-2</v>
      </c>
      <c r="S22" s="96">
        <f>0.5*('no treatment'!Q22+'no treatment'!Q23)</f>
        <v>7.1991573465071595E-2</v>
      </c>
      <c r="T22" s="96">
        <f>0.5*('no treatment'!R22+'no treatment'!R23)</f>
        <v>0.34831464111802524</v>
      </c>
      <c r="U22" s="96">
        <f>0.5*('no treatment'!S22+'no treatment'!S23)</f>
        <v>0.51325000180588209</v>
      </c>
      <c r="V22" s="21">
        <f t="shared" si="16"/>
        <v>1</v>
      </c>
      <c r="Y22" s="22">
        <f t="shared" si="6"/>
        <v>4458.5109235527416</v>
      </c>
      <c r="Z22" s="22">
        <v>0</v>
      </c>
      <c r="AA22" s="22">
        <v>0</v>
      </c>
      <c r="AB22" s="22">
        <f t="shared" si="7"/>
        <v>72448.873147106948</v>
      </c>
      <c r="AC22" s="22">
        <v>0</v>
      </c>
      <c r="AD22" s="22">
        <v>0</v>
      </c>
      <c r="AE22" s="22">
        <f t="shared" si="8"/>
        <v>177663.06075503357</v>
      </c>
      <c r="AF22" s="22">
        <v>0</v>
      </c>
      <c r="AG22" s="22">
        <v>0</v>
      </c>
      <c r="AH22" s="22">
        <f t="shared" si="9"/>
        <v>988508.19784929918</v>
      </c>
      <c r="AI22" s="22">
        <v>0</v>
      </c>
      <c r="AJ22" s="22">
        <v>0</v>
      </c>
      <c r="AK22" s="22">
        <v>0</v>
      </c>
      <c r="AL22" s="22">
        <f t="shared" si="10"/>
        <v>1243078.6426749923</v>
      </c>
      <c r="AP22" s="23">
        <f t="shared" si="14"/>
        <v>5.5088394459103848E-3</v>
      </c>
      <c r="AQ22" s="23">
        <f t="shared" si="11"/>
        <v>3.2526365416085104E-3</v>
      </c>
      <c r="AR22" s="23">
        <f t="shared" si="12"/>
        <v>2.3496228205970582E-3</v>
      </c>
      <c r="AS22" s="23">
        <f t="shared" si="13"/>
        <v>3.1545026109548908E-3</v>
      </c>
      <c r="AT22" s="23">
        <f t="shared" si="15"/>
        <v>1.4265601419070843E-2</v>
      </c>
    </row>
    <row r="23" spans="2:46" ht="11.1" customHeight="1" x14ac:dyDescent="0.3">
      <c r="B23" s="19">
        <v>15</v>
      </c>
      <c r="C23" s="19">
        <f t="shared" si="1"/>
        <v>86</v>
      </c>
      <c r="E23" s="20">
        <f t="shared" si="2"/>
        <v>0.11276235934045675</v>
      </c>
      <c r="F23" s="20">
        <f t="shared" si="3"/>
        <v>0.15012985180403171</v>
      </c>
      <c r="G23" s="20">
        <f t="shared" si="4"/>
        <v>0.25461809611425101</v>
      </c>
      <c r="H23" s="20">
        <f t="shared" si="5"/>
        <v>0.43736445209676178</v>
      </c>
      <c r="L23" s="96">
        <f>0.5*('no treatment'!J23+'no treatment'!J24)</f>
        <v>9.3622140084000018E-3</v>
      </c>
      <c r="M23" s="96">
        <f>0.5*('no treatment'!K23+'no treatment'!K24)</f>
        <v>8.9421525435016296E-4</v>
      </c>
      <c r="N23" s="96">
        <f>0.5*('no treatment'!L23+'no treatment'!L24)</f>
        <v>8.8175470626015977E-3</v>
      </c>
      <c r="O23" s="96">
        <f>0.5*('no treatment'!M23+'no treatment'!M24)</f>
        <v>2.6120373693227514E-3</v>
      </c>
      <c r="P23" s="96">
        <f>0.5*('no treatment'!N23+'no treatment'!N24)</f>
        <v>7.7798240344854807E-3</v>
      </c>
      <c r="Q23" s="96">
        <f>0.5*('no treatment'!O23+'no treatment'!O24)</f>
        <v>6.9503761327937529E-3</v>
      </c>
      <c r="R23" s="96">
        <f>0.5*('no treatment'!P23+'no treatment'!P24)</f>
        <v>9.5957016314873918E-3</v>
      </c>
      <c r="S23" s="96">
        <f>0.5*('no treatment'!Q23+'no treatment'!Q24)</f>
        <v>4.7798567825195121E-2</v>
      </c>
      <c r="T23" s="96">
        <f>0.5*('no treatment'!R23+'no treatment'!R24)</f>
        <v>0.35800458366809396</v>
      </c>
      <c r="U23" s="96">
        <f>0.5*('no treatment'!S23+'no treatment'!S24)</f>
        <v>0.54818493301326987</v>
      </c>
      <c r="V23" s="21">
        <f t="shared" si="16"/>
        <v>1</v>
      </c>
      <c r="Y23" s="22">
        <f t="shared" si="6"/>
        <v>3064.0519070352702</v>
      </c>
      <c r="Z23" s="22">
        <v>0</v>
      </c>
      <c r="AA23" s="22">
        <v>0</v>
      </c>
      <c r="AB23" s="22">
        <f t="shared" si="7"/>
        <v>49401.414850726695</v>
      </c>
      <c r="AC23" s="22">
        <v>0</v>
      </c>
      <c r="AD23" s="22">
        <v>0</v>
      </c>
      <c r="AE23" s="22">
        <f t="shared" si="8"/>
        <v>118445.42731799799</v>
      </c>
      <c r="AF23" s="22">
        <v>0</v>
      </c>
      <c r="AG23" s="22">
        <v>0</v>
      </c>
      <c r="AH23" s="22">
        <f t="shared" si="9"/>
        <v>626103.71472658881</v>
      </c>
      <c r="AI23" s="22">
        <v>0</v>
      </c>
      <c r="AJ23" s="22">
        <v>0</v>
      </c>
      <c r="AK23" s="22">
        <v>0</v>
      </c>
      <c r="AL23" s="22">
        <f t="shared" si="10"/>
        <v>797014.60880234872</v>
      </c>
      <c r="AP23" s="23">
        <f t="shared" si="14"/>
        <v>3.7672874218243769E-3</v>
      </c>
      <c r="AQ23" s="23">
        <f t="shared" si="11"/>
        <v>2.2066698975671123E-3</v>
      </c>
      <c r="AR23" s="23">
        <f t="shared" si="12"/>
        <v>1.5597887199642194E-3</v>
      </c>
      <c r="AS23" s="23">
        <f t="shared" si="13"/>
        <v>1.9876559360396378E-3</v>
      </c>
      <c r="AT23" s="23">
        <f t="shared" si="15"/>
        <v>9.5214019753953466E-3</v>
      </c>
    </row>
    <row r="24" spans="2:46" ht="11.1" customHeight="1" x14ac:dyDescent="0.3">
      <c r="B24" s="19">
        <v>16</v>
      </c>
      <c r="C24" s="19">
        <f t="shared" si="1"/>
        <v>87</v>
      </c>
      <c r="E24" s="20">
        <f t="shared" si="2"/>
        <v>0.12744286062794341</v>
      </c>
      <c r="F24" s="20">
        <f t="shared" si="3"/>
        <v>0.16919242833842307</v>
      </c>
      <c r="G24" s="20">
        <f t="shared" si="4"/>
        <v>0.28454643736239738</v>
      </c>
      <c r="H24" s="20">
        <f t="shared" si="5"/>
        <v>0.48072773765230914</v>
      </c>
      <c r="L24" s="96">
        <f>0.5*('no treatment'!J24+'no treatment'!J25)</f>
        <v>6.5627050676012105E-3</v>
      </c>
      <c r="M24" s="96">
        <f>0.5*('no treatment'!K24+'no treatment'!K25)</f>
        <v>6.847129066828348E-4</v>
      </c>
      <c r="N24" s="96">
        <f>0.5*('no treatment'!L24+'no treatment'!L25)</f>
        <v>6.1153990632422115E-3</v>
      </c>
      <c r="O24" s="96">
        <f>0.5*('no treatment'!M24+'no treatment'!M25)</f>
        <v>1.8688940393199157E-3</v>
      </c>
      <c r="P24" s="96">
        <f>0.5*('no treatment'!N24+'no treatment'!N25)</f>
        <v>5.2528208098879918E-3</v>
      </c>
      <c r="Q24" s="96">
        <f>0.5*('no treatment'!O24+'no treatment'!O25)</f>
        <v>4.6823330527488759E-3</v>
      </c>
      <c r="R24" s="96">
        <f>0.5*('no treatment'!P24+'no treatment'!P25)</f>
        <v>5.9741475022238831E-3</v>
      </c>
      <c r="S24" s="96">
        <f>0.5*('no treatment'!Q24+'no treatment'!Q25)</f>
        <v>2.964515048020705E-2</v>
      </c>
      <c r="T24" s="96">
        <f>0.5*('no treatment'!R24+'no treatment'!R25)</f>
        <v>0.36530256841819769</v>
      </c>
      <c r="U24" s="96">
        <f>0.5*('no treatment'!S24+'no treatment'!S25)</f>
        <v>0.5739112686598884</v>
      </c>
      <c r="V24" s="21">
        <f t="shared" si="16"/>
        <v>1</v>
      </c>
      <c r="Y24" s="22">
        <f t="shared" si="6"/>
        <v>2071.891207771158</v>
      </c>
      <c r="Z24" s="22">
        <v>0</v>
      </c>
      <c r="AA24" s="22">
        <v>0</v>
      </c>
      <c r="AB24" s="22">
        <f t="shared" si="7"/>
        <v>33037.326297944594</v>
      </c>
      <c r="AC24" s="22">
        <v>0</v>
      </c>
      <c r="AD24" s="22">
        <v>0</v>
      </c>
      <c r="AE24" s="22">
        <f t="shared" si="8"/>
        <v>76427.153175058265</v>
      </c>
      <c r="AF24" s="22">
        <v>0</v>
      </c>
      <c r="AG24" s="22">
        <v>0</v>
      </c>
      <c r="AH24" s="22">
        <f t="shared" si="9"/>
        <v>371729.37157927395</v>
      </c>
      <c r="AI24" s="22">
        <v>0</v>
      </c>
      <c r="AJ24" s="22">
        <v>0</v>
      </c>
      <c r="AK24" s="22">
        <v>0</v>
      </c>
      <c r="AL24" s="22">
        <f t="shared" si="10"/>
        <v>483265.74226004793</v>
      </c>
      <c r="AP24" s="23">
        <f t="shared" si="14"/>
        <v>2.5350818281338681E-3</v>
      </c>
      <c r="AQ24" s="23">
        <f t="shared" si="11"/>
        <v>1.469631026190544E-3</v>
      </c>
      <c r="AR24" s="23">
        <f t="shared" si="12"/>
        <v>1.0070196301959647E-3</v>
      </c>
      <c r="AS24" s="23">
        <f t="shared" si="13"/>
        <v>1.1808283812244015E-3</v>
      </c>
      <c r="AT24" s="23">
        <f t="shared" si="15"/>
        <v>6.1925608657447777E-3</v>
      </c>
    </row>
    <row r="25" spans="2:46" ht="11.1" customHeight="1" x14ac:dyDescent="0.3">
      <c r="B25" s="19">
        <v>17</v>
      </c>
      <c r="C25" s="19">
        <f t="shared" si="1"/>
        <v>88</v>
      </c>
      <c r="E25" s="20">
        <f t="shared" si="2"/>
        <v>0.14342069010275205</v>
      </c>
      <c r="F25" s="20">
        <f t="shared" si="3"/>
        <v>0.18980884192976633</v>
      </c>
      <c r="G25" s="20">
        <f t="shared" si="4"/>
        <v>0.31629659848191671</v>
      </c>
      <c r="H25" s="20">
        <f t="shared" si="5"/>
        <v>0.52486986315146156</v>
      </c>
      <c r="L25" s="96">
        <f>0.5*('no treatment'!J25+'no treatment'!J26)</f>
        <v>4.5187866377870986E-3</v>
      </c>
      <c r="M25" s="96">
        <f>0.5*('no treatment'!K25+'no treatment'!K26)</f>
        <v>5.1081592639479483E-4</v>
      </c>
      <c r="N25" s="96">
        <f>0.5*('no treatment'!L25+'no treatment'!L26)</f>
        <v>4.1599310576926566E-3</v>
      </c>
      <c r="O25" s="96">
        <f>0.5*('no treatment'!M25+'no treatment'!M26)</f>
        <v>1.301444454273837E-3</v>
      </c>
      <c r="P25" s="96">
        <f>0.5*('no treatment'!N25+'no treatment'!N26)</f>
        <v>3.4680551118413385E-3</v>
      </c>
      <c r="Q25" s="96">
        <f>0.5*('no treatment'!O25+'no treatment'!O26)</f>
        <v>3.0286552918351748E-3</v>
      </c>
      <c r="R25" s="96">
        <f>0.5*('no treatment'!P25+'no treatment'!P26)</f>
        <v>3.6071676630783991E-3</v>
      </c>
      <c r="S25" s="96">
        <f>0.5*('no treatment'!Q25+'no treatment'!Q26)</f>
        <v>1.7138647028022876E-2</v>
      </c>
      <c r="T25" s="96">
        <f>0.5*('no treatment'!R25+'no treatment'!R26)</f>
        <v>0.3706556334347117</v>
      </c>
      <c r="U25" s="96">
        <f>0.5*('no treatment'!S25+'no treatment'!S26)</f>
        <v>0.5916108633943622</v>
      </c>
      <c r="V25" s="21">
        <f t="shared" si="16"/>
        <v>1</v>
      </c>
      <c r="Y25" s="22">
        <f t="shared" si="6"/>
        <v>1375.9448181932671</v>
      </c>
      <c r="Z25" s="22">
        <v>0</v>
      </c>
      <c r="AA25" s="22">
        <v>0</v>
      </c>
      <c r="AB25" s="22">
        <f t="shared" si="7"/>
        <v>21631.583677546147</v>
      </c>
      <c r="AC25" s="22">
        <v>0</v>
      </c>
      <c r="AD25" s="22">
        <v>0</v>
      </c>
      <c r="AE25" s="22">
        <f t="shared" si="8"/>
        <v>47702.800707202317</v>
      </c>
      <c r="AF25" s="22">
        <v>0</v>
      </c>
      <c r="AG25" s="22">
        <v>0</v>
      </c>
      <c r="AH25" s="22">
        <f t="shared" si="9"/>
        <v>206523.26815350365</v>
      </c>
      <c r="AI25" s="22">
        <v>0</v>
      </c>
      <c r="AJ25" s="22">
        <v>0</v>
      </c>
      <c r="AK25" s="22">
        <v>0</v>
      </c>
      <c r="AL25" s="22">
        <f t="shared" si="10"/>
        <v>277233.59735644539</v>
      </c>
      <c r="AP25" s="23">
        <f t="shared" si="14"/>
        <v>1.6755914015854848E-3</v>
      </c>
      <c r="AQ25" s="23">
        <f t="shared" si="11"/>
        <v>9.5921857291261304E-4</v>
      </c>
      <c r="AR25" s="23">
        <f t="shared" si="12"/>
        <v>6.3177767727831625E-4</v>
      </c>
      <c r="AS25" s="23">
        <f t="shared" si="13"/>
        <v>6.6067249189247039E-4</v>
      </c>
      <c r="AT25" s="23">
        <f t="shared" si="15"/>
        <v>3.9272601436688842E-3</v>
      </c>
    </row>
    <row r="26" spans="2:46" ht="11.1" customHeight="1" x14ac:dyDescent="0.3">
      <c r="B26" s="19">
        <v>18</v>
      </c>
      <c r="C26" s="19">
        <f t="shared" si="1"/>
        <v>89</v>
      </c>
      <c r="E26" s="20">
        <f t="shared" si="2"/>
        <v>0.16070994032977881</v>
      </c>
      <c r="F26" s="20">
        <f t="shared" si="3"/>
        <v>0.21196206263431105</v>
      </c>
      <c r="G26" s="20">
        <f t="shared" si="4"/>
        <v>0.34969455826877838</v>
      </c>
      <c r="H26" s="20">
        <f t="shared" si="5"/>
        <v>0.56923140754809931</v>
      </c>
      <c r="L26" s="96">
        <f>0.5*('no treatment'!J26+'no treatment'!J27)</f>
        <v>3.0505704969158642E-3</v>
      </c>
      <c r="M26" s="96">
        <f>0.5*('no treatment'!K26+'no treatment'!K27)</f>
        <v>3.7081779552016565E-4</v>
      </c>
      <c r="N26" s="96">
        <f>0.5*('no treatment'!L26+'no treatment'!L27)</f>
        <v>2.7705195265742863E-3</v>
      </c>
      <c r="O26" s="96">
        <f>0.5*('no treatment'!M26+'no treatment'!M27)</f>
        <v>8.8103062472101698E-4</v>
      </c>
      <c r="P26" s="96">
        <f>0.5*('no treatment'!N26+'no treatment'!N27)</f>
        <v>2.2359520189137614E-3</v>
      </c>
      <c r="Q26" s="96">
        <f>0.5*('no treatment'!O26+'no treatment'!O27)</f>
        <v>1.882548378181444E-3</v>
      </c>
      <c r="R26" s="96">
        <f>0.5*('no treatment'!P26+'no treatment'!P27)</f>
        <v>2.1151208737527874E-3</v>
      </c>
      <c r="S26" s="96">
        <f>0.5*('no treatment'!Q26+'no treatment'!Q27)</f>
        <v>9.2263109154706834E-3</v>
      </c>
      <c r="T26" s="96">
        <f>0.5*('no treatment'!R26+'no treatment'!R27)</f>
        <v>0.37448310987774713</v>
      </c>
      <c r="U26" s="96">
        <f>0.5*('no treatment'!S26+'no treatment'!S27)</f>
        <v>0.60298401949220293</v>
      </c>
      <c r="V26" s="21">
        <f t="shared" si="16"/>
        <v>1</v>
      </c>
      <c r="Y26" s="22">
        <f t="shared" si="6"/>
        <v>895.68112600469738</v>
      </c>
      <c r="Z26" s="22">
        <v>0</v>
      </c>
      <c r="AA26" s="22">
        <v>0</v>
      </c>
      <c r="AB26" s="22">
        <f t="shared" si="7"/>
        <v>13843.364228446482</v>
      </c>
      <c r="AC26" s="22">
        <v>0</v>
      </c>
      <c r="AD26" s="22">
        <v>0</v>
      </c>
      <c r="AE26" s="22">
        <f t="shared" si="8"/>
        <v>28806.948753121997</v>
      </c>
      <c r="AF26" s="22">
        <v>0</v>
      </c>
      <c r="AG26" s="22">
        <v>0</v>
      </c>
      <c r="AH26" s="22">
        <f t="shared" si="9"/>
        <v>107332.54917350753</v>
      </c>
      <c r="AI26" s="22">
        <v>0</v>
      </c>
      <c r="AJ26" s="22">
        <v>0</v>
      </c>
      <c r="AK26" s="22">
        <v>0</v>
      </c>
      <c r="AL26" s="22">
        <f t="shared" si="10"/>
        <v>150878.54328108073</v>
      </c>
      <c r="AP26" s="23">
        <f t="shared" si="14"/>
        <v>1.0857509852247314E-3</v>
      </c>
      <c r="AQ26" s="23">
        <f t="shared" si="11"/>
        <v>6.1249374411284239E-4</v>
      </c>
      <c r="AR26" s="23">
        <f t="shared" si="12"/>
        <v>3.8502252431962125E-4</v>
      </c>
      <c r="AS26" s="23">
        <f t="shared" si="13"/>
        <v>3.483488253400861E-4</v>
      </c>
      <c r="AT26" s="23">
        <f t="shared" si="15"/>
        <v>2.4316160789972811E-3</v>
      </c>
    </row>
    <row r="27" spans="2:46" ht="11.1" customHeight="1" x14ac:dyDescent="0.3">
      <c r="B27" s="19">
        <v>19</v>
      </c>
      <c r="C27" s="19">
        <f t="shared" si="1"/>
        <v>90</v>
      </c>
      <c r="E27" s="20">
        <f t="shared" si="2"/>
        <v>0.17929445877373706</v>
      </c>
      <c r="F27" s="20">
        <f t="shared" si="3"/>
        <v>0.23559252191517477</v>
      </c>
      <c r="G27" s="20">
        <f t="shared" si="4"/>
        <v>0.38449423321545761</v>
      </c>
      <c r="H27" s="20">
        <f t="shared" si="5"/>
        <v>0.61319047359581413</v>
      </c>
      <c r="L27" s="96">
        <f>0.5*('no treatment'!J27+'no treatment'!J28)</f>
        <v>2.0151397722202942E-3</v>
      </c>
      <c r="M27" s="96">
        <f>0.5*('no treatment'!K27+'no treatment'!K28)</f>
        <v>2.6157014202821886E-4</v>
      </c>
      <c r="N27" s="96">
        <f>0.5*('no treatment'!L27+'no treatment'!L28)</f>
        <v>1.8031565003574419E-3</v>
      </c>
      <c r="O27" s="96">
        <f>0.5*('no treatment'!M27+'no treatment'!M28)</f>
        <v>5.7922410939897548E-4</v>
      </c>
      <c r="P27" s="96">
        <f>0.5*('no treatment'!N27+'no treatment'!N28)</f>
        <v>1.4056180974601699E-3</v>
      </c>
      <c r="Q27" s="96">
        <f>0.5*('no treatment'!O27+'no treatment'!O28)</f>
        <v>1.1266375718182009E-3</v>
      </c>
      <c r="R27" s="96">
        <f>0.5*('no treatment'!P27+'no treatment'!P28)</f>
        <v>1.2057822086205022E-3</v>
      </c>
      <c r="S27" s="96">
        <f>0.5*('no treatment'!Q27+'no treatment'!Q28)</f>
        <v>4.6294243157549656E-3</v>
      </c>
      <c r="T27" s="96">
        <f>0.5*('no treatment'!R27+'no treatment'!R28)</f>
        <v>0.37715197619615637</v>
      </c>
      <c r="U27" s="96">
        <f>0.5*('no treatment'!S27+'no treatment'!S28)</f>
        <v>0.6098214710861849</v>
      </c>
      <c r="V27" s="21">
        <f t="shared" si="16"/>
        <v>1</v>
      </c>
      <c r="Y27" s="22">
        <f t="shared" si="6"/>
        <v>570.35133984691311</v>
      </c>
      <c r="Z27" s="22">
        <v>0</v>
      </c>
      <c r="AA27" s="22">
        <v>0</v>
      </c>
      <c r="AB27" s="22">
        <f t="shared" si="7"/>
        <v>8644.0640376593565</v>
      </c>
      <c r="AC27" s="22">
        <v>0</v>
      </c>
      <c r="AD27" s="22">
        <v>0</v>
      </c>
      <c r="AE27" s="22">
        <f t="shared" si="8"/>
        <v>16845.605077455235</v>
      </c>
      <c r="AF27" s="22">
        <v>0</v>
      </c>
      <c r="AG27" s="22">
        <v>0</v>
      </c>
      <c r="AH27" s="22">
        <f t="shared" si="9"/>
        <v>52287.92085154599</v>
      </c>
      <c r="AI27" s="22">
        <v>0</v>
      </c>
      <c r="AJ27" s="22">
        <v>0</v>
      </c>
      <c r="AK27" s="22">
        <v>0</v>
      </c>
      <c r="AL27" s="22">
        <f t="shared" si="10"/>
        <v>78347.941306507491</v>
      </c>
      <c r="AP27" s="23">
        <f t="shared" si="14"/>
        <v>6.8835394456479005E-4</v>
      </c>
      <c r="AQ27" s="23">
        <f t="shared" si="11"/>
        <v>3.819212051970118E-4</v>
      </c>
      <c r="AR27" s="23">
        <f t="shared" si="12"/>
        <v>2.2792654739751573E-4</v>
      </c>
      <c r="AS27" s="23">
        <f t="shared" si="13"/>
        <v>1.7364796402132717E-4</v>
      </c>
      <c r="AT27" s="23">
        <f t="shared" si="15"/>
        <v>1.4718496611806449E-3</v>
      </c>
    </row>
    <row r="28" spans="2:46" ht="11.1" customHeight="1" x14ac:dyDescent="0.3">
      <c r="B28" s="19">
        <v>20</v>
      </c>
      <c r="C28" s="19">
        <f t="shared" si="1"/>
        <v>91</v>
      </c>
      <c r="E28" s="20">
        <f t="shared" si="2"/>
        <v>0.19916275711288256</v>
      </c>
      <c r="F28" s="20">
        <f t="shared" si="3"/>
        <v>0.26064325341587646</v>
      </c>
      <c r="G28" s="20">
        <f t="shared" si="4"/>
        <v>0.42044965421804492</v>
      </c>
      <c r="H28" s="20">
        <f t="shared" si="5"/>
        <v>0.65617648638428305</v>
      </c>
      <c r="L28" s="96">
        <f>0.5*('no treatment'!J28+'no treatment'!J29)</f>
        <v>1.2998686386981213E-3</v>
      </c>
      <c r="M28" s="96">
        <f>0.5*('no treatment'!K28+'no treatment'!K29)</f>
        <v>1.790165253039098E-4</v>
      </c>
      <c r="N28" s="96">
        <f>0.5*('no treatment'!L28+'no treatment'!L29)</f>
        <v>1.1445738727152033E-3</v>
      </c>
      <c r="O28" s="96">
        <f>0.5*('no treatment'!M28+'no treatment'!M29)</f>
        <v>3.6949705471569979E-4</v>
      </c>
      <c r="P28" s="96">
        <f>0.5*('no treatment'!N28+'no treatment'!N29)</f>
        <v>8.6016543695593712E-4</v>
      </c>
      <c r="Q28" s="96">
        <f>0.5*('no treatment'!O28+'no treatment'!O29)</f>
        <v>6.5092951505624718E-4</v>
      </c>
      <c r="R28" s="96">
        <f>0.5*('no treatment'!P28+'no treatment'!P29)</f>
        <v>6.6874461908201599E-4</v>
      </c>
      <c r="S28" s="96">
        <f>0.5*('no treatment'!Q28+'no treatment'!Q29)</f>
        <v>2.1739712963695563E-3</v>
      </c>
      <c r="T28" s="96">
        <f>0.5*('no treatment'!R28+'no treatment'!R29)</f>
        <v>0.37896669347722745</v>
      </c>
      <c r="U28" s="96">
        <f>0.5*('no treatment'!S28+'no treatment'!S29)</f>
        <v>0.61368653956387598</v>
      </c>
      <c r="V28" s="21">
        <f t="shared" si="16"/>
        <v>1</v>
      </c>
      <c r="Y28" s="22">
        <f t="shared" si="6"/>
        <v>354.5299497320126</v>
      </c>
      <c r="Z28" s="22">
        <v>0</v>
      </c>
      <c r="AA28" s="22">
        <v>0</v>
      </c>
      <c r="AB28" s="22">
        <f t="shared" si="7"/>
        <v>5257.3360122328259</v>
      </c>
      <c r="AC28" s="22">
        <v>0</v>
      </c>
      <c r="AD28" s="22">
        <v>0</v>
      </c>
      <c r="AE28" s="22">
        <f t="shared" si="8"/>
        <v>9550.830481675077</v>
      </c>
      <c r="AF28" s="22">
        <v>0</v>
      </c>
      <c r="AG28" s="22">
        <v>0</v>
      </c>
      <c r="AH28" s="22">
        <f t="shared" si="9"/>
        <v>24007.185878388689</v>
      </c>
      <c r="AI28" s="22">
        <v>0</v>
      </c>
      <c r="AJ28" s="22">
        <v>0</v>
      </c>
      <c r="AK28" s="22">
        <v>0</v>
      </c>
      <c r="AL28" s="22">
        <f t="shared" si="10"/>
        <v>39169.882322028607</v>
      </c>
      <c r="AP28" s="23">
        <f t="shared" si="14"/>
        <v>4.2609771838738805E-4</v>
      </c>
      <c r="AQ28" s="23">
        <f t="shared" si="11"/>
        <v>2.3212570115016911E-4</v>
      </c>
      <c r="AR28" s="23">
        <f t="shared" si="12"/>
        <v>1.3107750130804082E-4</v>
      </c>
      <c r="AS28" s="23">
        <f t="shared" si="13"/>
        <v>8.2368898999926797E-5</v>
      </c>
      <c r="AT28" s="23">
        <f t="shared" si="15"/>
        <v>8.7166981984552474E-4</v>
      </c>
    </row>
    <row r="29" spans="2:46" ht="11.1" customHeight="1" x14ac:dyDescent="0.3">
      <c r="B29" s="19">
        <v>21</v>
      </c>
      <c r="C29" s="19">
        <f t="shared" si="1"/>
        <v>92</v>
      </c>
      <c r="E29" s="20">
        <f t="shared" si="2"/>
        <v>0.22026361009796191</v>
      </c>
      <c r="F29" s="20">
        <f t="shared" si="3"/>
        <v>0.28700427627571667</v>
      </c>
      <c r="G29" s="20">
        <f t="shared" si="4"/>
        <v>0.4572389937665472</v>
      </c>
      <c r="H29" s="20">
        <f t="shared" si="5"/>
        <v>0.69759345014968455</v>
      </c>
      <c r="L29" s="96">
        <f>0.5*('no treatment'!J29+'no treatment'!J30)</f>
        <v>8.17015112151909E-4</v>
      </c>
      <c r="M29" s="96">
        <f>0.5*('no treatment'!K29+'no treatment'!K30)</f>
        <v>1.1868122789714545E-4</v>
      </c>
      <c r="N29" s="96">
        <f>0.5*('no treatment'!L29+'no treatment'!L30)</f>
        <v>7.0711820125601865E-4</v>
      </c>
      <c r="O29" s="96">
        <f>0.5*('no treatment'!M29+'no treatment'!M30)</f>
        <v>2.2850993983589596E-4</v>
      </c>
      <c r="P29" s="96">
        <f>0.5*('no treatment'!N29+'no treatment'!N30)</f>
        <v>5.1147518352862085E-4</v>
      </c>
      <c r="Q29" s="96">
        <f>0.5*('no treatment'!O29+'no treatment'!O30)</f>
        <v>3.641212451950713E-4</v>
      </c>
      <c r="R29" s="96">
        <f>0.5*('no treatment'!P29+'no treatment'!P30)</f>
        <v>3.60847780850769E-4</v>
      </c>
      <c r="S29" s="96">
        <f>0.5*('no treatment'!Q29+'no treatment'!Q30)</f>
        <v>9.633954752905732E-4</v>
      </c>
      <c r="T29" s="96">
        <f>0.5*('no treatment'!R29+'no treatment'!R30)</f>
        <v>0.38016914795896561</v>
      </c>
      <c r="U29" s="96">
        <f>0.5*('no treatment'!S29+'no treatment'!S30)</f>
        <v>0.61575968787502844</v>
      </c>
      <c r="V29" s="21">
        <f t="shared" si="16"/>
        <v>1</v>
      </c>
      <c r="Y29" s="22">
        <f t="shared" si="6"/>
        <v>214.65307643388945</v>
      </c>
      <c r="Z29" s="22">
        <v>0</v>
      </c>
      <c r="AA29" s="22">
        <v>0</v>
      </c>
      <c r="AB29" s="22">
        <f t="shared" si="7"/>
        <v>3108.9411946142268</v>
      </c>
      <c r="AC29" s="22">
        <v>0</v>
      </c>
      <c r="AD29" s="22">
        <v>0</v>
      </c>
      <c r="AE29" s="22">
        <f t="shared" si="8"/>
        <v>5255.7082588526773</v>
      </c>
      <c r="AF29" s="22">
        <v>0</v>
      </c>
      <c r="AG29" s="22">
        <v>0</v>
      </c>
      <c r="AH29" s="22">
        <f t="shared" si="9"/>
        <v>10487.828313811309</v>
      </c>
      <c r="AI29" s="22">
        <v>0</v>
      </c>
      <c r="AJ29" s="22">
        <v>0</v>
      </c>
      <c r="AK29" s="22">
        <v>0</v>
      </c>
      <c r="AL29" s="22">
        <f t="shared" si="10"/>
        <v>19067.130843712104</v>
      </c>
      <c r="AP29" s="23">
        <f t="shared" si="14"/>
        <v>2.5696989616218207E-4</v>
      </c>
      <c r="AQ29" s="23">
        <f t="shared" si="11"/>
        <v>1.3724866491227541E-4</v>
      </c>
      <c r="AR29" s="23">
        <f t="shared" si="12"/>
        <v>7.3220327729152824E-5</v>
      </c>
      <c r="AS29" s="23">
        <f t="shared" si="13"/>
        <v>3.7540138546130023E-5</v>
      </c>
      <c r="AT29" s="23">
        <f t="shared" si="15"/>
        <v>5.0497902734974033E-4</v>
      </c>
    </row>
    <row r="30" spans="2:46" ht="11.1" customHeight="1" x14ac:dyDescent="0.3">
      <c r="B30" s="19">
        <v>22</v>
      </c>
      <c r="C30" s="19">
        <f t="shared" si="1"/>
        <v>93</v>
      </c>
      <c r="E30" s="20">
        <f t="shared" si="2"/>
        <v>0.24252778516240336</v>
      </c>
      <c r="F30" s="20">
        <f t="shared" si="3"/>
        <v>0.31454168523303749</v>
      </c>
      <c r="G30" s="20">
        <f t="shared" si="4"/>
        <v>0.49451566511171885</v>
      </c>
      <c r="H30" s="20">
        <f t="shared" si="5"/>
        <v>0.73690436438464824</v>
      </c>
      <c r="L30" s="96">
        <f>0.5*('no treatment'!J30+'no treatment'!J31)</f>
        <v>4.9926835196197929E-4</v>
      </c>
      <c r="M30" s="96">
        <f>0.5*('no treatment'!K30+'no treatment'!K31)</f>
        <v>7.6090712580080281E-5</v>
      </c>
      <c r="N30" s="96">
        <f>0.5*('no treatment'!L30+'no treatment'!L31)</f>
        <v>4.2427658891318212E-4</v>
      </c>
      <c r="O30" s="96">
        <f>0.5*('no treatment'!M30+'no treatment'!M31)</f>
        <v>1.3686925682947988E-4</v>
      </c>
      <c r="P30" s="96">
        <f>0.5*('no treatment'!N30+'no treatment'!N31)</f>
        <v>2.9496608593553752E-4</v>
      </c>
      <c r="Q30" s="96">
        <f>0.5*('no treatment'!O30+'no treatment'!O31)</f>
        <v>1.9767054777236577E-4</v>
      </c>
      <c r="R30" s="96">
        <f>0.5*('no treatment'!P30+'no treatment'!P31)</f>
        <v>1.8931979481388202E-4</v>
      </c>
      <c r="S30" s="96">
        <f>0.5*('no treatment'!Q30+'no treatment'!Q31)</f>
        <v>4.0811895020367471E-4</v>
      </c>
      <c r="T30" s="96">
        <f>0.5*('no treatment'!R30+'no treatment'!R31)</f>
        <v>0.38094455624670165</v>
      </c>
      <c r="U30" s="96">
        <f>0.5*('no treatment'!S30+'no treatment'!S31)</f>
        <v>0.61682886346428822</v>
      </c>
      <c r="V30" s="21">
        <f t="shared" si="16"/>
        <v>1</v>
      </c>
      <c r="Y30" s="22">
        <f t="shared" si="6"/>
        <v>126.30625418744258</v>
      </c>
      <c r="Z30" s="22">
        <v>0</v>
      </c>
      <c r="AA30" s="22">
        <v>0</v>
      </c>
      <c r="AB30" s="22">
        <f t="shared" si="7"/>
        <v>1784.261510062156</v>
      </c>
      <c r="AC30" s="22">
        <v>0</v>
      </c>
      <c r="AD30" s="22">
        <v>0</v>
      </c>
      <c r="AE30" s="22">
        <f t="shared" si="8"/>
        <v>2808.5055806759033</v>
      </c>
      <c r="AF30" s="22">
        <v>0</v>
      </c>
      <c r="AG30" s="22">
        <v>0</v>
      </c>
      <c r="AH30" s="22">
        <f t="shared" si="9"/>
        <v>4417.7450017989113</v>
      </c>
      <c r="AI30" s="22">
        <v>0</v>
      </c>
      <c r="AJ30" s="22">
        <v>0</v>
      </c>
      <c r="AK30" s="22">
        <v>0</v>
      </c>
      <c r="AL30" s="22">
        <f t="shared" si="10"/>
        <v>9136.8183467244125</v>
      </c>
      <c r="AP30" s="23">
        <f t="shared" si="14"/>
        <v>1.5064830091321947E-4</v>
      </c>
      <c r="AQ30" s="23">
        <f t="shared" si="11"/>
        <v>7.8787810774812904E-5</v>
      </c>
      <c r="AR30" s="23">
        <f t="shared" si="12"/>
        <v>3.9706068864414262E-5</v>
      </c>
      <c r="AS30" s="23">
        <f t="shared" si="13"/>
        <v>1.6630046775596781E-5</v>
      </c>
      <c r="AT30" s="23">
        <f t="shared" si="15"/>
        <v>2.8577222732804343E-4</v>
      </c>
    </row>
    <row r="31" spans="2:46" ht="11.1" customHeight="1" x14ac:dyDescent="0.3">
      <c r="B31" s="19">
        <v>23</v>
      </c>
      <c r="C31" s="19">
        <f t="shared" si="1"/>
        <v>94</v>
      </c>
      <c r="E31" s="20">
        <f t="shared" si="2"/>
        <v>0.2658525512412393</v>
      </c>
      <c r="F31" s="20">
        <f t="shared" si="3"/>
        <v>0.34308016776870653</v>
      </c>
      <c r="G31" s="20">
        <f t="shared" si="4"/>
        <v>0.53189321895491859</v>
      </c>
      <c r="H31" s="20">
        <f t="shared" si="5"/>
        <v>0.77363048563701819</v>
      </c>
      <c r="L31" s="96">
        <f>0.5*('no treatment'!J31+'no treatment'!J32)</f>
        <v>2.9595556187626642E-4</v>
      </c>
      <c r="M31" s="96">
        <f>0.5*('no treatment'!K31+'no treatment'!K32)</f>
        <v>4.7096867399046575E-5</v>
      </c>
      <c r="N31" s="96">
        <f>0.5*('no treatment'!L31+'no treatment'!L32)</f>
        <v>2.4669827905217129E-4</v>
      </c>
      <c r="O31" s="96">
        <f>0.5*('no treatment'!M31+'no treatment'!M32)</f>
        <v>7.9305213305691117E-5</v>
      </c>
      <c r="P31" s="96">
        <f>0.5*('no treatment'!N31+'no treatment'!N32)</f>
        <v>1.6465466929027015E-4</v>
      </c>
      <c r="Q31" s="96">
        <f>0.5*('no treatment'!O31+'no treatment'!O32)</f>
        <v>1.0426248730507597E-4</v>
      </c>
      <c r="R31" s="96">
        <f>0.5*('no treatment'!P31+'no treatment'!P32)</f>
        <v>9.6462761558769848E-5</v>
      </c>
      <c r="S31" s="96">
        <f>0.5*('no treatment'!Q31+'no treatment'!Q32)</f>
        <v>1.6795033384050579E-4</v>
      </c>
      <c r="T31" s="96">
        <f>0.5*('no treatment'!R31+'no treatment'!R32)</f>
        <v>0.38143030640155018</v>
      </c>
      <c r="U31" s="96">
        <f>0.5*('no treatment'!S31+'no treatment'!S32)</f>
        <v>0.61736730742482204</v>
      </c>
      <c r="V31" s="21">
        <f t="shared" si="16"/>
        <v>1</v>
      </c>
      <c r="Y31" s="22">
        <f t="shared" si="6"/>
        <v>72.065948109526587</v>
      </c>
      <c r="Z31" s="22">
        <v>0</v>
      </c>
      <c r="AA31" s="22">
        <v>0</v>
      </c>
      <c r="AB31" s="22">
        <f t="shared" si="7"/>
        <v>991.90082886327468</v>
      </c>
      <c r="AC31" s="22">
        <v>0</v>
      </c>
      <c r="AD31" s="22">
        <v>0</v>
      </c>
      <c r="AE31" s="22">
        <f t="shared" si="8"/>
        <v>1456.8160406238117</v>
      </c>
      <c r="AF31" s="22">
        <v>0</v>
      </c>
      <c r="AG31" s="22">
        <v>0</v>
      </c>
      <c r="AH31" s="22">
        <f t="shared" si="9"/>
        <v>1820.6361819900299</v>
      </c>
      <c r="AI31" s="22">
        <v>0</v>
      </c>
      <c r="AJ31" s="22">
        <v>0</v>
      </c>
      <c r="AK31" s="22">
        <v>0</v>
      </c>
      <c r="AL31" s="22">
        <f t="shared" si="10"/>
        <v>4341.4189995866427</v>
      </c>
      <c r="AP31" s="23">
        <f t="shared" si="14"/>
        <v>8.5658232666632216E-5</v>
      </c>
      <c r="AQ31" s="23">
        <f t="shared" si="11"/>
        <v>4.3820714812391208E-5</v>
      </c>
      <c r="AR31" s="23">
        <f t="shared" si="12"/>
        <v>2.0878701293008239E-5</v>
      </c>
      <c r="AS31" s="23">
        <f t="shared" si="13"/>
        <v>7.2365617439863412E-6</v>
      </c>
      <c r="AT31" s="23">
        <f t="shared" si="15"/>
        <v>1.57594210516018E-4</v>
      </c>
    </row>
    <row r="32" spans="2:46" ht="11.1" customHeight="1" x14ac:dyDescent="0.3">
      <c r="B32" s="19">
        <v>24</v>
      </c>
      <c r="C32" s="19">
        <f t="shared" si="1"/>
        <v>95</v>
      </c>
      <c r="E32" s="20">
        <f t="shared" si="2"/>
        <v>0.2901356088312298</v>
      </c>
      <c r="F32" s="20">
        <f t="shared" si="3"/>
        <v>0.37244650692233439</v>
      </c>
      <c r="G32" s="20">
        <f t="shared" si="4"/>
        <v>0.56901131027435059</v>
      </c>
      <c r="H32" s="20">
        <f t="shared" si="5"/>
        <v>0.80742606938445349</v>
      </c>
      <c r="L32" s="96">
        <f>0.5*('no treatment'!J32+'no treatment'!J33)</f>
        <v>1.6978823247751782E-4</v>
      </c>
      <c r="M32" s="96">
        <f>0.5*('no treatment'!K32+'no treatment'!K33)</f>
        <v>2.8092276926616541E-5</v>
      </c>
      <c r="N32" s="96">
        <f>0.5*('no treatment'!L32+'no treatment'!L33)</f>
        <v>1.3870167060968716E-4</v>
      </c>
      <c r="O32" s="96">
        <f>0.5*('no treatment'!M32+'no treatment'!M33)</f>
        <v>4.4388103415337243E-5</v>
      </c>
      <c r="P32" s="96">
        <f>0.5*('no treatment'!N32+'no treatment'!N33)</f>
        <v>8.8789964221810597E-5</v>
      </c>
      <c r="Q32" s="96">
        <f>0.5*('no treatment'!O32+'no treatment'!O33)</f>
        <v>5.3414916087769581E-5</v>
      </c>
      <c r="R32" s="96">
        <f>0.5*('no treatment'!P32+'no treatment'!P33)</f>
        <v>4.7654588636738746E-5</v>
      </c>
      <c r="S32" s="96">
        <f>0.5*('no treatment'!Q32+'no treatment'!Q33)</f>
        <v>6.816856329862617E-5</v>
      </c>
      <c r="T32" s="96">
        <f>0.5*('no treatment'!R32+'no treatment'!R33)</f>
        <v>0.38172528741826628</v>
      </c>
      <c r="U32" s="96">
        <f>0.5*('no treatment'!S32+'no treatment'!S33)</f>
        <v>0.61763571426605957</v>
      </c>
      <c r="V32" s="21">
        <f t="shared" si="16"/>
        <v>1</v>
      </c>
      <c r="Y32" s="22">
        <f t="shared" si="6"/>
        <v>39.779226567613712</v>
      </c>
      <c r="Z32" s="22">
        <v>0</v>
      </c>
      <c r="AA32" s="22">
        <v>0</v>
      </c>
      <c r="AB32" s="22">
        <f t="shared" si="7"/>
        <v>533.04958520242724</v>
      </c>
      <c r="AC32" s="22">
        <v>0</v>
      </c>
      <c r="AD32" s="22">
        <v>0</v>
      </c>
      <c r="AE32" s="22">
        <f t="shared" si="8"/>
        <v>732.56350584079439</v>
      </c>
      <c r="AF32" s="22">
        <v>0</v>
      </c>
      <c r="AG32" s="22">
        <v>0</v>
      </c>
      <c r="AH32" s="22">
        <f t="shared" si="9"/>
        <v>742.63122907852289</v>
      </c>
      <c r="AI32" s="22">
        <v>0</v>
      </c>
      <c r="AJ32" s="22">
        <v>0</v>
      </c>
      <c r="AK32" s="22">
        <v>0</v>
      </c>
      <c r="AL32" s="22">
        <f t="shared" si="10"/>
        <v>2048.0235466893582</v>
      </c>
      <c r="AP32" s="23">
        <f t="shared" si="14"/>
        <v>4.7130019598586613E-5</v>
      </c>
      <c r="AQ32" s="23">
        <f t="shared" si="11"/>
        <v>2.3563961287738359E-5</v>
      </c>
      <c r="AR32" s="23">
        <f t="shared" si="12"/>
        <v>1.0627517838787006E-5</v>
      </c>
      <c r="AS32" s="23">
        <f t="shared" si="13"/>
        <v>3.1122527065159464E-6</v>
      </c>
      <c r="AT32" s="23">
        <f t="shared" si="15"/>
        <v>8.4433751431627923E-5</v>
      </c>
    </row>
    <row r="33" spans="2:46" ht="11.1" customHeight="1" x14ac:dyDescent="0.3">
      <c r="B33" s="19">
        <v>25</v>
      </c>
      <c r="C33" s="19">
        <f t="shared" si="1"/>
        <v>96</v>
      </c>
      <c r="E33" s="20">
        <f t="shared" si="2"/>
        <v>0.31521903880574009</v>
      </c>
      <c r="F33" s="20">
        <f t="shared" si="3"/>
        <v>0.402403586712895</v>
      </c>
      <c r="G33" s="20">
        <f t="shared" si="4"/>
        <v>0.6054592744885694</v>
      </c>
      <c r="H33" s="20">
        <f t="shared" si="5"/>
        <v>0.83800782838120458</v>
      </c>
      <c r="L33" s="96">
        <f>0.5*('no treatment'!J33+'no treatment'!J34)</f>
        <v>9.4052514995602898E-5</v>
      </c>
      <c r="M33" s="96">
        <f>0.5*('no treatment'!K33+'no treatment'!K34)</f>
        <v>1.6118214331346681E-5</v>
      </c>
      <c r="N33" s="96">
        <f>0.5*('no treatment'!L33+'no treatment'!L34)</f>
        <v>7.5236758975793085E-5</v>
      </c>
      <c r="O33" s="96">
        <f>0.5*('no treatment'!M33+'no treatment'!M34)</f>
        <v>2.3958579313727194E-5</v>
      </c>
      <c r="P33" s="96">
        <f>0.5*('no treatment'!N33+'no treatment'!N34)</f>
        <v>4.6160354159308127E-5</v>
      </c>
      <c r="Q33" s="96">
        <f>0.5*('no treatment'!O33+'no treatment'!O34)</f>
        <v>2.6535170170259451E-5</v>
      </c>
      <c r="R33" s="96">
        <f>0.5*('no treatment'!P33+'no treatment'!P34)</f>
        <v>2.2782043976017712E-5</v>
      </c>
      <c r="S33" s="96">
        <f>0.5*('no treatment'!Q33+'no treatment'!Q34)</f>
        <v>2.7539963950210294E-5</v>
      </c>
      <c r="T33" s="96">
        <f>0.5*('no treatment'!R33+'no treatment'!R34)</f>
        <v>0.38189853557670805</v>
      </c>
      <c r="U33" s="96">
        <f>0.5*('no treatment'!S33+'no treatment'!S34)</f>
        <v>0.61776908082341964</v>
      </c>
      <c r="V33" s="21">
        <f t="shared" si="16"/>
        <v>1</v>
      </c>
      <c r="Y33" s="22">
        <f t="shared" si="6"/>
        <v>21.193527569858833</v>
      </c>
      <c r="Z33" s="22">
        <v>0</v>
      </c>
      <c r="AA33" s="22">
        <v>0</v>
      </c>
      <c r="AB33" s="22">
        <f t="shared" si="7"/>
        <v>276.34374886393715</v>
      </c>
      <c r="AC33" s="22">
        <v>0</v>
      </c>
      <c r="AD33" s="22">
        <v>0</v>
      </c>
      <c r="AE33" s="22">
        <f t="shared" si="8"/>
        <v>356.37443282408685</v>
      </c>
      <c r="AF33" s="22">
        <v>0</v>
      </c>
      <c r="AG33" s="22">
        <v>0</v>
      </c>
      <c r="AH33" s="22">
        <f t="shared" si="9"/>
        <v>301.19926851973872</v>
      </c>
      <c r="AI33" s="22">
        <v>0</v>
      </c>
      <c r="AJ33" s="22">
        <v>0</v>
      </c>
      <c r="AK33" s="22">
        <v>0</v>
      </c>
      <c r="AL33" s="22">
        <f t="shared" si="10"/>
        <v>955.11097777762166</v>
      </c>
      <c r="AP33" s="23">
        <f t="shared" si="14"/>
        <v>2.5034846834145855E-5</v>
      </c>
      <c r="AQ33" s="23">
        <f t="shared" si="11"/>
        <v>1.22243848356519E-5</v>
      </c>
      <c r="AR33" s="23">
        <f t="shared" si="12"/>
        <v>5.2255358448571001E-6</v>
      </c>
      <c r="AS33" s="23">
        <f t="shared" si="13"/>
        <v>1.3229921929982217E-6</v>
      </c>
      <c r="AT33" s="23">
        <f t="shared" si="15"/>
        <v>4.3807759707653078E-5</v>
      </c>
    </row>
    <row r="34" spans="2:46" ht="11.1" customHeight="1" x14ac:dyDescent="0.3">
      <c r="B34" s="19">
        <v>26</v>
      </c>
      <c r="C34" s="19">
        <f t="shared" si="1"/>
        <v>97</v>
      </c>
      <c r="E34" s="20">
        <f t="shared" si="2"/>
        <v>0.3409522379612544</v>
      </c>
      <c r="F34" s="20">
        <f t="shared" si="3"/>
        <v>0.43272909710547069</v>
      </c>
      <c r="G34" s="20">
        <f t="shared" si="4"/>
        <v>0.64088423924472204</v>
      </c>
      <c r="H34" s="20">
        <f t="shared" si="5"/>
        <v>0.86524952291683888</v>
      </c>
      <c r="L34" s="96">
        <f>0.5*('no treatment'!J34+'no treatment'!J35)</f>
        <v>5.0190189132780854E-5</v>
      </c>
      <c r="M34" s="96">
        <f>0.5*('no treatment'!K34+'no treatment'!K35)</f>
        <v>8.8791831449840391E-6</v>
      </c>
      <c r="N34" s="96">
        <f>0.5*('no treatment'!L34+'no treatment'!L35)</f>
        <v>3.9288139945762478E-5</v>
      </c>
      <c r="O34" s="96">
        <f>0.5*('no treatment'!M34+'no treatment'!M35)</f>
        <v>1.2447082148152319E-5</v>
      </c>
      <c r="P34" s="96">
        <f>0.5*('no treatment'!N34+'no treatment'!N35)</f>
        <v>2.30907593384707E-5</v>
      </c>
      <c r="Q34" s="96">
        <f>0.5*('no treatment'!O34+'no treatment'!O35)</f>
        <v>1.275054415931057E-5</v>
      </c>
      <c r="R34" s="96">
        <f>0.5*('no treatment'!P34+'no treatment'!P35)</f>
        <v>1.0518400858945811E-5</v>
      </c>
      <c r="S34" s="96">
        <f>0.5*('no treatment'!Q34+'no treatment'!Q35)</f>
        <v>1.108095538881733E-5</v>
      </c>
      <c r="T34" s="96">
        <f>0.5*('no treatment'!R34+'no treatment'!R35)</f>
        <v>0.38199670508602923</v>
      </c>
      <c r="U34" s="96">
        <f>0.5*('no treatment'!S34+'no treatment'!S35)</f>
        <v>0.61783504965985347</v>
      </c>
      <c r="V34" s="21">
        <f t="shared" si="16"/>
        <v>1</v>
      </c>
      <c r="Y34" s="22">
        <f t="shared" si="6"/>
        <v>10.873843793730803</v>
      </c>
      <c r="Z34" s="22">
        <v>0</v>
      </c>
      <c r="AA34" s="22">
        <v>0</v>
      </c>
      <c r="AB34" s="22">
        <f t="shared" si="7"/>
        <v>137.91092954663594</v>
      </c>
      <c r="AC34" s="22">
        <v>0</v>
      </c>
      <c r="AD34" s="22">
        <v>0</v>
      </c>
      <c r="AE34" s="22">
        <f t="shared" si="8"/>
        <v>167.31834068777837</v>
      </c>
      <c r="AF34" s="22">
        <v>0</v>
      </c>
      <c r="AG34" s="22">
        <v>0</v>
      </c>
      <c r="AH34" s="22">
        <f t="shared" si="9"/>
        <v>121.1381977479501</v>
      </c>
      <c r="AI34" s="22">
        <v>0</v>
      </c>
      <c r="AJ34" s="22">
        <v>0</v>
      </c>
      <c r="AK34" s="22">
        <v>0</v>
      </c>
      <c r="AL34" s="22">
        <f t="shared" si="10"/>
        <v>437.24131177609524</v>
      </c>
      <c r="AP34" s="23">
        <f t="shared" si="14"/>
        <v>1.2809075176973628E-5</v>
      </c>
      <c r="AQ34" s="23">
        <f t="shared" si="11"/>
        <v>6.1049419759422641E-6</v>
      </c>
      <c r="AR34" s="23">
        <f t="shared" si="12"/>
        <v>2.4764181498115484E-6</v>
      </c>
      <c r="AS34" s="23">
        <f t="shared" si="13"/>
        <v>5.5329889078873067E-7</v>
      </c>
      <c r="AT34" s="23">
        <f t="shared" si="15"/>
        <v>2.194373419351617E-5</v>
      </c>
    </row>
    <row r="35" spans="2:46" ht="11.1" customHeight="1" x14ac:dyDescent="0.3">
      <c r="B35" s="19">
        <v>27</v>
      </c>
      <c r="C35" s="19">
        <f t="shared" si="1"/>
        <v>98</v>
      </c>
      <c r="E35" s="20">
        <f t="shared" si="2"/>
        <v>0.36713684560572502</v>
      </c>
      <c r="F35" s="20">
        <f t="shared" si="3"/>
        <v>0.46315234601266697</v>
      </c>
      <c r="G35" s="20">
        <f t="shared" si="4"/>
        <v>0.67492092832184647</v>
      </c>
      <c r="H35" s="20">
        <f t="shared" si="5"/>
        <v>0.8891098991545856</v>
      </c>
      <c r="L35" s="96">
        <f>0.5*('no treatment'!J35+'no treatment'!J36)</f>
        <v>2.574400821594951E-5</v>
      </c>
      <c r="M35" s="96">
        <f>0.5*('no treatment'!K35+'no treatment'!K36)</f>
        <v>4.6875350841300528E-6</v>
      </c>
      <c r="N35" s="96">
        <f>0.5*('no treatment'!L35+'no treatment'!L36)</f>
        <v>1.9708304856360335E-5</v>
      </c>
      <c r="O35" s="96">
        <f>0.5*('no treatment'!M35+'no treatment'!M36)</f>
        <v>6.2118869848496892E-6</v>
      </c>
      <c r="P35" s="96">
        <f>0.5*('no treatment'!N35+'no treatment'!N36)</f>
        <v>1.1092841902009723E-5</v>
      </c>
      <c r="Q35" s="96">
        <f>0.5*('no treatment'!O35+'no treatment'!O36)</f>
        <v>5.909837401874311E-6</v>
      </c>
      <c r="R35" s="96">
        <f>0.5*('no treatment'!P35+'no treatment'!P36)</f>
        <v>4.6805132392462128E-6</v>
      </c>
      <c r="S35" s="96">
        <f>0.5*('no treatment'!Q35+'no treatment'!Q36)</f>
        <v>4.4136805978703056E-6</v>
      </c>
      <c r="T35" s="96">
        <f>0.5*('no treatment'!R35+'no treatment'!R36)</f>
        <v>0.3820502446325077</v>
      </c>
      <c r="U35" s="96">
        <f>0.5*('no treatment'!S35+'no treatment'!S36)</f>
        <v>0.61786730675920998</v>
      </c>
      <c r="V35" s="21">
        <f t="shared" si="16"/>
        <v>1</v>
      </c>
      <c r="Y35" s="22">
        <f t="shared" si="6"/>
        <v>5.3607853914331889</v>
      </c>
      <c r="Z35" s="22">
        <v>0</v>
      </c>
      <c r="AA35" s="22">
        <v>0</v>
      </c>
      <c r="AB35" s="22">
        <f t="shared" si="7"/>
        <v>66.115692340330682</v>
      </c>
      <c r="AC35" s="22">
        <v>0</v>
      </c>
      <c r="AD35" s="22">
        <v>0</v>
      </c>
      <c r="AE35" s="22">
        <f t="shared" si="8"/>
        <v>75.627799134713726</v>
      </c>
      <c r="AF35" s="22">
        <v>0</v>
      </c>
      <c r="AG35" s="22">
        <v>0</v>
      </c>
      <c r="AH35" s="22">
        <f t="shared" si="9"/>
        <v>47.96846199892753</v>
      </c>
      <c r="AI35" s="22">
        <v>0</v>
      </c>
      <c r="AJ35" s="22">
        <v>0</v>
      </c>
      <c r="AK35" s="22">
        <v>0</v>
      </c>
      <c r="AL35" s="22">
        <f t="shared" si="10"/>
        <v>195.07273886540511</v>
      </c>
      <c r="AP35" s="23">
        <f t="shared" si="14"/>
        <v>6.2985812834848613E-6</v>
      </c>
      <c r="AQ35" s="23">
        <f t="shared" si="11"/>
        <v>2.9288211589899589E-6</v>
      </c>
      <c r="AR35" s="23">
        <f t="shared" si="12"/>
        <v>1.128594351408009E-6</v>
      </c>
      <c r="AS35" s="23">
        <f t="shared" si="13"/>
        <v>2.2615204866514352E-7</v>
      </c>
      <c r="AT35" s="23">
        <f t="shared" si="15"/>
        <v>1.0582148842547972E-5</v>
      </c>
    </row>
    <row r="36" spans="2:46" ht="11.1" customHeight="1" x14ac:dyDescent="0.3">
      <c r="B36" s="19">
        <v>28</v>
      </c>
      <c r="C36" s="19">
        <f t="shared" si="1"/>
        <v>99</v>
      </c>
      <c r="E36" s="20">
        <f t="shared" si="2"/>
        <v>0.39356086132689128</v>
      </c>
      <c r="F36" s="20">
        <f t="shared" si="3"/>
        <v>0.49339807318142703</v>
      </c>
      <c r="G36" s="20">
        <f t="shared" si="4"/>
        <v>0.70725132923122391</v>
      </c>
      <c r="H36" s="20">
        <f t="shared" si="5"/>
        <v>0.90966534992871451</v>
      </c>
      <c r="L36" s="96">
        <f>0.5*('no treatment'!J36+'no treatment'!J37)</f>
        <v>1.266520948457019E-5</v>
      </c>
      <c r="M36" s="96">
        <f>0.5*('no treatment'!K36+'no treatment'!K37)</f>
        <v>2.3672653179936159E-6</v>
      </c>
      <c r="N36" s="96">
        <f>0.5*('no treatment'!L36+'no treatment'!L37)</f>
        <v>9.4780779555645328E-6</v>
      </c>
      <c r="O36" s="96">
        <f>0.5*('no treatment'!M36+'no treatment'!M37)</f>
        <v>2.9722139413092375E-6</v>
      </c>
      <c r="P36" s="96">
        <f>0.5*('no treatment'!N36+'no treatment'!N37)</f>
        <v>5.1087438070895526E-6</v>
      </c>
      <c r="Q36" s="96">
        <f>0.5*('no treatment'!O36+'no treatment'!O37)</f>
        <v>2.6352577336043587E-6</v>
      </c>
      <c r="R36" s="96">
        <f>0.5*('no treatment'!P36+'no treatment'!P37)</f>
        <v>2.0035760182523207E-6</v>
      </c>
      <c r="S36" s="96">
        <f>0.5*('no treatment'!Q36+'no treatment'!Q37)</f>
        <v>1.7259524507947062E-6</v>
      </c>
      <c r="T36" s="96">
        <f>0.5*('no treatment'!R36+'no treatment'!R37)</f>
        <v>0.38207828104963881</v>
      </c>
      <c r="U36" s="96">
        <f>0.5*('no treatment'!S36+'no treatment'!S37)</f>
        <v>0.61788276265365205</v>
      </c>
      <c r="V36" s="21">
        <f t="shared" si="16"/>
        <v>1</v>
      </c>
      <c r="Y36" s="22">
        <f t="shared" si="6"/>
        <v>2.5340701775534136</v>
      </c>
      <c r="Z36" s="22">
        <v>0</v>
      </c>
      <c r="AA36" s="22">
        <v>0</v>
      </c>
      <c r="AB36" s="22">
        <f t="shared" si="7"/>
        <v>30.387862332951478</v>
      </c>
      <c r="AC36" s="22">
        <v>0</v>
      </c>
      <c r="AD36" s="22">
        <v>0</v>
      </c>
      <c r="AE36" s="22">
        <f t="shared" si="8"/>
        <v>32.834451194581113</v>
      </c>
      <c r="AF36" s="22">
        <v>0</v>
      </c>
      <c r="AG36" s="22">
        <v>0</v>
      </c>
      <c r="AH36" s="22">
        <f t="shared" si="9"/>
        <v>18.556579105618241</v>
      </c>
      <c r="AI36" s="22">
        <v>0</v>
      </c>
      <c r="AJ36" s="22">
        <v>0</v>
      </c>
      <c r="AK36" s="22">
        <v>0</v>
      </c>
      <c r="AL36" s="22">
        <f t="shared" si="10"/>
        <v>84.312962810704235</v>
      </c>
      <c r="AP36" s="23">
        <f t="shared" si="14"/>
        <v>2.9702515797575109E-6</v>
      </c>
      <c r="AQ36" s="23">
        <f t="shared" si="11"/>
        <v>1.3470712068422717E-6</v>
      </c>
      <c r="AR36" s="23">
        <f t="shared" si="12"/>
        <v>4.9360281967542225E-7</v>
      </c>
      <c r="AS36" s="23">
        <f t="shared" si="13"/>
        <v>8.9781001709802643E-8</v>
      </c>
      <c r="AT36" s="23">
        <f t="shared" si="15"/>
        <v>4.9007066079850081E-6</v>
      </c>
    </row>
    <row r="37" spans="2:46" ht="11.1" customHeight="1" x14ac:dyDescent="0.3">
      <c r="B37" s="19">
        <v>29</v>
      </c>
      <c r="C37" s="19">
        <f t="shared" si="1"/>
        <v>100</v>
      </c>
      <c r="E37" s="20">
        <f t="shared" si="2"/>
        <v>1</v>
      </c>
      <c r="F37" s="20">
        <f t="shared" si="3"/>
        <v>1</v>
      </c>
      <c r="G37" s="20">
        <f t="shared" si="4"/>
        <v>1</v>
      </c>
      <c r="H37" s="20">
        <f t="shared" si="5"/>
        <v>1</v>
      </c>
      <c r="L37" s="96">
        <f>0.5*('no treatment'!J37+'no treatment'!J38)</f>
        <v>4.0948168344506851E-6</v>
      </c>
      <c r="M37" s="96">
        <f>0.5*('no treatment'!K37+'no treatment'!K38)</f>
        <v>7.7825022198662893E-7</v>
      </c>
      <c r="N37" s="96">
        <f>0.5*('no treatment'!L37+'no treatment'!L38)</f>
        <v>3.0164996688918913E-6</v>
      </c>
      <c r="O37" s="96">
        <f>0.5*('no treatment'!M37+'no treatment'!M38)</f>
        <v>9.4264512256504634E-7</v>
      </c>
      <c r="P37" s="96">
        <f>0.5*('no treatment'!N37+'no treatment'!N38)</f>
        <v>1.5779499317670423E-6</v>
      </c>
      <c r="Q37" s="96">
        <f>0.5*('no treatment'!O37+'no treatment'!O38)</f>
        <v>7.9692283451283745E-7</v>
      </c>
      <c r="R37" s="96">
        <f>0.5*('no treatment'!P37+'no treatment'!P38)</f>
        <v>5.887364023079205E-7</v>
      </c>
      <c r="S37" s="96">
        <f>0.5*('no treatment'!Q37+'no treatment'!Q38)</f>
        <v>4.7911952093736506E-7</v>
      </c>
      <c r="T37" s="96">
        <f>0.5*('no treatment'!R37+'no treatment'!R38)</f>
        <v>0.38209646994709534</v>
      </c>
      <c r="U37" s="96">
        <f>0.5*('no treatment'!S37+'no treatment'!S38)</f>
        <v>0.6178912551123672</v>
      </c>
      <c r="V37" s="21">
        <f t="shared" si="16"/>
        <v>1</v>
      </c>
      <c r="Y37" s="22">
        <f t="shared" si="6"/>
        <v>0.78609358191657119</v>
      </c>
      <c r="Z37" s="22">
        <v>0</v>
      </c>
      <c r="AA37" s="22">
        <v>0</v>
      </c>
      <c r="AB37" s="22">
        <f t="shared" si="7"/>
        <v>9.2466756084770445</v>
      </c>
      <c r="AC37" s="22">
        <v>0</v>
      </c>
      <c r="AD37" s="22">
        <v>0</v>
      </c>
      <c r="AE37" s="22">
        <f t="shared" si="8"/>
        <v>9.6115069582450925</v>
      </c>
      <c r="AF37" s="22">
        <v>0</v>
      </c>
      <c r="AG37" s="22">
        <v>0</v>
      </c>
      <c r="AH37" s="22">
        <f t="shared" si="9"/>
        <v>5.0384424627391438</v>
      </c>
      <c r="AI37" s="22">
        <v>0</v>
      </c>
      <c r="AJ37" s="22">
        <v>0</v>
      </c>
      <c r="AK37" s="22">
        <v>0</v>
      </c>
      <c r="AL37" s="22">
        <f t="shared" si="10"/>
        <v>24.682718611377855</v>
      </c>
      <c r="AP37" s="23">
        <f t="shared" si="14"/>
        <v>9.1997174935957543E-7</v>
      </c>
      <c r="AQ37" s="23">
        <f t="shared" si="11"/>
        <v>4.100927773696266E-7</v>
      </c>
      <c r="AR37" s="23">
        <f t="shared" si="12"/>
        <v>1.4518203398656103E-7</v>
      </c>
      <c r="AS37" s="23">
        <f t="shared" si="13"/>
        <v>2.4776054730594703E-8</v>
      </c>
      <c r="AT37" s="23">
        <f t="shared" si="15"/>
        <v>1.5000226154463576E-6</v>
      </c>
    </row>
    <row r="38" spans="2:46" ht="11.1" customHeight="1" x14ac:dyDescent="0.3">
      <c r="B38" s="19">
        <v>30</v>
      </c>
      <c r="C38" s="19">
        <f t="shared" si="1"/>
        <v>101</v>
      </c>
      <c r="E38" s="20">
        <f t="shared" si="2"/>
        <v>1</v>
      </c>
      <c r="F38" s="20">
        <f t="shared" si="3"/>
        <v>1</v>
      </c>
      <c r="G38" s="20">
        <f t="shared" si="4"/>
        <v>1</v>
      </c>
      <c r="H38" s="20">
        <f t="shared" si="5"/>
        <v>1</v>
      </c>
      <c r="L38" s="96">
        <f>0.5*('no treatment'!J38+'no treatment'!J39)</f>
        <v>0</v>
      </c>
      <c r="M38" s="96">
        <f>0.5*('no treatment'!K38+'no treatment'!K39)</f>
        <v>0</v>
      </c>
      <c r="N38" s="96">
        <f>0.5*('no treatment'!L38+'no treatment'!L39)</f>
        <v>0</v>
      </c>
      <c r="O38" s="96">
        <f>0.5*('no treatment'!M38+'no treatment'!M39)</f>
        <v>0</v>
      </c>
      <c r="P38" s="96">
        <f>0.5*('no treatment'!N38+'no treatment'!N39)</f>
        <v>0</v>
      </c>
      <c r="Q38" s="96">
        <f>0.5*('no treatment'!O38+'no treatment'!O39)</f>
        <v>0</v>
      </c>
      <c r="R38" s="96">
        <f>0.5*('no treatment'!P38+'no treatment'!P39)</f>
        <v>0</v>
      </c>
      <c r="S38" s="96">
        <f>0.5*('no treatment'!Q38+'no treatment'!Q39)</f>
        <v>0</v>
      </c>
      <c r="T38" s="96">
        <f>0.5*('no treatment'!R38+'no treatment'!R39)</f>
        <v>0.38210519948708493</v>
      </c>
      <c r="U38" s="96">
        <f>0.5*('no treatment'!S38+'no treatment'!S39)</f>
        <v>0.61789480051291512</v>
      </c>
      <c r="V38" s="21">
        <f t="shared" si="16"/>
        <v>1</v>
      </c>
      <c r="Y38" s="22">
        <f t="shared" si="6"/>
        <v>0</v>
      </c>
      <c r="Z38" s="22">
        <v>0</v>
      </c>
      <c r="AA38" s="22">
        <v>0</v>
      </c>
      <c r="AB38" s="22">
        <f t="shared" si="7"/>
        <v>0</v>
      </c>
      <c r="AC38" s="22">
        <v>0</v>
      </c>
      <c r="AD38" s="22">
        <v>0</v>
      </c>
      <c r="AE38" s="22">
        <f t="shared" si="8"/>
        <v>0</v>
      </c>
      <c r="AF38" s="22">
        <v>0</v>
      </c>
      <c r="AG38" s="22">
        <v>0</v>
      </c>
      <c r="AH38" s="22">
        <f t="shared" si="9"/>
        <v>0</v>
      </c>
      <c r="AI38" s="22">
        <v>0</v>
      </c>
      <c r="AJ38" s="22">
        <v>0</v>
      </c>
      <c r="AK38" s="22">
        <v>0</v>
      </c>
      <c r="AL38" s="22">
        <f t="shared" si="10"/>
        <v>0</v>
      </c>
      <c r="AP38" s="23">
        <f t="shared" si="14"/>
        <v>0</v>
      </c>
      <c r="AQ38" s="23">
        <f t="shared" si="11"/>
        <v>0</v>
      </c>
      <c r="AR38" s="23">
        <f t="shared" si="12"/>
        <v>0</v>
      </c>
      <c r="AS38" s="23">
        <f t="shared" si="13"/>
        <v>0</v>
      </c>
      <c r="AT38" s="23">
        <f t="shared" si="15"/>
        <v>0</v>
      </c>
    </row>
    <row r="39" spans="2:46" ht="11.1" customHeight="1" x14ac:dyDescent="0.3">
      <c r="B39" s="19">
        <v>31</v>
      </c>
      <c r="C39" s="19">
        <f t="shared" si="1"/>
        <v>102</v>
      </c>
      <c r="E39" s="20">
        <f t="shared" si="2"/>
        <v>1</v>
      </c>
      <c r="F39" s="20">
        <f t="shared" si="3"/>
        <v>1</v>
      </c>
      <c r="G39" s="20">
        <f t="shared" si="4"/>
        <v>1</v>
      </c>
      <c r="H39" s="20">
        <f t="shared" si="5"/>
        <v>1</v>
      </c>
      <c r="L39" s="96">
        <f>0.5*('no treatment'!J39+'no treatment'!J40)</f>
        <v>0</v>
      </c>
      <c r="M39" s="96">
        <f>0.5*('no treatment'!K39+'no treatment'!K40)</f>
        <v>0</v>
      </c>
      <c r="N39" s="96">
        <f>0.5*('no treatment'!L39+'no treatment'!L40)</f>
        <v>0</v>
      </c>
      <c r="O39" s="96">
        <f>0.5*('no treatment'!M39+'no treatment'!M40)</f>
        <v>0</v>
      </c>
      <c r="P39" s="96">
        <f>0.5*('no treatment'!N39+'no treatment'!N40)</f>
        <v>0</v>
      </c>
      <c r="Q39" s="96">
        <f>0.5*('no treatment'!O39+'no treatment'!O40)</f>
        <v>0</v>
      </c>
      <c r="R39" s="96">
        <f>0.5*('no treatment'!P39+'no treatment'!P40)</f>
        <v>0</v>
      </c>
      <c r="S39" s="96">
        <f>0.5*('no treatment'!Q39+'no treatment'!Q40)</f>
        <v>0</v>
      </c>
      <c r="T39" s="96">
        <f>0.5*('no treatment'!R39+'no treatment'!R40)</f>
        <v>0.38210519948708493</v>
      </c>
      <c r="U39" s="96">
        <f>0.5*('no treatment'!S39+'no treatment'!S40)</f>
        <v>0.61789480051291512</v>
      </c>
      <c r="V39" s="21">
        <f t="shared" si="16"/>
        <v>1</v>
      </c>
      <c r="Y39" s="22">
        <f t="shared" si="6"/>
        <v>0</v>
      </c>
      <c r="Z39" s="22">
        <v>0</v>
      </c>
      <c r="AA39" s="22">
        <v>0</v>
      </c>
      <c r="AB39" s="22">
        <f t="shared" si="7"/>
        <v>0</v>
      </c>
      <c r="AC39" s="22">
        <v>0</v>
      </c>
      <c r="AD39" s="22">
        <v>0</v>
      </c>
      <c r="AE39" s="22">
        <f t="shared" si="8"/>
        <v>0</v>
      </c>
      <c r="AF39" s="22">
        <v>0</v>
      </c>
      <c r="AG39" s="22">
        <v>0</v>
      </c>
      <c r="AH39" s="22">
        <f t="shared" si="9"/>
        <v>0</v>
      </c>
      <c r="AI39" s="22">
        <v>0</v>
      </c>
      <c r="AJ39" s="22">
        <v>0</v>
      </c>
      <c r="AK39" s="22">
        <v>0</v>
      </c>
      <c r="AL39" s="22">
        <f t="shared" si="10"/>
        <v>0</v>
      </c>
      <c r="AP39" s="23">
        <f t="shared" si="14"/>
        <v>0</v>
      </c>
      <c r="AQ39" s="23">
        <f t="shared" si="11"/>
        <v>0</v>
      </c>
      <c r="AR39" s="23">
        <f t="shared" si="12"/>
        <v>0</v>
      </c>
      <c r="AS39" s="23">
        <f t="shared" si="13"/>
        <v>0</v>
      </c>
      <c r="AT39" s="23">
        <f t="shared" si="15"/>
        <v>0</v>
      </c>
    </row>
    <row r="40" spans="2:46" ht="11.1" customHeight="1" x14ac:dyDescent="0.3">
      <c r="B40" s="19">
        <v>32</v>
      </c>
      <c r="C40" s="19">
        <f t="shared" ref="C40:C71" si="17">start_age+Alz_cycle</f>
        <v>103</v>
      </c>
      <c r="E40" s="20">
        <f t="shared" ref="E40:E71" si="18">VLOOKUP(Alz_age,table_mort_MCI,2)</f>
        <v>1</v>
      </c>
      <c r="F40" s="20">
        <f t="shared" ref="F40:F71" si="19">VLOOKUP(Alz_age,table_mort_Mild,2)</f>
        <v>1</v>
      </c>
      <c r="G40" s="20">
        <f t="shared" ref="G40:G71" si="20">VLOOKUP(Alz_age,table_mort_Moderate,2)</f>
        <v>1</v>
      </c>
      <c r="H40" s="20">
        <f t="shared" ref="H40:H71" si="21">VLOOKUP(Alz_age,table_mort_Severe,2)</f>
        <v>1</v>
      </c>
      <c r="L40" s="96">
        <f>0.5*('no treatment'!J40+'no treatment'!J41)</f>
        <v>0</v>
      </c>
      <c r="M40" s="96">
        <f>0.5*('no treatment'!K40+'no treatment'!K41)</f>
        <v>0</v>
      </c>
      <c r="N40" s="96">
        <f>0.5*('no treatment'!L40+'no treatment'!L41)</f>
        <v>0</v>
      </c>
      <c r="O40" s="96">
        <f>0.5*('no treatment'!M40+'no treatment'!M41)</f>
        <v>0</v>
      </c>
      <c r="P40" s="96">
        <f>0.5*('no treatment'!N40+'no treatment'!N41)</f>
        <v>0</v>
      </c>
      <c r="Q40" s="96">
        <f>0.5*('no treatment'!O40+'no treatment'!O41)</f>
        <v>0</v>
      </c>
      <c r="R40" s="96">
        <f>0.5*('no treatment'!P40+'no treatment'!P41)</f>
        <v>0</v>
      </c>
      <c r="S40" s="96">
        <f>0.5*('no treatment'!Q40+'no treatment'!Q41)</f>
        <v>0</v>
      </c>
      <c r="T40" s="96">
        <f>0.5*('no treatment'!R40+'no treatment'!R41)</f>
        <v>0.38210519948708493</v>
      </c>
      <c r="U40" s="96">
        <f>0.5*('no treatment'!S40+'no treatment'!S41)</f>
        <v>0.61789480051291512</v>
      </c>
      <c r="V40" s="21">
        <f t="shared" si="16"/>
        <v>1</v>
      </c>
      <c r="Y40" s="22">
        <f t="shared" ref="Y40:Y71" si="22">((L40*c_Com_MCI)+(M40*c_LTC_MCI))/(1+disc_rate_costs)^Alz_cycle</f>
        <v>0</v>
      </c>
      <c r="Z40" s="22">
        <v>0</v>
      </c>
      <c r="AA40" s="22">
        <v>0</v>
      </c>
      <c r="AB40" s="22">
        <f t="shared" ref="AB40:AB71" si="23">(N40*c_Com_Mild+O40*c_LTC_Mild)/(1+disc_rate_costs)^Alz_cycle</f>
        <v>0</v>
      </c>
      <c r="AC40" s="22">
        <v>0</v>
      </c>
      <c r="AD40" s="22">
        <v>0</v>
      </c>
      <c r="AE40" s="22">
        <f t="shared" ref="AE40:AE71" si="24">(P40*c_Com_Moderate+Q40*c_LTC_Moderate)/(1+disc_rate_costs)^Alz_cycle</f>
        <v>0</v>
      </c>
      <c r="AF40" s="22">
        <v>0</v>
      </c>
      <c r="AG40" s="22">
        <v>0</v>
      </c>
      <c r="AH40" s="22">
        <f t="shared" ref="AH40:AH71" si="25">(R40*c_Com_Severe+S40*c_LTC_Severe)/(1+disc_rate_costs)^Alz_cycle</f>
        <v>0</v>
      </c>
      <c r="AI40" s="22">
        <v>0</v>
      </c>
      <c r="AJ40" s="22">
        <v>0</v>
      </c>
      <c r="AK40" s="22">
        <v>0</v>
      </c>
      <c r="AL40" s="22">
        <f t="shared" si="10"/>
        <v>0</v>
      </c>
      <c r="AP40" s="23">
        <f t="shared" ref="AP40:AP71" si="26">(L40*U_Com_MCI+M40*U_LTC_MCI)/(1+disc_rate_effects)^Alz_cycle</f>
        <v>0</v>
      </c>
      <c r="AQ40" s="23">
        <f t="shared" ref="AQ40:AQ71" si="27">(N40*U_Com_Mild+O40*U_LTC_Mild)/(1+disc_rate_effects)^Alz_cycle</f>
        <v>0</v>
      </c>
      <c r="AR40" s="23">
        <f t="shared" ref="AR40:AR71" si="28">(P40*U_Com_Moderate+Q40*U_LTC_Moderate)/(1+disc_rate_effects)^Alz_cycle</f>
        <v>0</v>
      </c>
      <c r="AS40" s="23">
        <f t="shared" ref="AS40:AS71" si="29">(R40*U_Com_Severe+S40*U_LTC_Severe)/(1+disc_rate_effects)^Alz_cycle</f>
        <v>0</v>
      </c>
      <c r="AT40" s="23">
        <f t="shared" si="15"/>
        <v>0</v>
      </c>
    </row>
    <row r="41" spans="2:46" ht="11.1" customHeight="1" x14ac:dyDescent="0.3">
      <c r="B41" s="19">
        <v>33</v>
      </c>
      <c r="C41" s="19">
        <f t="shared" si="17"/>
        <v>104</v>
      </c>
      <c r="E41" s="20">
        <f t="shared" si="18"/>
        <v>1</v>
      </c>
      <c r="F41" s="20">
        <f t="shared" si="19"/>
        <v>1</v>
      </c>
      <c r="G41" s="20">
        <f t="shared" si="20"/>
        <v>1</v>
      </c>
      <c r="H41" s="20">
        <f t="shared" si="21"/>
        <v>1</v>
      </c>
      <c r="L41" s="96">
        <f>0.5*('no treatment'!J41+'no treatment'!J42)</f>
        <v>0</v>
      </c>
      <c r="M41" s="96">
        <f>0.5*('no treatment'!K41+'no treatment'!K42)</f>
        <v>0</v>
      </c>
      <c r="N41" s="96">
        <f>0.5*('no treatment'!L41+'no treatment'!L42)</f>
        <v>0</v>
      </c>
      <c r="O41" s="96">
        <f>0.5*('no treatment'!M41+'no treatment'!M42)</f>
        <v>0</v>
      </c>
      <c r="P41" s="96">
        <f>0.5*('no treatment'!N41+'no treatment'!N42)</f>
        <v>0</v>
      </c>
      <c r="Q41" s="96">
        <f>0.5*('no treatment'!O41+'no treatment'!O42)</f>
        <v>0</v>
      </c>
      <c r="R41" s="96">
        <f>0.5*('no treatment'!P41+'no treatment'!P42)</f>
        <v>0</v>
      </c>
      <c r="S41" s="96">
        <f>0.5*('no treatment'!Q41+'no treatment'!Q42)</f>
        <v>0</v>
      </c>
      <c r="T41" s="96">
        <f>0.5*('no treatment'!R41+'no treatment'!R42)</f>
        <v>0.38210519948708493</v>
      </c>
      <c r="U41" s="96">
        <f>0.5*('no treatment'!S41+'no treatment'!S42)</f>
        <v>0.61789480051291512</v>
      </c>
      <c r="V41" s="21">
        <f t="shared" si="16"/>
        <v>1</v>
      </c>
      <c r="Y41" s="22">
        <f t="shared" si="22"/>
        <v>0</v>
      </c>
      <c r="Z41" s="22">
        <v>0</v>
      </c>
      <c r="AA41" s="22">
        <v>0</v>
      </c>
      <c r="AB41" s="22">
        <f t="shared" si="23"/>
        <v>0</v>
      </c>
      <c r="AC41" s="22">
        <v>0</v>
      </c>
      <c r="AD41" s="22">
        <v>0</v>
      </c>
      <c r="AE41" s="22">
        <f t="shared" si="24"/>
        <v>0</v>
      </c>
      <c r="AF41" s="22">
        <v>0</v>
      </c>
      <c r="AG41" s="22">
        <v>0</v>
      </c>
      <c r="AH41" s="22">
        <f t="shared" si="25"/>
        <v>0</v>
      </c>
      <c r="AI41" s="22">
        <v>0</v>
      </c>
      <c r="AJ41" s="22">
        <v>0</v>
      </c>
      <c r="AK41" s="22">
        <v>0</v>
      </c>
      <c r="AL41" s="22">
        <f t="shared" si="10"/>
        <v>0</v>
      </c>
      <c r="AP41" s="23">
        <f t="shared" si="26"/>
        <v>0</v>
      </c>
      <c r="AQ41" s="23">
        <f t="shared" si="27"/>
        <v>0</v>
      </c>
      <c r="AR41" s="23">
        <f t="shared" si="28"/>
        <v>0</v>
      </c>
      <c r="AS41" s="23">
        <f t="shared" si="29"/>
        <v>0</v>
      </c>
      <c r="AT41" s="23">
        <f t="shared" si="15"/>
        <v>0</v>
      </c>
    </row>
    <row r="42" spans="2:46" ht="11.1" customHeight="1" x14ac:dyDescent="0.3">
      <c r="B42" s="19">
        <v>34</v>
      </c>
      <c r="C42" s="19">
        <f t="shared" si="17"/>
        <v>105</v>
      </c>
      <c r="E42" s="20">
        <f t="shared" si="18"/>
        <v>1</v>
      </c>
      <c r="F42" s="20">
        <f t="shared" si="19"/>
        <v>1</v>
      </c>
      <c r="G42" s="20">
        <f t="shared" si="20"/>
        <v>1</v>
      </c>
      <c r="H42" s="20">
        <f t="shared" si="21"/>
        <v>1</v>
      </c>
      <c r="L42" s="96">
        <f>0.5*('no treatment'!J42+'no treatment'!J43)</f>
        <v>0</v>
      </c>
      <c r="M42" s="96">
        <f>0.5*('no treatment'!K42+'no treatment'!K43)</f>
        <v>0</v>
      </c>
      <c r="N42" s="96">
        <f>0.5*('no treatment'!L42+'no treatment'!L43)</f>
        <v>0</v>
      </c>
      <c r="O42" s="96">
        <f>0.5*('no treatment'!M42+'no treatment'!M43)</f>
        <v>0</v>
      </c>
      <c r="P42" s="96">
        <f>0.5*('no treatment'!N42+'no treatment'!N43)</f>
        <v>0</v>
      </c>
      <c r="Q42" s="96">
        <f>0.5*('no treatment'!O42+'no treatment'!O43)</f>
        <v>0</v>
      </c>
      <c r="R42" s="96">
        <f>0.5*('no treatment'!P42+'no treatment'!P43)</f>
        <v>0</v>
      </c>
      <c r="S42" s="96">
        <f>0.5*('no treatment'!Q42+'no treatment'!Q43)</f>
        <v>0</v>
      </c>
      <c r="T42" s="96">
        <f>0.5*('no treatment'!R42+'no treatment'!R43)</f>
        <v>0.38210519948708493</v>
      </c>
      <c r="U42" s="96">
        <f>0.5*('no treatment'!S42+'no treatment'!S43)</f>
        <v>0.61789480051291512</v>
      </c>
      <c r="V42" s="21">
        <f t="shared" si="16"/>
        <v>1</v>
      </c>
      <c r="Y42" s="22">
        <f t="shared" si="22"/>
        <v>0</v>
      </c>
      <c r="Z42" s="22">
        <v>0</v>
      </c>
      <c r="AA42" s="22">
        <v>0</v>
      </c>
      <c r="AB42" s="22">
        <f t="shared" si="23"/>
        <v>0</v>
      </c>
      <c r="AC42" s="22">
        <v>0</v>
      </c>
      <c r="AD42" s="22">
        <v>0</v>
      </c>
      <c r="AE42" s="22">
        <f t="shared" si="24"/>
        <v>0</v>
      </c>
      <c r="AF42" s="22">
        <v>0</v>
      </c>
      <c r="AG42" s="22">
        <v>0</v>
      </c>
      <c r="AH42" s="22">
        <f t="shared" si="25"/>
        <v>0</v>
      </c>
      <c r="AI42" s="22">
        <v>0</v>
      </c>
      <c r="AJ42" s="22">
        <v>0</v>
      </c>
      <c r="AK42" s="22">
        <v>0</v>
      </c>
      <c r="AL42" s="22">
        <f t="shared" si="10"/>
        <v>0</v>
      </c>
      <c r="AP42" s="23">
        <f t="shared" si="26"/>
        <v>0</v>
      </c>
      <c r="AQ42" s="23">
        <f t="shared" si="27"/>
        <v>0</v>
      </c>
      <c r="AR42" s="23">
        <f t="shared" si="28"/>
        <v>0</v>
      </c>
      <c r="AS42" s="23">
        <f t="shared" si="29"/>
        <v>0</v>
      </c>
      <c r="AT42" s="23">
        <f t="shared" si="15"/>
        <v>0</v>
      </c>
    </row>
    <row r="43" spans="2:46" ht="11.1" customHeight="1" x14ac:dyDescent="0.3">
      <c r="B43" s="19">
        <v>35</v>
      </c>
      <c r="C43" s="19">
        <f t="shared" si="17"/>
        <v>106</v>
      </c>
      <c r="E43" s="20">
        <f t="shared" si="18"/>
        <v>1</v>
      </c>
      <c r="F43" s="20">
        <f t="shared" si="19"/>
        <v>1</v>
      </c>
      <c r="G43" s="20">
        <f t="shared" si="20"/>
        <v>1</v>
      </c>
      <c r="H43" s="20">
        <f t="shared" si="21"/>
        <v>1</v>
      </c>
      <c r="L43" s="96">
        <f>0.5*('no treatment'!J43+'no treatment'!J44)</f>
        <v>0</v>
      </c>
      <c r="M43" s="96">
        <f>0.5*('no treatment'!K43+'no treatment'!K44)</f>
        <v>0</v>
      </c>
      <c r="N43" s="96">
        <f>0.5*('no treatment'!L43+'no treatment'!L44)</f>
        <v>0</v>
      </c>
      <c r="O43" s="96">
        <f>0.5*('no treatment'!M43+'no treatment'!M44)</f>
        <v>0</v>
      </c>
      <c r="P43" s="96">
        <f>0.5*('no treatment'!N43+'no treatment'!N44)</f>
        <v>0</v>
      </c>
      <c r="Q43" s="96">
        <f>0.5*('no treatment'!O43+'no treatment'!O44)</f>
        <v>0</v>
      </c>
      <c r="R43" s="96">
        <f>0.5*('no treatment'!P43+'no treatment'!P44)</f>
        <v>0</v>
      </c>
      <c r="S43" s="96">
        <f>0.5*('no treatment'!Q43+'no treatment'!Q44)</f>
        <v>0</v>
      </c>
      <c r="T43" s="96">
        <f>0.5*('no treatment'!R43+'no treatment'!R44)</f>
        <v>0.38210519948708493</v>
      </c>
      <c r="U43" s="96">
        <f>0.5*('no treatment'!S43+'no treatment'!S44)</f>
        <v>0.61789480051291512</v>
      </c>
      <c r="V43" s="21">
        <f t="shared" si="16"/>
        <v>1</v>
      </c>
      <c r="Y43" s="22">
        <f t="shared" si="22"/>
        <v>0</v>
      </c>
      <c r="Z43" s="22">
        <v>0</v>
      </c>
      <c r="AA43" s="22">
        <v>0</v>
      </c>
      <c r="AB43" s="22">
        <f t="shared" si="23"/>
        <v>0</v>
      </c>
      <c r="AC43" s="22">
        <v>0</v>
      </c>
      <c r="AD43" s="22">
        <v>0</v>
      </c>
      <c r="AE43" s="22">
        <f t="shared" si="24"/>
        <v>0</v>
      </c>
      <c r="AF43" s="22">
        <v>0</v>
      </c>
      <c r="AG43" s="22">
        <v>0</v>
      </c>
      <c r="AH43" s="22">
        <f t="shared" si="25"/>
        <v>0</v>
      </c>
      <c r="AI43" s="22">
        <v>0</v>
      </c>
      <c r="AJ43" s="22">
        <v>0</v>
      </c>
      <c r="AK43" s="22">
        <v>0</v>
      </c>
      <c r="AL43" s="22">
        <f t="shared" si="10"/>
        <v>0</v>
      </c>
      <c r="AP43" s="23">
        <f t="shared" si="26"/>
        <v>0</v>
      </c>
      <c r="AQ43" s="23">
        <f t="shared" si="27"/>
        <v>0</v>
      </c>
      <c r="AR43" s="23">
        <f t="shared" si="28"/>
        <v>0</v>
      </c>
      <c r="AS43" s="23">
        <f t="shared" si="29"/>
        <v>0</v>
      </c>
      <c r="AT43" s="23">
        <f t="shared" si="15"/>
        <v>0</v>
      </c>
    </row>
    <row r="44" spans="2:46" ht="11.1" customHeight="1" x14ac:dyDescent="0.3">
      <c r="B44" s="19">
        <v>36</v>
      </c>
      <c r="C44" s="19">
        <f t="shared" si="17"/>
        <v>107</v>
      </c>
      <c r="E44" s="20">
        <f t="shared" si="18"/>
        <v>1</v>
      </c>
      <c r="F44" s="20">
        <f t="shared" si="19"/>
        <v>1</v>
      </c>
      <c r="G44" s="20">
        <f t="shared" si="20"/>
        <v>1</v>
      </c>
      <c r="H44" s="20">
        <f t="shared" si="21"/>
        <v>1</v>
      </c>
      <c r="L44" s="96">
        <f>0.5*('no treatment'!J44+'no treatment'!J45)</f>
        <v>0</v>
      </c>
      <c r="M44" s="96">
        <f>0.5*('no treatment'!K44+'no treatment'!K45)</f>
        <v>0</v>
      </c>
      <c r="N44" s="96">
        <f>0.5*('no treatment'!L44+'no treatment'!L45)</f>
        <v>0</v>
      </c>
      <c r="O44" s="96">
        <f>0.5*('no treatment'!M44+'no treatment'!M45)</f>
        <v>0</v>
      </c>
      <c r="P44" s="96">
        <f>0.5*('no treatment'!N44+'no treatment'!N45)</f>
        <v>0</v>
      </c>
      <c r="Q44" s="96">
        <f>0.5*('no treatment'!O44+'no treatment'!O45)</f>
        <v>0</v>
      </c>
      <c r="R44" s="96">
        <f>0.5*('no treatment'!P44+'no treatment'!P45)</f>
        <v>0</v>
      </c>
      <c r="S44" s="96">
        <f>0.5*('no treatment'!Q44+'no treatment'!Q45)</f>
        <v>0</v>
      </c>
      <c r="T44" s="96">
        <f>0.5*('no treatment'!R44+'no treatment'!R45)</f>
        <v>0.38210519948708493</v>
      </c>
      <c r="U44" s="96">
        <f>0.5*('no treatment'!S44+'no treatment'!S45)</f>
        <v>0.61789480051291512</v>
      </c>
      <c r="V44" s="21">
        <f t="shared" si="16"/>
        <v>1</v>
      </c>
      <c r="Y44" s="22">
        <f t="shared" si="22"/>
        <v>0</v>
      </c>
      <c r="Z44" s="22">
        <v>0</v>
      </c>
      <c r="AA44" s="22">
        <v>0</v>
      </c>
      <c r="AB44" s="22">
        <f t="shared" si="23"/>
        <v>0</v>
      </c>
      <c r="AC44" s="22">
        <v>0</v>
      </c>
      <c r="AD44" s="22">
        <v>0</v>
      </c>
      <c r="AE44" s="22">
        <f t="shared" si="24"/>
        <v>0</v>
      </c>
      <c r="AF44" s="22">
        <v>0</v>
      </c>
      <c r="AG44" s="22">
        <v>0</v>
      </c>
      <c r="AH44" s="22">
        <f t="shared" si="25"/>
        <v>0</v>
      </c>
      <c r="AI44" s="22">
        <v>0</v>
      </c>
      <c r="AJ44" s="22">
        <v>0</v>
      </c>
      <c r="AK44" s="22">
        <v>0</v>
      </c>
      <c r="AL44" s="22">
        <f t="shared" si="10"/>
        <v>0</v>
      </c>
      <c r="AP44" s="23">
        <f t="shared" si="26"/>
        <v>0</v>
      </c>
      <c r="AQ44" s="23">
        <f t="shared" si="27"/>
        <v>0</v>
      </c>
      <c r="AR44" s="23">
        <f t="shared" si="28"/>
        <v>0</v>
      </c>
      <c r="AS44" s="23">
        <f t="shared" si="29"/>
        <v>0</v>
      </c>
      <c r="AT44" s="23">
        <f t="shared" si="15"/>
        <v>0</v>
      </c>
    </row>
    <row r="45" spans="2:46" ht="11.1" customHeight="1" x14ac:dyDescent="0.3">
      <c r="B45" s="19">
        <v>37</v>
      </c>
      <c r="C45" s="19">
        <f t="shared" si="17"/>
        <v>108</v>
      </c>
      <c r="E45" s="20">
        <f t="shared" si="18"/>
        <v>1</v>
      </c>
      <c r="F45" s="20">
        <f t="shared" si="19"/>
        <v>1</v>
      </c>
      <c r="G45" s="20">
        <f t="shared" si="20"/>
        <v>1</v>
      </c>
      <c r="H45" s="20">
        <f t="shared" si="21"/>
        <v>1</v>
      </c>
      <c r="L45" s="96">
        <f>0.5*('no treatment'!J45+'no treatment'!J46)</f>
        <v>0</v>
      </c>
      <c r="M45" s="96">
        <f>0.5*('no treatment'!K45+'no treatment'!K46)</f>
        <v>0</v>
      </c>
      <c r="N45" s="96">
        <f>0.5*('no treatment'!L45+'no treatment'!L46)</f>
        <v>0</v>
      </c>
      <c r="O45" s="96">
        <f>0.5*('no treatment'!M45+'no treatment'!M46)</f>
        <v>0</v>
      </c>
      <c r="P45" s="96">
        <f>0.5*('no treatment'!N45+'no treatment'!N46)</f>
        <v>0</v>
      </c>
      <c r="Q45" s="96">
        <f>0.5*('no treatment'!O45+'no treatment'!O46)</f>
        <v>0</v>
      </c>
      <c r="R45" s="96">
        <f>0.5*('no treatment'!P45+'no treatment'!P46)</f>
        <v>0</v>
      </c>
      <c r="S45" s="96">
        <f>0.5*('no treatment'!Q45+'no treatment'!Q46)</f>
        <v>0</v>
      </c>
      <c r="T45" s="96">
        <f>0.5*('no treatment'!R45+'no treatment'!R46)</f>
        <v>0.38210519948708493</v>
      </c>
      <c r="U45" s="96">
        <f>0.5*('no treatment'!S45+'no treatment'!S46)</f>
        <v>0.61789480051291512</v>
      </c>
      <c r="V45" s="21">
        <f t="shared" si="16"/>
        <v>1</v>
      </c>
      <c r="Y45" s="22">
        <f t="shared" si="22"/>
        <v>0</v>
      </c>
      <c r="Z45" s="22">
        <v>0</v>
      </c>
      <c r="AA45" s="22">
        <v>0</v>
      </c>
      <c r="AB45" s="22">
        <f t="shared" si="23"/>
        <v>0</v>
      </c>
      <c r="AC45" s="22">
        <v>0</v>
      </c>
      <c r="AD45" s="22">
        <v>0</v>
      </c>
      <c r="AE45" s="22">
        <f t="shared" si="24"/>
        <v>0</v>
      </c>
      <c r="AF45" s="22">
        <v>0</v>
      </c>
      <c r="AG45" s="22">
        <v>0</v>
      </c>
      <c r="AH45" s="22">
        <f t="shared" si="25"/>
        <v>0</v>
      </c>
      <c r="AI45" s="22">
        <v>0</v>
      </c>
      <c r="AJ45" s="22">
        <v>0</v>
      </c>
      <c r="AK45" s="22">
        <v>0</v>
      </c>
      <c r="AL45" s="22">
        <f t="shared" si="10"/>
        <v>0</v>
      </c>
      <c r="AP45" s="23">
        <f t="shared" si="26"/>
        <v>0</v>
      </c>
      <c r="AQ45" s="23">
        <f t="shared" si="27"/>
        <v>0</v>
      </c>
      <c r="AR45" s="23">
        <f t="shared" si="28"/>
        <v>0</v>
      </c>
      <c r="AS45" s="23">
        <f t="shared" si="29"/>
        <v>0</v>
      </c>
      <c r="AT45" s="23">
        <f t="shared" si="15"/>
        <v>0</v>
      </c>
    </row>
    <row r="46" spans="2:46" ht="11.1" customHeight="1" x14ac:dyDescent="0.3">
      <c r="B46" s="19">
        <v>38</v>
      </c>
      <c r="C46" s="19">
        <f t="shared" si="17"/>
        <v>109</v>
      </c>
      <c r="E46" s="20">
        <f t="shared" si="18"/>
        <v>1</v>
      </c>
      <c r="F46" s="20">
        <f t="shared" si="19"/>
        <v>1</v>
      </c>
      <c r="G46" s="20">
        <f t="shared" si="20"/>
        <v>1</v>
      </c>
      <c r="H46" s="20">
        <f t="shared" si="21"/>
        <v>1</v>
      </c>
      <c r="L46" s="96">
        <f>0.5*('no treatment'!J46+'no treatment'!J47)</f>
        <v>0</v>
      </c>
      <c r="M46" s="96">
        <f>0.5*('no treatment'!K46+'no treatment'!K47)</f>
        <v>0</v>
      </c>
      <c r="N46" s="96">
        <f>0.5*('no treatment'!L46+'no treatment'!L47)</f>
        <v>0</v>
      </c>
      <c r="O46" s="96">
        <f>0.5*('no treatment'!M46+'no treatment'!M47)</f>
        <v>0</v>
      </c>
      <c r="P46" s="96">
        <f>0.5*('no treatment'!N46+'no treatment'!N47)</f>
        <v>0</v>
      </c>
      <c r="Q46" s="96">
        <f>0.5*('no treatment'!O46+'no treatment'!O47)</f>
        <v>0</v>
      </c>
      <c r="R46" s="96">
        <f>0.5*('no treatment'!P46+'no treatment'!P47)</f>
        <v>0</v>
      </c>
      <c r="S46" s="96">
        <f>0.5*('no treatment'!Q46+'no treatment'!Q47)</f>
        <v>0</v>
      </c>
      <c r="T46" s="96">
        <f>0.5*('no treatment'!R46+'no treatment'!R47)</f>
        <v>0.38210519948708493</v>
      </c>
      <c r="U46" s="96">
        <f>0.5*('no treatment'!S46+'no treatment'!S47)</f>
        <v>0.61789480051291512</v>
      </c>
      <c r="V46" s="21">
        <f t="shared" si="16"/>
        <v>1</v>
      </c>
      <c r="Y46" s="22">
        <f t="shared" si="22"/>
        <v>0</v>
      </c>
      <c r="Z46" s="22">
        <v>0</v>
      </c>
      <c r="AA46" s="22">
        <v>0</v>
      </c>
      <c r="AB46" s="22">
        <f t="shared" si="23"/>
        <v>0</v>
      </c>
      <c r="AC46" s="22">
        <v>0</v>
      </c>
      <c r="AD46" s="22">
        <v>0</v>
      </c>
      <c r="AE46" s="22">
        <f t="shared" si="24"/>
        <v>0</v>
      </c>
      <c r="AF46" s="22">
        <v>0</v>
      </c>
      <c r="AG46" s="22">
        <v>0</v>
      </c>
      <c r="AH46" s="22">
        <f t="shared" si="25"/>
        <v>0</v>
      </c>
      <c r="AI46" s="22">
        <v>0</v>
      </c>
      <c r="AJ46" s="22">
        <v>0</v>
      </c>
      <c r="AK46" s="22">
        <v>0</v>
      </c>
      <c r="AL46" s="22">
        <f t="shared" si="10"/>
        <v>0</v>
      </c>
      <c r="AP46" s="23">
        <f t="shared" si="26"/>
        <v>0</v>
      </c>
      <c r="AQ46" s="23">
        <f t="shared" si="27"/>
        <v>0</v>
      </c>
      <c r="AR46" s="23">
        <f t="shared" si="28"/>
        <v>0</v>
      </c>
      <c r="AS46" s="23">
        <f t="shared" si="29"/>
        <v>0</v>
      </c>
      <c r="AT46" s="23">
        <f t="shared" si="15"/>
        <v>0</v>
      </c>
    </row>
    <row r="47" spans="2:46" ht="11.1" customHeight="1" x14ac:dyDescent="0.3">
      <c r="B47" s="19">
        <v>39</v>
      </c>
      <c r="C47" s="19">
        <f t="shared" si="17"/>
        <v>110</v>
      </c>
      <c r="E47" s="20">
        <f t="shared" si="18"/>
        <v>1</v>
      </c>
      <c r="F47" s="20">
        <f t="shared" si="19"/>
        <v>1</v>
      </c>
      <c r="G47" s="20">
        <f t="shared" si="20"/>
        <v>1</v>
      </c>
      <c r="H47" s="20">
        <f t="shared" si="21"/>
        <v>1</v>
      </c>
      <c r="L47" s="96">
        <f>0.5*('no treatment'!J47+'no treatment'!J48)</f>
        <v>0</v>
      </c>
      <c r="M47" s="96">
        <f>0.5*('no treatment'!K47+'no treatment'!K48)</f>
        <v>0</v>
      </c>
      <c r="N47" s="96">
        <f>0.5*('no treatment'!L47+'no treatment'!L48)</f>
        <v>0</v>
      </c>
      <c r="O47" s="96">
        <f>0.5*('no treatment'!M47+'no treatment'!M48)</f>
        <v>0</v>
      </c>
      <c r="P47" s="96">
        <f>0.5*('no treatment'!N47+'no treatment'!N48)</f>
        <v>0</v>
      </c>
      <c r="Q47" s="96">
        <f>0.5*('no treatment'!O47+'no treatment'!O48)</f>
        <v>0</v>
      </c>
      <c r="R47" s="96">
        <f>0.5*('no treatment'!P47+'no treatment'!P48)</f>
        <v>0</v>
      </c>
      <c r="S47" s="96">
        <f>0.5*('no treatment'!Q47+'no treatment'!Q48)</f>
        <v>0</v>
      </c>
      <c r="T47" s="96">
        <f>0.5*('no treatment'!R47+'no treatment'!R48)</f>
        <v>0.38210519948708493</v>
      </c>
      <c r="U47" s="96">
        <f>0.5*('no treatment'!S47+'no treatment'!S48)</f>
        <v>0.61789480051291512</v>
      </c>
      <c r="V47" s="21">
        <f t="shared" si="16"/>
        <v>1</v>
      </c>
      <c r="Y47" s="22">
        <f t="shared" si="22"/>
        <v>0</v>
      </c>
      <c r="Z47" s="22">
        <v>0</v>
      </c>
      <c r="AA47" s="22">
        <v>0</v>
      </c>
      <c r="AB47" s="22">
        <f t="shared" si="23"/>
        <v>0</v>
      </c>
      <c r="AC47" s="22">
        <v>0</v>
      </c>
      <c r="AD47" s="22">
        <v>0</v>
      </c>
      <c r="AE47" s="22">
        <f t="shared" si="24"/>
        <v>0</v>
      </c>
      <c r="AF47" s="22">
        <v>0</v>
      </c>
      <c r="AG47" s="22">
        <v>0</v>
      </c>
      <c r="AH47" s="22">
        <f t="shared" si="25"/>
        <v>0</v>
      </c>
      <c r="AI47" s="22">
        <v>0</v>
      </c>
      <c r="AJ47" s="22">
        <v>0</v>
      </c>
      <c r="AK47" s="22">
        <v>0</v>
      </c>
      <c r="AL47" s="22">
        <f t="shared" si="10"/>
        <v>0</v>
      </c>
      <c r="AP47" s="23">
        <f t="shared" si="26"/>
        <v>0</v>
      </c>
      <c r="AQ47" s="23">
        <f t="shared" si="27"/>
        <v>0</v>
      </c>
      <c r="AR47" s="23">
        <f t="shared" si="28"/>
        <v>0</v>
      </c>
      <c r="AS47" s="23">
        <f t="shared" si="29"/>
        <v>0</v>
      </c>
      <c r="AT47" s="23">
        <f t="shared" si="15"/>
        <v>0</v>
      </c>
    </row>
    <row r="48" spans="2:46" ht="11.1" customHeight="1" x14ac:dyDescent="0.3">
      <c r="B48" s="19">
        <v>40</v>
      </c>
      <c r="C48" s="19">
        <f t="shared" si="17"/>
        <v>111</v>
      </c>
      <c r="E48" s="20">
        <f t="shared" si="18"/>
        <v>1</v>
      </c>
      <c r="F48" s="20">
        <f t="shared" si="19"/>
        <v>1</v>
      </c>
      <c r="G48" s="20">
        <f t="shared" si="20"/>
        <v>1</v>
      </c>
      <c r="H48" s="20">
        <f t="shared" si="21"/>
        <v>1</v>
      </c>
      <c r="L48" s="96">
        <f>0.5*('no treatment'!J48+'no treatment'!J49)</f>
        <v>0</v>
      </c>
      <c r="M48" s="96">
        <f>0.5*('no treatment'!K48+'no treatment'!K49)</f>
        <v>0</v>
      </c>
      <c r="N48" s="96">
        <f>0.5*('no treatment'!L48+'no treatment'!L49)</f>
        <v>0</v>
      </c>
      <c r="O48" s="96">
        <f>0.5*('no treatment'!M48+'no treatment'!M49)</f>
        <v>0</v>
      </c>
      <c r="P48" s="96">
        <f>0.5*('no treatment'!N48+'no treatment'!N49)</f>
        <v>0</v>
      </c>
      <c r="Q48" s="96">
        <f>0.5*('no treatment'!O48+'no treatment'!O49)</f>
        <v>0</v>
      </c>
      <c r="R48" s="96">
        <f>0.5*('no treatment'!P48+'no treatment'!P49)</f>
        <v>0</v>
      </c>
      <c r="S48" s="96">
        <f>0.5*('no treatment'!Q48+'no treatment'!Q49)</f>
        <v>0</v>
      </c>
      <c r="T48" s="96">
        <f>0.5*('no treatment'!R48+'no treatment'!R49)</f>
        <v>0.38210519948708493</v>
      </c>
      <c r="U48" s="96">
        <f>0.5*('no treatment'!S48+'no treatment'!S49)</f>
        <v>0.61789480051291512</v>
      </c>
      <c r="V48" s="21">
        <f t="shared" si="16"/>
        <v>1</v>
      </c>
      <c r="Y48" s="22">
        <f t="shared" si="22"/>
        <v>0</v>
      </c>
      <c r="Z48" s="22">
        <v>0</v>
      </c>
      <c r="AA48" s="22">
        <v>0</v>
      </c>
      <c r="AB48" s="22">
        <f t="shared" si="23"/>
        <v>0</v>
      </c>
      <c r="AC48" s="22">
        <v>0</v>
      </c>
      <c r="AD48" s="22">
        <v>0</v>
      </c>
      <c r="AE48" s="22">
        <f t="shared" si="24"/>
        <v>0</v>
      </c>
      <c r="AF48" s="22">
        <v>0</v>
      </c>
      <c r="AG48" s="22">
        <v>0</v>
      </c>
      <c r="AH48" s="22">
        <f t="shared" si="25"/>
        <v>0</v>
      </c>
      <c r="AI48" s="22">
        <v>0</v>
      </c>
      <c r="AJ48" s="22">
        <v>0</v>
      </c>
      <c r="AK48" s="22">
        <v>0</v>
      </c>
      <c r="AL48" s="22">
        <f t="shared" si="10"/>
        <v>0</v>
      </c>
      <c r="AP48" s="23">
        <f t="shared" si="26"/>
        <v>0</v>
      </c>
      <c r="AQ48" s="23">
        <f t="shared" si="27"/>
        <v>0</v>
      </c>
      <c r="AR48" s="23">
        <f t="shared" si="28"/>
        <v>0</v>
      </c>
      <c r="AS48" s="23">
        <f t="shared" si="29"/>
        <v>0</v>
      </c>
      <c r="AT48" s="23">
        <f t="shared" si="15"/>
        <v>0</v>
      </c>
    </row>
    <row r="49" spans="2:46" ht="11.1" customHeight="1" x14ac:dyDescent="0.3">
      <c r="B49" s="19">
        <v>41</v>
      </c>
      <c r="C49" s="19">
        <f t="shared" si="17"/>
        <v>112</v>
      </c>
      <c r="E49" s="20">
        <f t="shared" si="18"/>
        <v>1</v>
      </c>
      <c r="F49" s="20">
        <f t="shared" si="19"/>
        <v>1</v>
      </c>
      <c r="G49" s="20">
        <f t="shared" si="20"/>
        <v>1</v>
      </c>
      <c r="H49" s="20">
        <f t="shared" si="21"/>
        <v>1</v>
      </c>
      <c r="L49" s="96">
        <f>0.5*('no treatment'!J49+'no treatment'!J50)</f>
        <v>0</v>
      </c>
      <c r="M49" s="96">
        <f>0.5*('no treatment'!K49+'no treatment'!K50)</f>
        <v>0</v>
      </c>
      <c r="N49" s="96">
        <f>0.5*('no treatment'!L49+'no treatment'!L50)</f>
        <v>0</v>
      </c>
      <c r="O49" s="96">
        <f>0.5*('no treatment'!M49+'no treatment'!M50)</f>
        <v>0</v>
      </c>
      <c r="P49" s="96">
        <f>0.5*('no treatment'!N49+'no treatment'!N50)</f>
        <v>0</v>
      </c>
      <c r="Q49" s="96">
        <f>0.5*('no treatment'!O49+'no treatment'!O50)</f>
        <v>0</v>
      </c>
      <c r="R49" s="96">
        <f>0.5*('no treatment'!P49+'no treatment'!P50)</f>
        <v>0</v>
      </c>
      <c r="S49" s="96">
        <f>0.5*('no treatment'!Q49+'no treatment'!Q50)</f>
        <v>0</v>
      </c>
      <c r="T49" s="96">
        <f>0.5*('no treatment'!R49+'no treatment'!R50)</f>
        <v>0.38210519948708493</v>
      </c>
      <c r="U49" s="96">
        <f>0.5*('no treatment'!S49+'no treatment'!S50)</f>
        <v>0.61789480051291512</v>
      </c>
      <c r="V49" s="21">
        <f t="shared" si="16"/>
        <v>1</v>
      </c>
      <c r="Y49" s="22">
        <f t="shared" si="22"/>
        <v>0</v>
      </c>
      <c r="Z49" s="22">
        <v>0</v>
      </c>
      <c r="AA49" s="22">
        <v>0</v>
      </c>
      <c r="AB49" s="22">
        <f t="shared" si="23"/>
        <v>0</v>
      </c>
      <c r="AC49" s="22">
        <v>0</v>
      </c>
      <c r="AD49" s="22">
        <v>0</v>
      </c>
      <c r="AE49" s="22">
        <f t="shared" si="24"/>
        <v>0</v>
      </c>
      <c r="AF49" s="22">
        <v>0</v>
      </c>
      <c r="AG49" s="22">
        <v>0</v>
      </c>
      <c r="AH49" s="22">
        <f t="shared" si="25"/>
        <v>0</v>
      </c>
      <c r="AI49" s="22">
        <v>0</v>
      </c>
      <c r="AJ49" s="22">
        <v>0</v>
      </c>
      <c r="AK49" s="22">
        <v>0</v>
      </c>
      <c r="AL49" s="22">
        <f t="shared" si="10"/>
        <v>0</v>
      </c>
      <c r="AP49" s="23">
        <f t="shared" si="26"/>
        <v>0</v>
      </c>
      <c r="AQ49" s="23">
        <f t="shared" si="27"/>
        <v>0</v>
      </c>
      <c r="AR49" s="23">
        <f t="shared" si="28"/>
        <v>0</v>
      </c>
      <c r="AS49" s="23">
        <f t="shared" si="29"/>
        <v>0</v>
      </c>
      <c r="AT49" s="23">
        <f t="shared" si="15"/>
        <v>0</v>
      </c>
    </row>
    <row r="50" spans="2:46" ht="11.1" customHeight="1" x14ac:dyDescent="0.3">
      <c r="B50" s="19">
        <v>42</v>
      </c>
      <c r="C50" s="19">
        <f t="shared" si="17"/>
        <v>113</v>
      </c>
      <c r="E50" s="20">
        <f t="shared" si="18"/>
        <v>1</v>
      </c>
      <c r="F50" s="20">
        <f t="shared" si="19"/>
        <v>1</v>
      </c>
      <c r="G50" s="20">
        <f t="shared" si="20"/>
        <v>1</v>
      </c>
      <c r="H50" s="20">
        <f t="shared" si="21"/>
        <v>1</v>
      </c>
      <c r="L50" s="96">
        <f>0.5*('no treatment'!J50+'no treatment'!J51)</f>
        <v>0</v>
      </c>
      <c r="M50" s="96">
        <f>0.5*('no treatment'!K50+'no treatment'!K51)</f>
        <v>0</v>
      </c>
      <c r="N50" s="96">
        <f>0.5*('no treatment'!L50+'no treatment'!L51)</f>
        <v>0</v>
      </c>
      <c r="O50" s="96">
        <f>0.5*('no treatment'!M50+'no treatment'!M51)</f>
        <v>0</v>
      </c>
      <c r="P50" s="96">
        <f>0.5*('no treatment'!N50+'no treatment'!N51)</f>
        <v>0</v>
      </c>
      <c r="Q50" s="96">
        <f>0.5*('no treatment'!O50+'no treatment'!O51)</f>
        <v>0</v>
      </c>
      <c r="R50" s="96">
        <f>0.5*('no treatment'!P50+'no treatment'!P51)</f>
        <v>0</v>
      </c>
      <c r="S50" s="96">
        <f>0.5*('no treatment'!Q50+'no treatment'!Q51)</f>
        <v>0</v>
      </c>
      <c r="T50" s="96">
        <f>0.5*('no treatment'!R50+'no treatment'!R51)</f>
        <v>0.38210519948708493</v>
      </c>
      <c r="U50" s="96">
        <f>0.5*('no treatment'!S50+'no treatment'!S51)</f>
        <v>0.61789480051291512</v>
      </c>
      <c r="V50" s="21">
        <f t="shared" si="16"/>
        <v>1</v>
      </c>
      <c r="Y50" s="22">
        <f t="shared" si="22"/>
        <v>0</v>
      </c>
      <c r="Z50" s="22">
        <v>0</v>
      </c>
      <c r="AA50" s="22">
        <v>0</v>
      </c>
      <c r="AB50" s="22">
        <f t="shared" si="23"/>
        <v>0</v>
      </c>
      <c r="AC50" s="22">
        <v>0</v>
      </c>
      <c r="AD50" s="22">
        <v>0</v>
      </c>
      <c r="AE50" s="22">
        <f t="shared" si="24"/>
        <v>0</v>
      </c>
      <c r="AF50" s="22">
        <v>0</v>
      </c>
      <c r="AG50" s="22">
        <v>0</v>
      </c>
      <c r="AH50" s="22">
        <f t="shared" si="25"/>
        <v>0</v>
      </c>
      <c r="AI50" s="22">
        <v>0</v>
      </c>
      <c r="AJ50" s="22">
        <v>0</v>
      </c>
      <c r="AK50" s="22">
        <v>0</v>
      </c>
      <c r="AL50" s="22">
        <f t="shared" si="10"/>
        <v>0</v>
      </c>
      <c r="AP50" s="23">
        <f t="shared" si="26"/>
        <v>0</v>
      </c>
      <c r="AQ50" s="23">
        <f t="shared" si="27"/>
        <v>0</v>
      </c>
      <c r="AR50" s="23">
        <f t="shared" si="28"/>
        <v>0</v>
      </c>
      <c r="AS50" s="23">
        <f t="shared" si="29"/>
        <v>0</v>
      </c>
      <c r="AT50" s="23">
        <f t="shared" si="15"/>
        <v>0</v>
      </c>
    </row>
    <row r="51" spans="2:46" ht="11.1" customHeight="1" x14ac:dyDescent="0.3">
      <c r="B51" s="19">
        <v>43</v>
      </c>
      <c r="C51" s="19">
        <f t="shared" si="17"/>
        <v>114</v>
      </c>
      <c r="E51" s="20">
        <f t="shared" si="18"/>
        <v>1</v>
      </c>
      <c r="F51" s="20">
        <f t="shared" si="19"/>
        <v>1</v>
      </c>
      <c r="G51" s="20">
        <f t="shared" si="20"/>
        <v>1</v>
      </c>
      <c r="H51" s="20">
        <f t="shared" si="21"/>
        <v>1</v>
      </c>
      <c r="L51" s="96">
        <f>0.5*('no treatment'!J51+'no treatment'!J52)</f>
        <v>0</v>
      </c>
      <c r="M51" s="96">
        <f>0.5*('no treatment'!K51+'no treatment'!K52)</f>
        <v>0</v>
      </c>
      <c r="N51" s="96">
        <f>0.5*('no treatment'!L51+'no treatment'!L52)</f>
        <v>0</v>
      </c>
      <c r="O51" s="96">
        <f>0.5*('no treatment'!M51+'no treatment'!M52)</f>
        <v>0</v>
      </c>
      <c r="P51" s="96">
        <f>0.5*('no treatment'!N51+'no treatment'!N52)</f>
        <v>0</v>
      </c>
      <c r="Q51" s="96">
        <f>0.5*('no treatment'!O51+'no treatment'!O52)</f>
        <v>0</v>
      </c>
      <c r="R51" s="96">
        <f>0.5*('no treatment'!P51+'no treatment'!P52)</f>
        <v>0</v>
      </c>
      <c r="S51" s="96">
        <f>0.5*('no treatment'!Q51+'no treatment'!Q52)</f>
        <v>0</v>
      </c>
      <c r="T51" s="96">
        <f>0.5*('no treatment'!R51+'no treatment'!R52)</f>
        <v>0.38210519948708493</v>
      </c>
      <c r="U51" s="96">
        <f>0.5*('no treatment'!S51+'no treatment'!S52)</f>
        <v>0.61789480051291512</v>
      </c>
      <c r="V51" s="21">
        <f t="shared" si="16"/>
        <v>1</v>
      </c>
      <c r="Y51" s="22">
        <f t="shared" si="22"/>
        <v>0</v>
      </c>
      <c r="Z51" s="22">
        <v>0</v>
      </c>
      <c r="AA51" s="22">
        <v>0</v>
      </c>
      <c r="AB51" s="22">
        <f t="shared" si="23"/>
        <v>0</v>
      </c>
      <c r="AC51" s="22">
        <v>0</v>
      </c>
      <c r="AD51" s="22">
        <v>0</v>
      </c>
      <c r="AE51" s="22">
        <f t="shared" si="24"/>
        <v>0</v>
      </c>
      <c r="AF51" s="22">
        <v>0</v>
      </c>
      <c r="AG51" s="22">
        <v>0</v>
      </c>
      <c r="AH51" s="22">
        <f t="shared" si="25"/>
        <v>0</v>
      </c>
      <c r="AI51" s="22">
        <v>0</v>
      </c>
      <c r="AJ51" s="22">
        <v>0</v>
      </c>
      <c r="AK51" s="22">
        <v>0</v>
      </c>
      <c r="AL51" s="22">
        <f t="shared" si="10"/>
        <v>0</v>
      </c>
      <c r="AP51" s="23">
        <f t="shared" si="26"/>
        <v>0</v>
      </c>
      <c r="AQ51" s="23">
        <f t="shared" si="27"/>
        <v>0</v>
      </c>
      <c r="AR51" s="23">
        <f t="shared" si="28"/>
        <v>0</v>
      </c>
      <c r="AS51" s="23">
        <f t="shared" si="29"/>
        <v>0</v>
      </c>
      <c r="AT51" s="23">
        <f t="shared" si="15"/>
        <v>0</v>
      </c>
    </row>
    <row r="52" spans="2:46" ht="11.1" customHeight="1" x14ac:dyDescent="0.3">
      <c r="B52" s="19">
        <v>44</v>
      </c>
      <c r="C52" s="19">
        <f t="shared" si="17"/>
        <v>115</v>
      </c>
      <c r="E52" s="20">
        <f t="shared" si="18"/>
        <v>1</v>
      </c>
      <c r="F52" s="20">
        <f t="shared" si="19"/>
        <v>1</v>
      </c>
      <c r="G52" s="20">
        <f t="shared" si="20"/>
        <v>1</v>
      </c>
      <c r="H52" s="20">
        <f t="shared" si="21"/>
        <v>1</v>
      </c>
      <c r="L52" s="96">
        <f>0.5*('no treatment'!J52+'no treatment'!J53)</f>
        <v>0</v>
      </c>
      <c r="M52" s="96">
        <f>0.5*('no treatment'!K52+'no treatment'!K53)</f>
        <v>0</v>
      </c>
      <c r="N52" s="96">
        <f>0.5*('no treatment'!L52+'no treatment'!L53)</f>
        <v>0</v>
      </c>
      <c r="O52" s="96">
        <f>0.5*('no treatment'!M52+'no treatment'!M53)</f>
        <v>0</v>
      </c>
      <c r="P52" s="96">
        <f>0.5*('no treatment'!N52+'no treatment'!N53)</f>
        <v>0</v>
      </c>
      <c r="Q52" s="96">
        <f>0.5*('no treatment'!O52+'no treatment'!O53)</f>
        <v>0</v>
      </c>
      <c r="R52" s="96">
        <f>0.5*('no treatment'!P52+'no treatment'!P53)</f>
        <v>0</v>
      </c>
      <c r="S52" s="96">
        <f>0.5*('no treatment'!Q52+'no treatment'!Q53)</f>
        <v>0</v>
      </c>
      <c r="T52" s="96">
        <f>0.5*('no treatment'!R52+'no treatment'!R53)</f>
        <v>0.38210519948708493</v>
      </c>
      <c r="U52" s="96">
        <f>0.5*('no treatment'!S52+'no treatment'!S53)</f>
        <v>0.61789480051291512</v>
      </c>
      <c r="V52" s="21">
        <f t="shared" si="16"/>
        <v>1</v>
      </c>
      <c r="Y52" s="22">
        <f t="shared" si="22"/>
        <v>0</v>
      </c>
      <c r="Z52" s="22">
        <v>0</v>
      </c>
      <c r="AA52" s="22">
        <v>0</v>
      </c>
      <c r="AB52" s="22">
        <f t="shared" si="23"/>
        <v>0</v>
      </c>
      <c r="AC52" s="22">
        <v>0</v>
      </c>
      <c r="AD52" s="22">
        <v>0</v>
      </c>
      <c r="AE52" s="22">
        <f t="shared" si="24"/>
        <v>0</v>
      </c>
      <c r="AF52" s="22">
        <v>0</v>
      </c>
      <c r="AG52" s="22">
        <v>0</v>
      </c>
      <c r="AH52" s="22">
        <f t="shared" si="25"/>
        <v>0</v>
      </c>
      <c r="AI52" s="22">
        <v>0</v>
      </c>
      <c r="AJ52" s="22">
        <v>0</v>
      </c>
      <c r="AK52" s="22">
        <v>0</v>
      </c>
      <c r="AL52" s="22">
        <f t="shared" si="10"/>
        <v>0</v>
      </c>
      <c r="AP52" s="23">
        <f t="shared" si="26"/>
        <v>0</v>
      </c>
      <c r="AQ52" s="23">
        <f t="shared" si="27"/>
        <v>0</v>
      </c>
      <c r="AR52" s="23">
        <f t="shared" si="28"/>
        <v>0</v>
      </c>
      <c r="AS52" s="23">
        <f t="shared" si="29"/>
        <v>0</v>
      </c>
      <c r="AT52" s="23">
        <f t="shared" si="15"/>
        <v>0</v>
      </c>
    </row>
    <row r="53" spans="2:46" ht="11.1" customHeight="1" x14ac:dyDescent="0.3">
      <c r="B53" s="19">
        <v>45</v>
      </c>
      <c r="C53" s="19">
        <f t="shared" si="17"/>
        <v>116</v>
      </c>
      <c r="E53" s="20">
        <f t="shared" si="18"/>
        <v>1</v>
      </c>
      <c r="F53" s="20">
        <f t="shared" si="19"/>
        <v>1</v>
      </c>
      <c r="G53" s="20">
        <f t="shared" si="20"/>
        <v>1</v>
      </c>
      <c r="H53" s="20">
        <f t="shared" si="21"/>
        <v>1</v>
      </c>
      <c r="L53" s="96">
        <f>0.5*('no treatment'!J53+'no treatment'!J54)</f>
        <v>0</v>
      </c>
      <c r="M53" s="96">
        <f>0.5*('no treatment'!K53+'no treatment'!K54)</f>
        <v>0</v>
      </c>
      <c r="N53" s="96">
        <f>0.5*('no treatment'!L53+'no treatment'!L54)</f>
        <v>0</v>
      </c>
      <c r="O53" s="96">
        <f>0.5*('no treatment'!M53+'no treatment'!M54)</f>
        <v>0</v>
      </c>
      <c r="P53" s="96">
        <f>0.5*('no treatment'!N53+'no treatment'!N54)</f>
        <v>0</v>
      </c>
      <c r="Q53" s="96">
        <f>0.5*('no treatment'!O53+'no treatment'!O54)</f>
        <v>0</v>
      </c>
      <c r="R53" s="96">
        <f>0.5*('no treatment'!P53+'no treatment'!P54)</f>
        <v>0</v>
      </c>
      <c r="S53" s="96">
        <f>0.5*('no treatment'!Q53+'no treatment'!Q54)</f>
        <v>0</v>
      </c>
      <c r="T53" s="96">
        <f>0.5*('no treatment'!R53+'no treatment'!R54)</f>
        <v>0.38210519948708493</v>
      </c>
      <c r="U53" s="96">
        <f>0.5*('no treatment'!S53+'no treatment'!S54)</f>
        <v>0.61789480051291512</v>
      </c>
      <c r="V53" s="21">
        <f t="shared" si="16"/>
        <v>1</v>
      </c>
      <c r="Y53" s="22">
        <f t="shared" si="22"/>
        <v>0</v>
      </c>
      <c r="Z53" s="22">
        <v>0</v>
      </c>
      <c r="AA53" s="22">
        <v>0</v>
      </c>
      <c r="AB53" s="22">
        <f t="shared" si="23"/>
        <v>0</v>
      </c>
      <c r="AC53" s="22">
        <v>0</v>
      </c>
      <c r="AD53" s="22">
        <v>0</v>
      </c>
      <c r="AE53" s="22">
        <f t="shared" si="24"/>
        <v>0</v>
      </c>
      <c r="AF53" s="22">
        <v>0</v>
      </c>
      <c r="AG53" s="22">
        <v>0</v>
      </c>
      <c r="AH53" s="22">
        <f t="shared" si="25"/>
        <v>0</v>
      </c>
      <c r="AI53" s="22">
        <v>0</v>
      </c>
      <c r="AJ53" s="22">
        <v>0</v>
      </c>
      <c r="AK53" s="22">
        <v>0</v>
      </c>
      <c r="AL53" s="22">
        <f t="shared" si="10"/>
        <v>0</v>
      </c>
      <c r="AP53" s="23">
        <f t="shared" si="26"/>
        <v>0</v>
      </c>
      <c r="AQ53" s="23">
        <f t="shared" si="27"/>
        <v>0</v>
      </c>
      <c r="AR53" s="23">
        <f t="shared" si="28"/>
        <v>0</v>
      </c>
      <c r="AS53" s="23">
        <f t="shared" si="29"/>
        <v>0</v>
      </c>
      <c r="AT53" s="23">
        <f t="shared" si="15"/>
        <v>0</v>
      </c>
    </row>
    <row r="54" spans="2:46" ht="11.1" customHeight="1" x14ac:dyDescent="0.3">
      <c r="B54" s="19">
        <v>46</v>
      </c>
      <c r="C54" s="19">
        <f t="shared" si="17"/>
        <v>117</v>
      </c>
      <c r="E54" s="20">
        <f t="shared" si="18"/>
        <v>1</v>
      </c>
      <c r="F54" s="20">
        <f t="shared" si="19"/>
        <v>1</v>
      </c>
      <c r="G54" s="20">
        <f t="shared" si="20"/>
        <v>1</v>
      </c>
      <c r="H54" s="20">
        <f t="shared" si="21"/>
        <v>1</v>
      </c>
      <c r="L54" s="96">
        <f>0.5*('no treatment'!J54+'no treatment'!J55)</f>
        <v>0</v>
      </c>
      <c r="M54" s="96">
        <f>0.5*('no treatment'!K54+'no treatment'!K55)</f>
        <v>0</v>
      </c>
      <c r="N54" s="96">
        <f>0.5*('no treatment'!L54+'no treatment'!L55)</f>
        <v>0</v>
      </c>
      <c r="O54" s="96">
        <f>0.5*('no treatment'!M54+'no treatment'!M55)</f>
        <v>0</v>
      </c>
      <c r="P54" s="96">
        <f>0.5*('no treatment'!N54+'no treatment'!N55)</f>
        <v>0</v>
      </c>
      <c r="Q54" s="96">
        <f>0.5*('no treatment'!O54+'no treatment'!O55)</f>
        <v>0</v>
      </c>
      <c r="R54" s="96">
        <f>0.5*('no treatment'!P54+'no treatment'!P55)</f>
        <v>0</v>
      </c>
      <c r="S54" s="96">
        <f>0.5*('no treatment'!Q54+'no treatment'!Q55)</f>
        <v>0</v>
      </c>
      <c r="T54" s="96">
        <f>0.5*('no treatment'!R54+'no treatment'!R55)</f>
        <v>0.38210519948708493</v>
      </c>
      <c r="U54" s="96">
        <f>0.5*('no treatment'!S54+'no treatment'!S55)</f>
        <v>0.61789480051291512</v>
      </c>
      <c r="V54" s="21">
        <f t="shared" si="16"/>
        <v>1</v>
      </c>
      <c r="Y54" s="22">
        <f t="shared" si="22"/>
        <v>0</v>
      </c>
      <c r="Z54" s="22">
        <v>0</v>
      </c>
      <c r="AA54" s="22">
        <v>0</v>
      </c>
      <c r="AB54" s="22">
        <f t="shared" si="23"/>
        <v>0</v>
      </c>
      <c r="AC54" s="22">
        <v>0</v>
      </c>
      <c r="AD54" s="22">
        <v>0</v>
      </c>
      <c r="AE54" s="22">
        <f t="shared" si="24"/>
        <v>0</v>
      </c>
      <c r="AF54" s="22">
        <v>0</v>
      </c>
      <c r="AG54" s="22">
        <v>0</v>
      </c>
      <c r="AH54" s="22">
        <f t="shared" si="25"/>
        <v>0</v>
      </c>
      <c r="AI54" s="22">
        <v>0</v>
      </c>
      <c r="AJ54" s="22">
        <v>0</v>
      </c>
      <c r="AK54" s="22">
        <v>0</v>
      </c>
      <c r="AL54" s="22">
        <f t="shared" si="10"/>
        <v>0</v>
      </c>
      <c r="AP54" s="23">
        <f t="shared" si="26"/>
        <v>0</v>
      </c>
      <c r="AQ54" s="23">
        <f t="shared" si="27"/>
        <v>0</v>
      </c>
      <c r="AR54" s="23">
        <f t="shared" si="28"/>
        <v>0</v>
      </c>
      <c r="AS54" s="23">
        <f t="shared" si="29"/>
        <v>0</v>
      </c>
      <c r="AT54" s="23">
        <f t="shared" si="15"/>
        <v>0</v>
      </c>
    </row>
    <row r="55" spans="2:46" ht="11.1" customHeight="1" x14ac:dyDescent="0.3">
      <c r="B55" s="19">
        <v>47</v>
      </c>
      <c r="C55" s="19">
        <f t="shared" si="17"/>
        <v>118</v>
      </c>
      <c r="E55" s="20">
        <f t="shared" si="18"/>
        <v>1</v>
      </c>
      <c r="F55" s="20">
        <f t="shared" si="19"/>
        <v>1</v>
      </c>
      <c r="G55" s="20">
        <f t="shared" si="20"/>
        <v>1</v>
      </c>
      <c r="H55" s="20">
        <f t="shared" si="21"/>
        <v>1</v>
      </c>
      <c r="L55" s="96">
        <f>0.5*('no treatment'!J55+'no treatment'!J56)</f>
        <v>0</v>
      </c>
      <c r="M55" s="96">
        <f>0.5*('no treatment'!K55+'no treatment'!K56)</f>
        <v>0</v>
      </c>
      <c r="N55" s="96">
        <f>0.5*('no treatment'!L55+'no treatment'!L56)</f>
        <v>0</v>
      </c>
      <c r="O55" s="96">
        <f>0.5*('no treatment'!M55+'no treatment'!M56)</f>
        <v>0</v>
      </c>
      <c r="P55" s="96">
        <f>0.5*('no treatment'!N55+'no treatment'!N56)</f>
        <v>0</v>
      </c>
      <c r="Q55" s="96">
        <f>0.5*('no treatment'!O55+'no treatment'!O56)</f>
        <v>0</v>
      </c>
      <c r="R55" s="96">
        <f>0.5*('no treatment'!P55+'no treatment'!P56)</f>
        <v>0</v>
      </c>
      <c r="S55" s="96">
        <f>0.5*('no treatment'!Q55+'no treatment'!Q56)</f>
        <v>0</v>
      </c>
      <c r="T55" s="96">
        <f>0.5*('no treatment'!R55+'no treatment'!R56)</f>
        <v>0.38210519948708493</v>
      </c>
      <c r="U55" s="96">
        <f>0.5*('no treatment'!S55+'no treatment'!S56)</f>
        <v>0.61789480051291512</v>
      </c>
      <c r="V55" s="21">
        <f t="shared" si="16"/>
        <v>1</v>
      </c>
      <c r="Y55" s="22">
        <f t="shared" si="22"/>
        <v>0</v>
      </c>
      <c r="Z55" s="22">
        <v>0</v>
      </c>
      <c r="AA55" s="22">
        <v>0</v>
      </c>
      <c r="AB55" s="22">
        <f t="shared" si="23"/>
        <v>0</v>
      </c>
      <c r="AC55" s="22">
        <v>0</v>
      </c>
      <c r="AD55" s="22">
        <v>0</v>
      </c>
      <c r="AE55" s="22">
        <f t="shared" si="24"/>
        <v>0</v>
      </c>
      <c r="AF55" s="22">
        <v>0</v>
      </c>
      <c r="AG55" s="22">
        <v>0</v>
      </c>
      <c r="AH55" s="22">
        <f t="shared" si="25"/>
        <v>0</v>
      </c>
      <c r="AI55" s="22">
        <v>0</v>
      </c>
      <c r="AJ55" s="22">
        <v>0</v>
      </c>
      <c r="AK55" s="22">
        <v>0</v>
      </c>
      <c r="AL55" s="22">
        <f t="shared" si="10"/>
        <v>0</v>
      </c>
      <c r="AP55" s="23">
        <f t="shared" si="26"/>
        <v>0</v>
      </c>
      <c r="AQ55" s="23">
        <f t="shared" si="27"/>
        <v>0</v>
      </c>
      <c r="AR55" s="23">
        <f t="shared" si="28"/>
        <v>0</v>
      </c>
      <c r="AS55" s="23">
        <f t="shared" si="29"/>
        <v>0</v>
      </c>
      <c r="AT55" s="23">
        <f t="shared" si="15"/>
        <v>0</v>
      </c>
    </row>
    <row r="56" spans="2:46" ht="11.1" customHeight="1" x14ac:dyDescent="0.3">
      <c r="B56" s="19">
        <v>48</v>
      </c>
      <c r="C56" s="19">
        <f t="shared" si="17"/>
        <v>119</v>
      </c>
      <c r="E56" s="20">
        <f t="shared" si="18"/>
        <v>1</v>
      </c>
      <c r="F56" s="20">
        <f t="shared" si="19"/>
        <v>1</v>
      </c>
      <c r="G56" s="20">
        <f t="shared" si="20"/>
        <v>1</v>
      </c>
      <c r="H56" s="20">
        <f t="shared" si="21"/>
        <v>1</v>
      </c>
      <c r="L56" s="96">
        <f>0.5*('no treatment'!J56+'no treatment'!J57)</f>
        <v>0</v>
      </c>
      <c r="M56" s="96">
        <f>0.5*('no treatment'!K56+'no treatment'!K57)</f>
        <v>0</v>
      </c>
      <c r="N56" s="96">
        <f>0.5*('no treatment'!L56+'no treatment'!L57)</f>
        <v>0</v>
      </c>
      <c r="O56" s="96">
        <f>0.5*('no treatment'!M56+'no treatment'!M57)</f>
        <v>0</v>
      </c>
      <c r="P56" s="96">
        <f>0.5*('no treatment'!N56+'no treatment'!N57)</f>
        <v>0</v>
      </c>
      <c r="Q56" s="96">
        <f>0.5*('no treatment'!O56+'no treatment'!O57)</f>
        <v>0</v>
      </c>
      <c r="R56" s="96">
        <f>0.5*('no treatment'!P56+'no treatment'!P57)</f>
        <v>0</v>
      </c>
      <c r="S56" s="96">
        <f>0.5*('no treatment'!Q56+'no treatment'!Q57)</f>
        <v>0</v>
      </c>
      <c r="T56" s="96">
        <f>0.5*('no treatment'!R56+'no treatment'!R57)</f>
        <v>0.38210519948708493</v>
      </c>
      <c r="U56" s="96">
        <f>0.5*('no treatment'!S56+'no treatment'!S57)</f>
        <v>0.61789480051291512</v>
      </c>
      <c r="V56" s="21">
        <f t="shared" si="16"/>
        <v>1</v>
      </c>
      <c r="Y56" s="22">
        <f t="shared" si="22"/>
        <v>0</v>
      </c>
      <c r="Z56" s="22">
        <v>0</v>
      </c>
      <c r="AA56" s="22">
        <v>0</v>
      </c>
      <c r="AB56" s="22">
        <f t="shared" si="23"/>
        <v>0</v>
      </c>
      <c r="AC56" s="22">
        <v>0</v>
      </c>
      <c r="AD56" s="22">
        <v>0</v>
      </c>
      <c r="AE56" s="22">
        <f t="shared" si="24"/>
        <v>0</v>
      </c>
      <c r="AF56" s="22">
        <v>0</v>
      </c>
      <c r="AG56" s="22">
        <v>0</v>
      </c>
      <c r="AH56" s="22">
        <f t="shared" si="25"/>
        <v>0</v>
      </c>
      <c r="AI56" s="22">
        <v>0</v>
      </c>
      <c r="AJ56" s="22">
        <v>0</v>
      </c>
      <c r="AK56" s="22">
        <v>0</v>
      </c>
      <c r="AL56" s="22">
        <f t="shared" si="10"/>
        <v>0</v>
      </c>
      <c r="AP56" s="23">
        <f t="shared" si="26"/>
        <v>0</v>
      </c>
      <c r="AQ56" s="23">
        <f t="shared" si="27"/>
        <v>0</v>
      </c>
      <c r="AR56" s="23">
        <f t="shared" si="28"/>
        <v>0</v>
      </c>
      <c r="AS56" s="23">
        <f t="shared" si="29"/>
        <v>0</v>
      </c>
      <c r="AT56" s="23">
        <f t="shared" si="15"/>
        <v>0</v>
      </c>
    </row>
    <row r="57" spans="2:46" ht="11.1" customHeight="1" x14ac:dyDescent="0.3">
      <c r="B57" s="19">
        <v>49</v>
      </c>
      <c r="C57" s="19">
        <f t="shared" si="17"/>
        <v>120</v>
      </c>
      <c r="E57" s="20">
        <f t="shared" si="18"/>
        <v>1</v>
      </c>
      <c r="F57" s="20">
        <f t="shared" si="19"/>
        <v>1</v>
      </c>
      <c r="G57" s="20">
        <f t="shared" si="20"/>
        <v>1</v>
      </c>
      <c r="H57" s="20">
        <f t="shared" si="21"/>
        <v>1</v>
      </c>
      <c r="L57" s="96">
        <f>0.5*('no treatment'!J57+'no treatment'!J58)</f>
        <v>0</v>
      </c>
      <c r="M57" s="96">
        <f>0.5*('no treatment'!K57+'no treatment'!K58)</f>
        <v>0</v>
      </c>
      <c r="N57" s="96">
        <f>0.5*('no treatment'!L57+'no treatment'!L58)</f>
        <v>0</v>
      </c>
      <c r="O57" s="96">
        <f>0.5*('no treatment'!M57+'no treatment'!M58)</f>
        <v>0</v>
      </c>
      <c r="P57" s="96">
        <f>0.5*('no treatment'!N57+'no treatment'!N58)</f>
        <v>0</v>
      </c>
      <c r="Q57" s="96">
        <f>0.5*('no treatment'!O57+'no treatment'!O58)</f>
        <v>0</v>
      </c>
      <c r="R57" s="96">
        <f>0.5*('no treatment'!P57+'no treatment'!P58)</f>
        <v>0</v>
      </c>
      <c r="S57" s="96">
        <f>0.5*('no treatment'!Q57+'no treatment'!Q58)</f>
        <v>0</v>
      </c>
      <c r="T57" s="96">
        <f>0.5*('no treatment'!R57+'no treatment'!R58)</f>
        <v>0.38210519948708493</v>
      </c>
      <c r="U57" s="96">
        <f>0.5*('no treatment'!S57+'no treatment'!S58)</f>
        <v>0.61789480051291512</v>
      </c>
      <c r="V57" s="21">
        <f t="shared" si="16"/>
        <v>1</v>
      </c>
      <c r="Y57" s="22">
        <f t="shared" si="22"/>
        <v>0</v>
      </c>
      <c r="Z57" s="22">
        <v>0</v>
      </c>
      <c r="AA57" s="22">
        <v>0</v>
      </c>
      <c r="AB57" s="22">
        <f t="shared" si="23"/>
        <v>0</v>
      </c>
      <c r="AC57" s="22">
        <v>0</v>
      </c>
      <c r="AD57" s="22">
        <v>0</v>
      </c>
      <c r="AE57" s="22">
        <f t="shared" si="24"/>
        <v>0</v>
      </c>
      <c r="AF57" s="22">
        <v>0</v>
      </c>
      <c r="AG57" s="22">
        <v>0</v>
      </c>
      <c r="AH57" s="22">
        <f t="shared" si="25"/>
        <v>0</v>
      </c>
      <c r="AI57" s="22">
        <v>0</v>
      </c>
      <c r="AJ57" s="22">
        <v>0</v>
      </c>
      <c r="AK57" s="22">
        <v>0</v>
      </c>
      <c r="AL57" s="22">
        <f t="shared" si="10"/>
        <v>0</v>
      </c>
      <c r="AP57" s="23">
        <f t="shared" si="26"/>
        <v>0</v>
      </c>
      <c r="AQ57" s="23">
        <f t="shared" si="27"/>
        <v>0</v>
      </c>
      <c r="AR57" s="23">
        <f t="shared" si="28"/>
        <v>0</v>
      </c>
      <c r="AS57" s="23">
        <f t="shared" si="29"/>
        <v>0</v>
      </c>
      <c r="AT57" s="23">
        <f t="shared" si="15"/>
        <v>0</v>
      </c>
    </row>
    <row r="58" spans="2:46" ht="11.1" customHeight="1" x14ac:dyDescent="0.3">
      <c r="B58" s="19">
        <v>50</v>
      </c>
      <c r="C58" s="19">
        <f t="shared" si="17"/>
        <v>121</v>
      </c>
      <c r="E58" s="20">
        <f t="shared" si="18"/>
        <v>1</v>
      </c>
      <c r="F58" s="20">
        <f t="shared" si="19"/>
        <v>1</v>
      </c>
      <c r="G58" s="20">
        <f t="shared" si="20"/>
        <v>1</v>
      </c>
      <c r="H58" s="20">
        <f t="shared" si="21"/>
        <v>1</v>
      </c>
      <c r="L58" s="96">
        <f>0.5*('no treatment'!J58+'no treatment'!J59)</f>
        <v>0</v>
      </c>
      <c r="M58" s="96">
        <f>0.5*('no treatment'!K58+'no treatment'!K59)</f>
        <v>0</v>
      </c>
      <c r="N58" s="96">
        <f>0.5*('no treatment'!L58+'no treatment'!L59)</f>
        <v>0</v>
      </c>
      <c r="O58" s="96">
        <f>0.5*('no treatment'!M58+'no treatment'!M59)</f>
        <v>0</v>
      </c>
      <c r="P58" s="96">
        <f>0.5*('no treatment'!N58+'no treatment'!N59)</f>
        <v>0</v>
      </c>
      <c r="Q58" s="96">
        <f>0.5*('no treatment'!O58+'no treatment'!O59)</f>
        <v>0</v>
      </c>
      <c r="R58" s="96">
        <f>0.5*('no treatment'!P58+'no treatment'!P59)</f>
        <v>0</v>
      </c>
      <c r="S58" s="96">
        <f>0.5*('no treatment'!Q58+'no treatment'!Q59)</f>
        <v>0</v>
      </c>
      <c r="T58" s="96">
        <f>0.5*('no treatment'!R58+'no treatment'!R59)</f>
        <v>0.38210519948708493</v>
      </c>
      <c r="U58" s="96">
        <f>0.5*('no treatment'!S58+'no treatment'!S59)</f>
        <v>0.61789480051291512</v>
      </c>
      <c r="V58" s="21">
        <f t="shared" si="16"/>
        <v>1</v>
      </c>
      <c r="Y58" s="22">
        <f t="shared" si="22"/>
        <v>0</v>
      </c>
      <c r="Z58" s="22">
        <v>0</v>
      </c>
      <c r="AA58" s="22">
        <v>0</v>
      </c>
      <c r="AB58" s="22">
        <f t="shared" si="23"/>
        <v>0</v>
      </c>
      <c r="AC58" s="22">
        <v>0</v>
      </c>
      <c r="AD58" s="22">
        <v>0</v>
      </c>
      <c r="AE58" s="22">
        <f t="shared" si="24"/>
        <v>0</v>
      </c>
      <c r="AF58" s="22">
        <v>0</v>
      </c>
      <c r="AG58" s="22">
        <v>0</v>
      </c>
      <c r="AH58" s="22">
        <f t="shared" si="25"/>
        <v>0</v>
      </c>
      <c r="AI58" s="22">
        <v>0</v>
      </c>
      <c r="AJ58" s="22">
        <v>0</v>
      </c>
      <c r="AK58" s="22">
        <v>0</v>
      </c>
      <c r="AL58" s="22">
        <f t="shared" si="10"/>
        <v>0</v>
      </c>
      <c r="AP58" s="23">
        <f t="shared" si="26"/>
        <v>0</v>
      </c>
      <c r="AQ58" s="23">
        <f t="shared" si="27"/>
        <v>0</v>
      </c>
      <c r="AR58" s="23">
        <f t="shared" si="28"/>
        <v>0</v>
      </c>
      <c r="AS58" s="23">
        <f t="shared" si="29"/>
        <v>0</v>
      </c>
      <c r="AT58" s="23">
        <f t="shared" si="15"/>
        <v>0</v>
      </c>
    </row>
    <row r="59" spans="2:46" ht="11.1" customHeight="1" x14ac:dyDescent="0.3">
      <c r="B59" s="19">
        <v>51</v>
      </c>
      <c r="C59" s="19">
        <f t="shared" si="17"/>
        <v>122</v>
      </c>
      <c r="E59" s="20">
        <f t="shared" si="18"/>
        <v>1</v>
      </c>
      <c r="F59" s="20">
        <f t="shared" si="19"/>
        <v>1</v>
      </c>
      <c r="G59" s="20">
        <f t="shared" si="20"/>
        <v>1</v>
      </c>
      <c r="H59" s="20">
        <f t="shared" si="21"/>
        <v>1</v>
      </c>
      <c r="L59" s="96">
        <f>0.5*('no treatment'!J59+'no treatment'!J60)</f>
        <v>0</v>
      </c>
      <c r="M59" s="96">
        <f>0.5*('no treatment'!K59+'no treatment'!K60)</f>
        <v>0</v>
      </c>
      <c r="N59" s="96">
        <f>0.5*('no treatment'!L59+'no treatment'!L60)</f>
        <v>0</v>
      </c>
      <c r="O59" s="96">
        <f>0.5*('no treatment'!M59+'no treatment'!M60)</f>
        <v>0</v>
      </c>
      <c r="P59" s="96">
        <f>0.5*('no treatment'!N59+'no treatment'!N60)</f>
        <v>0</v>
      </c>
      <c r="Q59" s="96">
        <f>0.5*('no treatment'!O59+'no treatment'!O60)</f>
        <v>0</v>
      </c>
      <c r="R59" s="96">
        <f>0.5*('no treatment'!P59+'no treatment'!P60)</f>
        <v>0</v>
      </c>
      <c r="S59" s="96">
        <f>0.5*('no treatment'!Q59+'no treatment'!Q60)</f>
        <v>0</v>
      </c>
      <c r="T59" s="96">
        <f>0.5*('no treatment'!R59+'no treatment'!R60)</f>
        <v>0.38210519948708493</v>
      </c>
      <c r="U59" s="96">
        <f>0.5*('no treatment'!S59+'no treatment'!S60)</f>
        <v>0.61789480051291512</v>
      </c>
      <c r="V59" s="21">
        <f t="shared" si="16"/>
        <v>1</v>
      </c>
      <c r="Y59" s="22">
        <f t="shared" si="22"/>
        <v>0</v>
      </c>
      <c r="Z59" s="22">
        <v>0</v>
      </c>
      <c r="AA59" s="22">
        <v>0</v>
      </c>
      <c r="AB59" s="22">
        <f t="shared" si="23"/>
        <v>0</v>
      </c>
      <c r="AC59" s="22">
        <v>0</v>
      </c>
      <c r="AD59" s="22">
        <v>0</v>
      </c>
      <c r="AE59" s="22">
        <f t="shared" si="24"/>
        <v>0</v>
      </c>
      <c r="AF59" s="22">
        <v>0</v>
      </c>
      <c r="AG59" s="22">
        <v>0</v>
      </c>
      <c r="AH59" s="22">
        <f t="shared" si="25"/>
        <v>0</v>
      </c>
      <c r="AI59" s="22">
        <v>0</v>
      </c>
      <c r="AJ59" s="22">
        <v>0</v>
      </c>
      <c r="AK59" s="22">
        <v>0</v>
      </c>
      <c r="AL59" s="22">
        <f t="shared" si="10"/>
        <v>0</v>
      </c>
      <c r="AP59" s="23">
        <f t="shared" si="26"/>
        <v>0</v>
      </c>
      <c r="AQ59" s="23">
        <f t="shared" si="27"/>
        <v>0</v>
      </c>
      <c r="AR59" s="23">
        <f t="shared" si="28"/>
        <v>0</v>
      </c>
      <c r="AS59" s="23">
        <f t="shared" si="29"/>
        <v>0</v>
      </c>
      <c r="AT59" s="23">
        <f t="shared" si="15"/>
        <v>0</v>
      </c>
    </row>
    <row r="60" spans="2:46" ht="11.1" customHeight="1" x14ac:dyDescent="0.3">
      <c r="B60" s="19">
        <v>52</v>
      </c>
      <c r="C60" s="19">
        <f t="shared" si="17"/>
        <v>123</v>
      </c>
      <c r="E60" s="20">
        <f t="shared" si="18"/>
        <v>1</v>
      </c>
      <c r="F60" s="20">
        <f t="shared" si="19"/>
        <v>1</v>
      </c>
      <c r="G60" s="20">
        <f t="shared" si="20"/>
        <v>1</v>
      </c>
      <c r="H60" s="20">
        <f t="shared" si="21"/>
        <v>1</v>
      </c>
      <c r="L60" s="96">
        <f>0.5*('no treatment'!J60+'no treatment'!J61)</f>
        <v>0</v>
      </c>
      <c r="M60" s="96">
        <f>0.5*('no treatment'!K60+'no treatment'!K61)</f>
        <v>0</v>
      </c>
      <c r="N60" s="96">
        <f>0.5*('no treatment'!L60+'no treatment'!L61)</f>
        <v>0</v>
      </c>
      <c r="O60" s="96">
        <f>0.5*('no treatment'!M60+'no treatment'!M61)</f>
        <v>0</v>
      </c>
      <c r="P60" s="96">
        <f>0.5*('no treatment'!N60+'no treatment'!N61)</f>
        <v>0</v>
      </c>
      <c r="Q60" s="96">
        <f>0.5*('no treatment'!O60+'no treatment'!O61)</f>
        <v>0</v>
      </c>
      <c r="R60" s="96">
        <f>0.5*('no treatment'!P60+'no treatment'!P61)</f>
        <v>0</v>
      </c>
      <c r="S60" s="96">
        <f>0.5*('no treatment'!Q60+'no treatment'!Q61)</f>
        <v>0</v>
      </c>
      <c r="T60" s="96">
        <f>0.5*('no treatment'!R60+'no treatment'!R61)</f>
        <v>0.38210519948708493</v>
      </c>
      <c r="U60" s="96">
        <f>0.5*('no treatment'!S60+'no treatment'!S61)</f>
        <v>0.61789480051291512</v>
      </c>
      <c r="V60" s="21">
        <f t="shared" si="16"/>
        <v>1</v>
      </c>
      <c r="Y60" s="22">
        <f t="shared" si="22"/>
        <v>0</v>
      </c>
      <c r="Z60" s="22">
        <v>0</v>
      </c>
      <c r="AA60" s="22">
        <v>0</v>
      </c>
      <c r="AB60" s="22">
        <f t="shared" si="23"/>
        <v>0</v>
      </c>
      <c r="AC60" s="22">
        <v>0</v>
      </c>
      <c r="AD60" s="22">
        <v>0</v>
      </c>
      <c r="AE60" s="22">
        <f t="shared" si="24"/>
        <v>0</v>
      </c>
      <c r="AF60" s="22">
        <v>0</v>
      </c>
      <c r="AG60" s="22">
        <v>0</v>
      </c>
      <c r="AH60" s="22">
        <f t="shared" si="25"/>
        <v>0</v>
      </c>
      <c r="AI60" s="22">
        <v>0</v>
      </c>
      <c r="AJ60" s="22">
        <v>0</v>
      </c>
      <c r="AK60" s="22">
        <v>0</v>
      </c>
      <c r="AL60" s="22">
        <f t="shared" si="10"/>
        <v>0</v>
      </c>
      <c r="AP60" s="23">
        <f t="shared" si="26"/>
        <v>0</v>
      </c>
      <c r="AQ60" s="23">
        <f t="shared" si="27"/>
        <v>0</v>
      </c>
      <c r="AR60" s="23">
        <f t="shared" si="28"/>
        <v>0</v>
      </c>
      <c r="AS60" s="23">
        <f t="shared" si="29"/>
        <v>0</v>
      </c>
      <c r="AT60" s="23">
        <f t="shared" si="15"/>
        <v>0</v>
      </c>
    </row>
    <row r="61" spans="2:46" ht="11.1" customHeight="1" x14ac:dyDescent="0.3">
      <c r="B61" s="19">
        <v>53</v>
      </c>
      <c r="C61" s="19">
        <f t="shared" si="17"/>
        <v>124</v>
      </c>
      <c r="E61" s="20">
        <f t="shared" si="18"/>
        <v>1</v>
      </c>
      <c r="F61" s="20">
        <f t="shared" si="19"/>
        <v>1</v>
      </c>
      <c r="G61" s="20">
        <f t="shared" si="20"/>
        <v>1</v>
      </c>
      <c r="H61" s="20">
        <f t="shared" si="21"/>
        <v>1</v>
      </c>
      <c r="L61" s="96">
        <f>0.5*('no treatment'!J61+'no treatment'!J62)</f>
        <v>0</v>
      </c>
      <c r="M61" s="96">
        <f>0.5*('no treatment'!K61+'no treatment'!K62)</f>
        <v>0</v>
      </c>
      <c r="N61" s="96">
        <f>0.5*('no treatment'!L61+'no treatment'!L62)</f>
        <v>0</v>
      </c>
      <c r="O61" s="96">
        <f>0.5*('no treatment'!M61+'no treatment'!M62)</f>
        <v>0</v>
      </c>
      <c r="P61" s="96">
        <f>0.5*('no treatment'!N61+'no treatment'!N62)</f>
        <v>0</v>
      </c>
      <c r="Q61" s="96">
        <f>0.5*('no treatment'!O61+'no treatment'!O62)</f>
        <v>0</v>
      </c>
      <c r="R61" s="96">
        <f>0.5*('no treatment'!P61+'no treatment'!P62)</f>
        <v>0</v>
      </c>
      <c r="S61" s="96">
        <f>0.5*('no treatment'!Q61+'no treatment'!Q62)</f>
        <v>0</v>
      </c>
      <c r="T61" s="96">
        <f>0.5*('no treatment'!R61+'no treatment'!R62)</f>
        <v>0.38210519948708493</v>
      </c>
      <c r="U61" s="96">
        <f>0.5*('no treatment'!S61+'no treatment'!S62)</f>
        <v>0.61789480051291512</v>
      </c>
      <c r="V61" s="21">
        <f t="shared" si="16"/>
        <v>1</v>
      </c>
      <c r="Y61" s="22">
        <f t="shared" si="22"/>
        <v>0</v>
      </c>
      <c r="Z61" s="22">
        <v>0</v>
      </c>
      <c r="AA61" s="22">
        <v>0</v>
      </c>
      <c r="AB61" s="22">
        <f t="shared" si="23"/>
        <v>0</v>
      </c>
      <c r="AC61" s="22">
        <v>0</v>
      </c>
      <c r="AD61" s="22">
        <v>0</v>
      </c>
      <c r="AE61" s="22">
        <f t="shared" si="24"/>
        <v>0</v>
      </c>
      <c r="AF61" s="22">
        <v>0</v>
      </c>
      <c r="AG61" s="22">
        <v>0</v>
      </c>
      <c r="AH61" s="22">
        <f t="shared" si="25"/>
        <v>0</v>
      </c>
      <c r="AI61" s="22">
        <v>0</v>
      </c>
      <c r="AJ61" s="22">
        <v>0</v>
      </c>
      <c r="AK61" s="22">
        <v>0</v>
      </c>
      <c r="AL61" s="22">
        <f t="shared" si="10"/>
        <v>0</v>
      </c>
      <c r="AP61" s="23">
        <f t="shared" si="26"/>
        <v>0</v>
      </c>
      <c r="AQ61" s="23">
        <f t="shared" si="27"/>
        <v>0</v>
      </c>
      <c r="AR61" s="23">
        <f t="shared" si="28"/>
        <v>0</v>
      </c>
      <c r="AS61" s="23">
        <f t="shared" si="29"/>
        <v>0</v>
      </c>
      <c r="AT61" s="23">
        <f t="shared" si="15"/>
        <v>0</v>
      </c>
    </row>
    <row r="62" spans="2:46" ht="11.1" customHeight="1" x14ac:dyDescent="0.3">
      <c r="B62" s="19">
        <v>54</v>
      </c>
      <c r="C62" s="19">
        <f t="shared" si="17"/>
        <v>125</v>
      </c>
      <c r="E62" s="20">
        <f t="shared" si="18"/>
        <v>1</v>
      </c>
      <c r="F62" s="20">
        <f t="shared" si="19"/>
        <v>1</v>
      </c>
      <c r="G62" s="20">
        <f t="shared" si="20"/>
        <v>1</v>
      </c>
      <c r="H62" s="20">
        <f t="shared" si="21"/>
        <v>1</v>
      </c>
      <c r="L62" s="96">
        <f>0.5*('no treatment'!J62+'no treatment'!J63)</f>
        <v>0</v>
      </c>
      <c r="M62" s="96">
        <f>0.5*('no treatment'!K62+'no treatment'!K63)</f>
        <v>0</v>
      </c>
      <c r="N62" s="96">
        <f>0.5*('no treatment'!L62+'no treatment'!L63)</f>
        <v>0</v>
      </c>
      <c r="O62" s="96">
        <f>0.5*('no treatment'!M62+'no treatment'!M63)</f>
        <v>0</v>
      </c>
      <c r="P62" s="96">
        <f>0.5*('no treatment'!N62+'no treatment'!N63)</f>
        <v>0</v>
      </c>
      <c r="Q62" s="96">
        <f>0.5*('no treatment'!O62+'no treatment'!O63)</f>
        <v>0</v>
      </c>
      <c r="R62" s="96">
        <f>0.5*('no treatment'!P62+'no treatment'!P63)</f>
        <v>0</v>
      </c>
      <c r="S62" s="96">
        <f>0.5*('no treatment'!Q62+'no treatment'!Q63)</f>
        <v>0</v>
      </c>
      <c r="T62" s="96">
        <f>0.5*('no treatment'!R62+'no treatment'!R63)</f>
        <v>0.38210519948708493</v>
      </c>
      <c r="U62" s="96">
        <f>0.5*('no treatment'!S62+'no treatment'!S63)</f>
        <v>0.61789480051291512</v>
      </c>
      <c r="V62" s="21">
        <f t="shared" si="16"/>
        <v>1</v>
      </c>
      <c r="Y62" s="22">
        <f t="shared" si="22"/>
        <v>0</v>
      </c>
      <c r="Z62" s="22">
        <v>0</v>
      </c>
      <c r="AA62" s="22">
        <v>0</v>
      </c>
      <c r="AB62" s="22">
        <f t="shared" si="23"/>
        <v>0</v>
      </c>
      <c r="AC62" s="22">
        <v>0</v>
      </c>
      <c r="AD62" s="22">
        <v>0</v>
      </c>
      <c r="AE62" s="22">
        <f t="shared" si="24"/>
        <v>0</v>
      </c>
      <c r="AF62" s="22">
        <v>0</v>
      </c>
      <c r="AG62" s="22">
        <v>0</v>
      </c>
      <c r="AH62" s="22">
        <f t="shared" si="25"/>
        <v>0</v>
      </c>
      <c r="AI62" s="22">
        <v>0</v>
      </c>
      <c r="AJ62" s="22">
        <v>0</v>
      </c>
      <c r="AK62" s="22">
        <v>0</v>
      </c>
      <c r="AL62" s="22">
        <f t="shared" si="10"/>
        <v>0</v>
      </c>
      <c r="AP62" s="23">
        <f t="shared" si="26"/>
        <v>0</v>
      </c>
      <c r="AQ62" s="23">
        <f t="shared" si="27"/>
        <v>0</v>
      </c>
      <c r="AR62" s="23">
        <f t="shared" si="28"/>
        <v>0</v>
      </c>
      <c r="AS62" s="23">
        <f t="shared" si="29"/>
        <v>0</v>
      </c>
      <c r="AT62" s="23">
        <f t="shared" si="15"/>
        <v>0</v>
      </c>
    </row>
    <row r="63" spans="2:46" ht="11.1" customHeight="1" x14ac:dyDescent="0.3">
      <c r="B63" s="19">
        <v>55</v>
      </c>
      <c r="C63" s="19">
        <f t="shared" si="17"/>
        <v>126</v>
      </c>
      <c r="E63" s="20">
        <f t="shared" si="18"/>
        <v>1</v>
      </c>
      <c r="F63" s="20">
        <f t="shared" si="19"/>
        <v>1</v>
      </c>
      <c r="G63" s="20">
        <f t="shared" si="20"/>
        <v>1</v>
      </c>
      <c r="H63" s="20">
        <f t="shared" si="21"/>
        <v>1</v>
      </c>
      <c r="L63" s="96">
        <f>0.5*('no treatment'!J63+'no treatment'!J64)</f>
        <v>0</v>
      </c>
      <c r="M63" s="96">
        <f>0.5*('no treatment'!K63+'no treatment'!K64)</f>
        <v>0</v>
      </c>
      <c r="N63" s="96">
        <f>0.5*('no treatment'!L63+'no treatment'!L64)</f>
        <v>0</v>
      </c>
      <c r="O63" s="96">
        <f>0.5*('no treatment'!M63+'no treatment'!M64)</f>
        <v>0</v>
      </c>
      <c r="P63" s="96">
        <f>0.5*('no treatment'!N63+'no treatment'!N64)</f>
        <v>0</v>
      </c>
      <c r="Q63" s="96">
        <f>0.5*('no treatment'!O63+'no treatment'!O64)</f>
        <v>0</v>
      </c>
      <c r="R63" s="96">
        <f>0.5*('no treatment'!P63+'no treatment'!P64)</f>
        <v>0</v>
      </c>
      <c r="S63" s="96">
        <f>0.5*('no treatment'!Q63+'no treatment'!Q64)</f>
        <v>0</v>
      </c>
      <c r="T63" s="96">
        <f>0.5*('no treatment'!R63+'no treatment'!R64)</f>
        <v>0.38210519948708493</v>
      </c>
      <c r="U63" s="96">
        <f>0.5*('no treatment'!S63+'no treatment'!S64)</f>
        <v>0.61789480051291512</v>
      </c>
      <c r="V63" s="21">
        <f t="shared" si="16"/>
        <v>1</v>
      </c>
      <c r="Y63" s="22">
        <f t="shared" si="22"/>
        <v>0</v>
      </c>
      <c r="Z63" s="22">
        <v>0</v>
      </c>
      <c r="AA63" s="22">
        <v>0</v>
      </c>
      <c r="AB63" s="22">
        <f t="shared" si="23"/>
        <v>0</v>
      </c>
      <c r="AC63" s="22">
        <v>0</v>
      </c>
      <c r="AD63" s="22">
        <v>0</v>
      </c>
      <c r="AE63" s="22">
        <f t="shared" si="24"/>
        <v>0</v>
      </c>
      <c r="AF63" s="22">
        <v>0</v>
      </c>
      <c r="AG63" s="22">
        <v>0</v>
      </c>
      <c r="AH63" s="22">
        <f t="shared" si="25"/>
        <v>0</v>
      </c>
      <c r="AI63" s="22">
        <v>0</v>
      </c>
      <c r="AJ63" s="22">
        <v>0</v>
      </c>
      <c r="AK63" s="22">
        <v>0</v>
      </c>
      <c r="AL63" s="22">
        <f t="shared" si="10"/>
        <v>0</v>
      </c>
      <c r="AP63" s="23">
        <f t="shared" si="26"/>
        <v>0</v>
      </c>
      <c r="AQ63" s="23">
        <f t="shared" si="27"/>
        <v>0</v>
      </c>
      <c r="AR63" s="23">
        <f t="shared" si="28"/>
        <v>0</v>
      </c>
      <c r="AS63" s="23">
        <f t="shared" si="29"/>
        <v>0</v>
      </c>
      <c r="AT63" s="23">
        <f t="shared" si="15"/>
        <v>0</v>
      </c>
    </row>
    <row r="64" spans="2:46" ht="11.1" customHeight="1" x14ac:dyDescent="0.3">
      <c r="B64" s="19">
        <v>56</v>
      </c>
      <c r="C64" s="19">
        <f t="shared" si="17"/>
        <v>127</v>
      </c>
      <c r="E64" s="20">
        <f t="shared" si="18"/>
        <v>1</v>
      </c>
      <c r="F64" s="20">
        <f t="shared" si="19"/>
        <v>1</v>
      </c>
      <c r="G64" s="20">
        <f t="shared" si="20"/>
        <v>1</v>
      </c>
      <c r="H64" s="20">
        <f t="shared" si="21"/>
        <v>1</v>
      </c>
      <c r="L64" s="96">
        <f>0.5*('no treatment'!J64+'no treatment'!J65)</f>
        <v>0</v>
      </c>
      <c r="M64" s="96">
        <f>0.5*('no treatment'!K64+'no treatment'!K65)</f>
        <v>0</v>
      </c>
      <c r="N64" s="96">
        <f>0.5*('no treatment'!L64+'no treatment'!L65)</f>
        <v>0</v>
      </c>
      <c r="O64" s="96">
        <f>0.5*('no treatment'!M64+'no treatment'!M65)</f>
        <v>0</v>
      </c>
      <c r="P64" s="96">
        <f>0.5*('no treatment'!N64+'no treatment'!N65)</f>
        <v>0</v>
      </c>
      <c r="Q64" s="96">
        <f>0.5*('no treatment'!O64+'no treatment'!O65)</f>
        <v>0</v>
      </c>
      <c r="R64" s="96">
        <f>0.5*('no treatment'!P64+'no treatment'!P65)</f>
        <v>0</v>
      </c>
      <c r="S64" s="96">
        <f>0.5*('no treatment'!Q64+'no treatment'!Q65)</f>
        <v>0</v>
      </c>
      <c r="T64" s="96">
        <f>0.5*('no treatment'!R64+'no treatment'!R65)</f>
        <v>0.38210519948708493</v>
      </c>
      <c r="U64" s="96">
        <f>0.5*('no treatment'!S64+'no treatment'!S65)</f>
        <v>0.61789480051291512</v>
      </c>
      <c r="V64" s="21">
        <f t="shared" si="16"/>
        <v>1</v>
      </c>
      <c r="Y64" s="22">
        <f t="shared" si="22"/>
        <v>0</v>
      </c>
      <c r="Z64" s="22">
        <v>0</v>
      </c>
      <c r="AA64" s="22">
        <v>0</v>
      </c>
      <c r="AB64" s="22">
        <f t="shared" si="23"/>
        <v>0</v>
      </c>
      <c r="AC64" s="22">
        <v>0</v>
      </c>
      <c r="AD64" s="22">
        <v>0</v>
      </c>
      <c r="AE64" s="22">
        <f t="shared" si="24"/>
        <v>0</v>
      </c>
      <c r="AF64" s="22">
        <v>0</v>
      </c>
      <c r="AG64" s="22">
        <v>0</v>
      </c>
      <c r="AH64" s="22">
        <f t="shared" si="25"/>
        <v>0</v>
      </c>
      <c r="AI64" s="22">
        <v>0</v>
      </c>
      <c r="AJ64" s="22">
        <v>0</v>
      </c>
      <c r="AK64" s="22">
        <v>0</v>
      </c>
      <c r="AL64" s="22">
        <f t="shared" si="10"/>
        <v>0</v>
      </c>
      <c r="AP64" s="23">
        <f t="shared" si="26"/>
        <v>0</v>
      </c>
      <c r="AQ64" s="23">
        <f t="shared" si="27"/>
        <v>0</v>
      </c>
      <c r="AR64" s="23">
        <f t="shared" si="28"/>
        <v>0</v>
      </c>
      <c r="AS64" s="23">
        <f t="shared" si="29"/>
        <v>0</v>
      </c>
      <c r="AT64" s="23">
        <f t="shared" si="15"/>
        <v>0</v>
      </c>
    </row>
    <row r="65" spans="2:46" ht="11.1" customHeight="1" x14ac:dyDescent="0.3">
      <c r="B65" s="19">
        <v>57</v>
      </c>
      <c r="C65" s="19">
        <f t="shared" si="17"/>
        <v>128</v>
      </c>
      <c r="E65" s="20">
        <f t="shared" si="18"/>
        <v>1</v>
      </c>
      <c r="F65" s="20">
        <f t="shared" si="19"/>
        <v>1</v>
      </c>
      <c r="G65" s="20">
        <f t="shared" si="20"/>
        <v>1</v>
      </c>
      <c r="H65" s="20">
        <f t="shared" si="21"/>
        <v>1</v>
      </c>
      <c r="L65" s="96">
        <f>0.5*('no treatment'!J65+'no treatment'!J66)</f>
        <v>0</v>
      </c>
      <c r="M65" s="96">
        <f>0.5*('no treatment'!K65+'no treatment'!K66)</f>
        <v>0</v>
      </c>
      <c r="N65" s="96">
        <f>0.5*('no treatment'!L65+'no treatment'!L66)</f>
        <v>0</v>
      </c>
      <c r="O65" s="96">
        <f>0.5*('no treatment'!M65+'no treatment'!M66)</f>
        <v>0</v>
      </c>
      <c r="P65" s="96">
        <f>0.5*('no treatment'!N65+'no treatment'!N66)</f>
        <v>0</v>
      </c>
      <c r="Q65" s="96">
        <f>0.5*('no treatment'!O65+'no treatment'!O66)</f>
        <v>0</v>
      </c>
      <c r="R65" s="96">
        <f>0.5*('no treatment'!P65+'no treatment'!P66)</f>
        <v>0</v>
      </c>
      <c r="S65" s="96">
        <f>0.5*('no treatment'!Q65+'no treatment'!Q66)</f>
        <v>0</v>
      </c>
      <c r="T65" s="96">
        <f>0.5*('no treatment'!R65+'no treatment'!R66)</f>
        <v>0.38210519948708493</v>
      </c>
      <c r="U65" s="96">
        <f>0.5*('no treatment'!S65+'no treatment'!S66)</f>
        <v>0.61789480051291512</v>
      </c>
      <c r="V65" s="21">
        <f t="shared" si="16"/>
        <v>1</v>
      </c>
      <c r="Y65" s="22">
        <f t="shared" si="22"/>
        <v>0</v>
      </c>
      <c r="Z65" s="22">
        <v>0</v>
      </c>
      <c r="AA65" s="22">
        <v>0</v>
      </c>
      <c r="AB65" s="22">
        <f t="shared" si="23"/>
        <v>0</v>
      </c>
      <c r="AC65" s="22">
        <v>0</v>
      </c>
      <c r="AD65" s="22">
        <v>0</v>
      </c>
      <c r="AE65" s="22">
        <f t="shared" si="24"/>
        <v>0</v>
      </c>
      <c r="AF65" s="22">
        <v>0</v>
      </c>
      <c r="AG65" s="22">
        <v>0</v>
      </c>
      <c r="AH65" s="22">
        <f t="shared" si="25"/>
        <v>0</v>
      </c>
      <c r="AI65" s="22">
        <v>0</v>
      </c>
      <c r="AJ65" s="22">
        <v>0</v>
      </c>
      <c r="AK65" s="22">
        <v>0</v>
      </c>
      <c r="AL65" s="22">
        <f t="shared" si="10"/>
        <v>0</v>
      </c>
      <c r="AP65" s="23">
        <f t="shared" si="26"/>
        <v>0</v>
      </c>
      <c r="AQ65" s="23">
        <f t="shared" si="27"/>
        <v>0</v>
      </c>
      <c r="AR65" s="23">
        <f t="shared" si="28"/>
        <v>0</v>
      </c>
      <c r="AS65" s="23">
        <f t="shared" si="29"/>
        <v>0</v>
      </c>
      <c r="AT65" s="23">
        <f t="shared" si="15"/>
        <v>0</v>
      </c>
    </row>
    <row r="66" spans="2:46" ht="11.1" customHeight="1" x14ac:dyDescent="0.3">
      <c r="B66" s="19">
        <v>58</v>
      </c>
      <c r="C66" s="19">
        <f t="shared" si="17"/>
        <v>129</v>
      </c>
      <c r="E66" s="20">
        <f t="shared" si="18"/>
        <v>1</v>
      </c>
      <c r="F66" s="20">
        <f t="shared" si="19"/>
        <v>1</v>
      </c>
      <c r="G66" s="20">
        <f t="shared" si="20"/>
        <v>1</v>
      </c>
      <c r="H66" s="20">
        <f t="shared" si="21"/>
        <v>1</v>
      </c>
      <c r="L66" s="96">
        <f>0.5*('no treatment'!J66+'no treatment'!J67)</f>
        <v>0</v>
      </c>
      <c r="M66" s="96">
        <f>0.5*('no treatment'!K66+'no treatment'!K67)</f>
        <v>0</v>
      </c>
      <c r="N66" s="96">
        <f>0.5*('no treatment'!L66+'no treatment'!L67)</f>
        <v>0</v>
      </c>
      <c r="O66" s="96">
        <f>0.5*('no treatment'!M66+'no treatment'!M67)</f>
        <v>0</v>
      </c>
      <c r="P66" s="96">
        <f>0.5*('no treatment'!N66+'no treatment'!N67)</f>
        <v>0</v>
      </c>
      <c r="Q66" s="96">
        <f>0.5*('no treatment'!O66+'no treatment'!O67)</f>
        <v>0</v>
      </c>
      <c r="R66" s="96">
        <f>0.5*('no treatment'!P66+'no treatment'!P67)</f>
        <v>0</v>
      </c>
      <c r="S66" s="96">
        <f>0.5*('no treatment'!Q66+'no treatment'!Q67)</f>
        <v>0</v>
      </c>
      <c r="T66" s="96">
        <f>0.5*('no treatment'!R66+'no treatment'!R67)</f>
        <v>0.38210519948708493</v>
      </c>
      <c r="U66" s="96">
        <f>0.5*('no treatment'!S66+'no treatment'!S67)</f>
        <v>0.61789480051291512</v>
      </c>
      <c r="V66" s="21">
        <f t="shared" si="16"/>
        <v>1</v>
      </c>
      <c r="Y66" s="22">
        <f t="shared" si="22"/>
        <v>0</v>
      </c>
      <c r="Z66" s="22">
        <v>0</v>
      </c>
      <c r="AA66" s="22">
        <v>0</v>
      </c>
      <c r="AB66" s="22">
        <f t="shared" si="23"/>
        <v>0</v>
      </c>
      <c r="AC66" s="22">
        <v>0</v>
      </c>
      <c r="AD66" s="22">
        <v>0</v>
      </c>
      <c r="AE66" s="22">
        <f t="shared" si="24"/>
        <v>0</v>
      </c>
      <c r="AF66" s="22">
        <v>0</v>
      </c>
      <c r="AG66" s="22">
        <v>0</v>
      </c>
      <c r="AH66" s="22">
        <f t="shared" si="25"/>
        <v>0</v>
      </c>
      <c r="AI66" s="22">
        <v>0</v>
      </c>
      <c r="AJ66" s="22">
        <v>0</v>
      </c>
      <c r="AK66" s="22">
        <v>0</v>
      </c>
      <c r="AL66" s="22">
        <f t="shared" si="10"/>
        <v>0</v>
      </c>
      <c r="AP66" s="23">
        <f t="shared" si="26"/>
        <v>0</v>
      </c>
      <c r="AQ66" s="23">
        <f t="shared" si="27"/>
        <v>0</v>
      </c>
      <c r="AR66" s="23">
        <f t="shared" si="28"/>
        <v>0</v>
      </c>
      <c r="AS66" s="23">
        <f t="shared" si="29"/>
        <v>0</v>
      </c>
      <c r="AT66" s="23">
        <f t="shared" si="15"/>
        <v>0</v>
      </c>
    </row>
    <row r="67" spans="2:46" ht="11.1" customHeight="1" x14ac:dyDescent="0.3">
      <c r="B67" s="19">
        <v>59</v>
      </c>
      <c r="C67" s="19">
        <f t="shared" si="17"/>
        <v>130</v>
      </c>
      <c r="E67" s="20">
        <f t="shared" si="18"/>
        <v>1</v>
      </c>
      <c r="F67" s="20">
        <f t="shared" si="19"/>
        <v>1</v>
      </c>
      <c r="G67" s="20">
        <f t="shared" si="20"/>
        <v>1</v>
      </c>
      <c r="H67" s="20">
        <f t="shared" si="21"/>
        <v>1</v>
      </c>
      <c r="L67" s="96">
        <f>0.5*('no treatment'!J67+'no treatment'!J68)</f>
        <v>0</v>
      </c>
      <c r="M67" s="96">
        <f>0.5*('no treatment'!K67+'no treatment'!K68)</f>
        <v>0</v>
      </c>
      <c r="N67" s="96">
        <f>0.5*('no treatment'!L67+'no treatment'!L68)</f>
        <v>0</v>
      </c>
      <c r="O67" s="96">
        <f>0.5*('no treatment'!M67+'no treatment'!M68)</f>
        <v>0</v>
      </c>
      <c r="P67" s="96">
        <f>0.5*('no treatment'!N67+'no treatment'!N68)</f>
        <v>0</v>
      </c>
      <c r="Q67" s="96">
        <f>0.5*('no treatment'!O67+'no treatment'!O68)</f>
        <v>0</v>
      </c>
      <c r="R67" s="96">
        <f>0.5*('no treatment'!P67+'no treatment'!P68)</f>
        <v>0</v>
      </c>
      <c r="S67" s="96">
        <f>0.5*('no treatment'!Q67+'no treatment'!Q68)</f>
        <v>0</v>
      </c>
      <c r="T67" s="96">
        <f>0.5*('no treatment'!R67+'no treatment'!R68)</f>
        <v>0.38210519948708493</v>
      </c>
      <c r="U67" s="96">
        <f>0.5*('no treatment'!S67+'no treatment'!S68)</f>
        <v>0.61789480051291512</v>
      </c>
      <c r="V67" s="21">
        <f t="shared" si="16"/>
        <v>1</v>
      </c>
      <c r="Y67" s="22">
        <f t="shared" si="22"/>
        <v>0</v>
      </c>
      <c r="Z67" s="22">
        <v>0</v>
      </c>
      <c r="AA67" s="22">
        <v>0</v>
      </c>
      <c r="AB67" s="22">
        <f t="shared" si="23"/>
        <v>0</v>
      </c>
      <c r="AC67" s="22">
        <v>0</v>
      </c>
      <c r="AD67" s="22">
        <v>0</v>
      </c>
      <c r="AE67" s="22">
        <f t="shared" si="24"/>
        <v>0</v>
      </c>
      <c r="AF67" s="22">
        <v>0</v>
      </c>
      <c r="AG67" s="22">
        <v>0</v>
      </c>
      <c r="AH67" s="22">
        <f t="shared" si="25"/>
        <v>0</v>
      </c>
      <c r="AI67" s="22">
        <v>0</v>
      </c>
      <c r="AJ67" s="22">
        <v>0</v>
      </c>
      <c r="AK67" s="22">
        <v>0</v>
      </c>
      <c r="AL67" s="22">
        <f t="shared" si="10"/>
        <v>0</v>
      </c>
      <c r="AP67" s="23">
        <f t="shared" si="26"/>
        <v>0</v>
      </c>
      <c r="AQ67" s="23">
        <f t="shared" si="27"/>
        <v>0</v>
      </c>
      <c r="AR67" s="23">
        <f t="shared" si="28"/>
        <v>0</v>
      </c>
      <c r="AS67" s="23">
        <f t="shared" si="29"/>
        <v>0</v>
      </c>
      <c r="AT67" s="23">
        <f t="shared" si="15"/>
        <v>0</v>
      </c>
    </row>
    <row r="68" spans="2:46" ht="11.1" customHeight="1" x14ac:dyDescent="0.3">
      <c r="B68" s="19">
        <v>60</v>
      </c>
      <c r="C68" s="19">
        <f t="shared" si="17"/>
        <v>131</v>
      </c>
      <c r="E68" s="20">
        <f t="shared" si="18"/>
        <v>1</v>
      </c>
      <c r="F68" s="20">
        <f t="shared" si="19"/>
        <v>1</v>
      </c>
      <c r="G68" s="20">
        <f t="shared" si="20"/>
        <v>1</v>
      </c>
      <c r="H68" s="20">
        <f t="shared" si="21"/>
        <v>1</v>
      </c>
      <c r="L68" s="96">
        <f>0.5*('no treatment'!J68+'no treatment'!J69)</f>
        <v>0</v>
      </c>
      <c r="M68" s="96">
        <f>0.5*('no treatment'!K68+'no treatment'!K69)</f>
        <v>0</v>
      </c>
      <c r="N68" s="96">
        <f>0.5*('no treatment'!L68+'no treatment'!L69)</f>
        <v>0</v>
      </c>
      <c r="O68" s="96">
        <f>0.5*('no treatment'!M68+'no treatment'!M69)</f>
        <v>0</v>
      </c>
      <c r="P68" s="96">
        <f>0.5*('no treatment'!N68+'no treatment'!N69)</f>
        <v>0</v>
      </c>
      <c r="Q68" s="96">
        <f>0.5*('no treatment'!O68+'no treatment'!O69)</f>
        <v>0</v>
      </c>
      <c r="R68" s="96">
        <f>0.5*('no treatment'!P68+'no treatment'!P69)</f>
        <v>0</v>
      </c>
      <c r="S68" s="96">
        <f>0.5*('no treatment'!Q68+'no treatment'!Q69)</f>
        <v>0</v>
      </c>
      <c r="T68" s="96">
        <f>0.5*('no treatment'!R68+'no treatment'!R69)</f>
        <v>0.38210519948708493</v>
      </c>
      <c r="U68" s="96">
        <f>0.5*('no treatment'!S68+'no treatment'!S69)</f>
        <v>0.61789480051291512</v>
      </c>
      <c r="V68" s="21">
        <f t="shared" si="16"/>
        <v>1</v>
      </c>
      <c r="Y68" s="22">
        <f t="shared" si="22"/>
        <v>0</v>
      </c>
      <c r="Z68" s="22">
        <v>0</v>
      </c>
      <c r="AA68" s="22">
        <v>0</v>
      </c>
      <c r="AB68" s="22">
        <f t="shared" si="23"/>
        <v>0</v>
      </c>
      <c r="AC68" s="22">
        <v>0</v>
      </c>
      <c r="AD68" s="22">
        <v>0</v>
      </c>
      <c r="AE68" s="22">
        <f t="shared" si="24"/>
        <v>0</v>
      </c>
      <c r="AF68" s="22">
        <v>0</v>
      </c>
      <c r="AG68" s="22">
        <v>0</v>
      </c>
      <c r="AH68" s="22">
        <f t="shared" si="25"/>
        <v>0</v>
      </c>
      <c r="AI68" s="22">
        <v>0</v>
      </c>
      <c r="AJ68" s="22">
        <v>0</v>
      </c>
      <c r="AK68" s="22">
        <v>0</v>
      </c>
      <c r="AL68" s="22">
        <f t="shared" si="10"/>
        <v>0</v>
      </c>
      <c r="AP68" s="23">
        <f t="shared" si="26"/>
        <v>0</v>
      </c>
      <c r="AQ68" s="23">
        <f t="shared" si="27"/>
        <v>0</v>
      </c>
      <c r="AR68" s="23">
        <f t="shared" si="28"/>
        <v>0</v>
      </c>
      <c r="AS68" s="23">
        <f t="shared" si="29"/>
        <v>0</v>
      </c>
      <c r="AT68" s="23">
        <f t="shared" si="15"/>
        <v>0</v>
      </c>
    </row>
    <row r="69" spans="2:46" ht="11.1" customHeight="1" x14ac:dyDescent="0.3">
      <c r="B69" s="19">
        <v>61</v>
      </c>
      <c r="C69" s="19">
        <f t="shared" si="17"/>
        <v>132</v>
      </c>
      <c r="E69" s="20">
        <f t="shared" si="18"/>
        <v>1</v>
      </c>
      <c r="F69" s="20">
        <f t="shared" si="19"/>
        <v>1</v>
      </c>
      <c r="G69" s="20">
        <f t="shared" si="20"/>
        <v>1</v>
      </c>
      <c r="H69" s="20">
        <f t="shared" si="21"/>
        <v>1</v>
      </c>
      <c r="L69" s="96">
        <f>0.5*('no treatment'!J69+'no treatment'!J70)</f>
        <v>0</v>
      </c>
      <c r="M69" s="96">
        <f>0.5*('no treatment'!K69+'no treatment'!K70)</f>
        <v>0</v>
      </c>
      <c r="N69" s="96">
        <f>0.5*('no treatment'!L69+'no treatment'!L70)</f>
        <v>0</v>
      </c>
      <c r="O69" s="96">
        <f>0.5*('no treatment'!M69+'no treatment'!M70)</f>
        <v>0</v>
      </c>
      <c r="P69" s="96">
        <f>0.5*('no treatment'!N69+'no treatment'!N70)</f>
        <v>0</v>
      </c>
      <c r="Q69" s="96">
        <f>0.5*('no treatment'!O69+'no treatment'!O70)</f>
        <v>0</v>
      </c>
      <c r="R69" s="96">
        <f>0.5*('no treatment'!P69+'no treatment'!P70)</f>
        <v>0</v>
      </c>
      <c r="S69" s="96">
        <f>0.5*('no treatment'!Q69+'no treatment'!Q70)</f>
        <v>0</v>
      </c>
      <c r="T69" s="96">
        <f>0.5*('no treatment'!R69+'no treatment'!R70)</f>
        <v>0.38210519948708493</v>
      </c>
      <c r="U69" s="96">
        <f>0.5*('no treatment'!S69+'no treatment'!S70)</f>
        <v>0.61789480051291512</v>
      </c>
      <c r="V69" s="21">
        <f t="shared" si="16"/>
        <v>1</v>
      </c>
      <c r="Y69" s="22">
        <f t="shared" si="22"/>
        <v>0</v>
      </c>
      <c r="Z69" s="22">
        <v>0</v>
      </c>
      <c r="AA69" s="22">
        <v>0</v>
      </c>
      <c r="AB69" s="22">
        <f t="shared" si="23"/>
        <v>0</v>
      </c>
      <c r="AC69" s="22">
        <v>0</v>
      </c>
      <c r="AD69" s="22">
        <v>0</v>
      </c>
      <c r="AE69" s="22">
        <f t="shared" si="24"/>
        <v>0</v>
      </c>
      <c r="AF69" s="22">
        <v>0</v>
      </c>
      <c r="AG69" s="22">
        <v>0</v>
      </c>
      <c r="AH69" s="22">
        <f t="shared" si="25"/>
        <v>0</v>
      </c>
      <c r="AI69" s="22">
        <v>0</v>
      </c>
      <c r="AJ69" s="22">
        <v>0</v>
      </c>
      <c r="AK69" s="22">
        <v>0</v>
      </c>
      <c r="AL69" s="22">
        <f t="shared" si="10"/>
        <v>0</v>
      </c>
      <c r="AP69" s="23">
        <f t="shared" si="26"/>
        <v>0</v>
      </c>
      <c r="AQ69" s="23">
        <f t="shared" si="27"/>
        <v>0</v>
      </c>
      <c r="AR69" s="23">
        <f t="shared" si="28"/>
        <v>0</v>
      </c>
      <c r="AS69" s="23">
        <f t="shared" si="29"/>
        <v>0</v>
      </c>
      <c r="AT69" s="23">
        <f t="shared" si="15"/>
        <v>0</v>
      </c>
    </row>
    <row r="70" spans="2:46" ht="11.1" customHeight="1" x14ac:dyDescent="0.3">
      <c r="B70" s="19">
        <v>62</v>
      </c>
      <c r="C70" s="19">
        <f t="shared" si="17"/>
        <v>133</v>
      </c>
      <c r="E70" s="20">
        <f t="shared" si="18"/>
        <v>1</v>
      </c>
      <c r="F70" s="20">
        <f t="shared" si="19"/>
        <v>1</v>
      </c>
      <c r="G70" s="20">
        <f t="shared" si="20"/>
        <v>1</v>
      </c>
      <c r="H70" s="20">
        <f t="shared" si="21"/>
        <v>1</v>
      </c>
      <c r="L70" s="96">
        <f>0.5*('no treatment'!J70+'no treatment'!J71)</f>
        <v>0</v>
      </c>
      <c r="M70" s="96">
        <f>0.5*('no treatment'!K70+'no treatment'!K71)</f>
        <v>0</v>
      </c>
      <c r="N70" s="96">
        <f>0.5*('no treatment'!L70+'no treatment'!L71)</f>
        <v>0</v>
      </c>
      <c r="O70" s="96">
        <f>0.5*('no treatment'!M70+'no treatment'!M71)</f>
        <v>0</v>
      </c>
      <c r="P70" s="96">
        <f>0.5*('no treatment'!N70+'no treatment'!N71)</f>
        <v>0</v>
      </c>
      <c r="Q70" s="96">
        <f>0.5*('no treatment'!O70+'no treatment'!O71)</f>
        <v>0</v>
      </c>
      <c r="R70" s="96">
        <f>0.5*('no treatment'!P70+'no treatment'!P71)</f>
        <v>0</v>
      </c>
      <c r="S70" s="96">
        <f>0.5*('no treatment'!Q70+'no treatment'!Q71)</f>
        <v>0</v>
      </c>
      <c r="T70" s="96">
        <f>0.5*('no treatment'!R70+'no treatment'!R71)</f>
        <v>0.38210519948708493</v>
      </c>
      <c r="U70" s="96">
        <f>0.5*('no treatment'!S70+'no treatment'!S71)</f>
        <v>0.61789480051291512</v>
      </c>
      <c r="V70" s="21">
        <f t="shared" si="16"/>
        <v>1</v>
      </c>
      <c r="Y70" s="22">
        <f t="shared" si="22"/>
        <v>0</v>
      </c>
      <c r="Z70" s="22">
        <v>0</v>
      </c>
      <c r="AA70" s="22">
        <v>0</v>
      </c>
      <c r="AB70" s="22">
        <f t="shared" si="23"/>
        <v>0</v>
      </c>
      <c r="AC70" s="22">
        <v>0</v>
      </c>
      <c r="AD70" s="22">
        <v>0</v>
      </c>
      <c r="AE70" s="22">
        <f t="shared" si="24"/>
        <v>0</v>
      </c>
      <c r="AF70" s="22">
        <v>0</v>
      </c>
      <c r="AG70" s="22">
        <v>0</v>
      </c>
      <c r="AH70" s="22">
        <f t="shared" si="25"/>
        <v>0</v>
      </c>
      <c r="AI70" s="22">
        <v>0</v>
      </c>
      <c r="AJ70" s="22">
        <v>0</v>
      </c>
      <c r="AK70" s="22">
        <v>0</v>
      </c>
      <c r="AL70" s="22">
        <f t="shared" si="10"/>
        <v>0</v>
      </c>
      <c r="AP70" s="23">
        <f t="shared" si="26"/>
        <v>0</v>
      </c>
      <c r="AQ70" s="23">
        <f t="shared" si="27"/>
        <v>0</v>
      </c>
      <c r="AR70" s="23">
        <f t="shared" si="28"/>
        <v>0</v>
      </c>
      <c r="AS70" s="23">
        <f t="shared" si="29"/>
        <v>0</v>
      </c>
      <c r="AT70" s="23">
        <f t="shared" si="15"/>
        <v>0</v>
      </c>
    </row>
    <row r="71" spans="2:46" ht="11.1" customHeight="1" x14ac:dyDescent="0.3">
      <c r="B71" s="19">
        <v>63</v>
      </c>
      <c r="C71" s="19">
        <f t="shared" si="17"/>
        <v>134</v>
      </c>
      <c r="E71" s="20">
        <f t="shared" si="18"/>
        <v>1</v>
      </c>
      <c r="F71" s="20">
        <f t="shared" si="19"/>
        <v>1</v>
      </c>
      <c r="G71" s="20">
        <f t="shared" si="20"/>
        <v>1</v>
      </c>
      <c r="H71" s="20">
        <f t="shared" si="21"/>
        <v>1</v>
      </c>
      <c r="L71" s="96">
        <f>0.5*('no treatment'!J71+'no treatment'!J72)</f>
        <v>0</v>
      </c>
      <c r="M71" s="96">
        <f>0.5*('no treatment'!K71+'no treatment'!K72)</f>
        <v>0</v>
      </c>
      <c r="N71" s="96">
        <f>0.5*('no treatment'!L71+'no treatment'!L72)</f>
        <v>0</v>
      </c>
      <c r="O71" s="96">
        <f>0.5*('no treatment'!M71+'no treatment'!M72)</f>
        <v>0</v>
      </c>
      <c r="P71" s="96">
        <f>0.5*('no treatment'!N71+'no treatment'!N72)</f>
        <v>0</v>
      </c>
      <c r="Q71" s="96">
        <f>0.5*('no treatment'!O71+'no treatment'!O72)</f>
        <v>0</v>
      </c>
      <c r="R71" s="96">
        <f>0.5*('no treatment'!P71+'no treatment'!P72)</f>
        <v>0</v>
      </c>
      <c r="S71" s="96">
        <f>0.5*('no treatment'!Q71+'no treatment'!Q72)</f>
        <v>0</v>
      </c>
      <c r="T71" s="96">
        <f>0.5*('no treatment'!R71+'no treatment'!R72)</f>
        <v>0.38210519948708493</v>
      </c>
      <c r="U71" s="96">
        <f>0.5*('no treatment'!S71+'no treatment'!S72)</f>
        <v>0.61789480051291512</v>
      </c>
      <c r="V71" s="21">
        <f t="shared" si="16"/>
        <v>1</v>
      </c>
      <c r="Y71" s="22">
        <f t="shared" si="22"/>
        <v>0</v>
      </c>
      <c r="Z71" s="22">
        <v>0</v>
      </c>
      <c r="AA71" s="22">
        <v>0</v>
      </c>
      <c r="AB71" s="22">
        <f t="shared" si="23"/>
        <v>0</v>
      </c>
      <c r="AC71" s="22">
        <v>0</v>
      </c>
      <c r="AD71" s="22">
        <v>0</v>
      </c>
      <c r="AE71" s="22">
        <f t="shared" si="24"/>
        <v>0</v>
      </c>
      <c r="AF71" s="22">
        <v>0</v>
      </c>
      <c r="AG71" s="22">
        <v>0</v>
      </c>
      <c r="AH71" s="22">
        <f t="shared" si="25"/>
        <v>0</v>
      </c>
      <c r="AI71" s="22">
        <v>0</v>
      </c>
      <c r="AJ71" s="22">
        <v>0</v>
      </c>
      <c r="AK71" s="22">
        <v>0</v>
      </c>
      <c r="AL71" s="22">
        <f t="shared" si="10"/>
        <v>0</v>
      </c>
      <c r="AP71" s="23">
        <f t="shared" si="26"/>
        <v>0</v>
      </c>
      <c r="AQ71" s="23">
        <f t="shared" si="27"/>
        <v>0</v>
      </c>
      <c r="AR71" s="23">
        <f t="shared" si="28"/>
        <v>0</v>
      </c>
      <c r="AS71" s="23">
        <f t="shared" si="29"/>
        <v>0</v>
      </c>
      <c r="AT71" s="23">
        <f t="shared" si="15"/>
        <v>0</v>
      </c>
    </row>
    <row r="72" spans="2:46" ht="11.1" customHeight="1" x14ac:dyDescent="0.3">
      <c r="B72" s="19">
        <v>64</v>
      </c>
      <c r="C72" s="19">
        <f t="shared" ref="C72:C77" si="30">start_age+Alz_cycle</f>
        <v>135</v>
      </c>
      <c r="E72" s="20">
        <f t="shared" ref="E72:E77" si="31">VLOOKUP(Alz_age,table_mort_MCI,2)</f>
        <v>1</v>
      </c>
      <c r="F72" s="20">
        <f t="shared" ref="F72:F77" si="32">VLOOKUP(Alz_age,table_mort_Mild,2)</f>
        <v>1</v>
      </c>
      <c r="G72" s="20">
        <f t="shared" ref="G72:G77" si="33">VLOOKUP(Alz_age,table_mort_Moderate,2)</f>
        <v>1</v>
      </c>
      <c r="H72" s="20">
        <f t="shared" ref="H72:H77" si="34">VLOOKUP(Alz_age,table_mort_Severe,2)</f>
        <v>1</v>
      </c>
      <c r="L72" s="96">
        <f>0.5*('no treatment'!J72+'no treatment'!J73)</f>
        <v>0</v>
      </c>
      <c r="M72" s="96">
        <f>0.5*('no treatment'!K72+'no treatment'!K73)</f>
        <v>0</v>
      </c>
      <c r="N72" s="96">
        <f>0.5*('no treatment'!L72+'no treatment'!L73)</f>
        <v>0</v>
      </c>
      <c r="O72" s="96">
        <f>0.5*('no treatment'!M72+'no treatment'!M73)</f>
        <v>0</v>
      </c>
      <c r="P72" s="96">
        <f>0.5*('no treatment'!N72+'no treatment'!N73)</f>
        <v>0</v>
      </c>
      <c r="Q72" s="96">
        <f>0.5*('no treatment'!O72+'no treatment'!O73)</f>
        <v>0</v>
      </c>
      <c r="R72" s="96">
        <f>0.5*('no treatment'!P72+'no treatment'!P73)</f>
        <v>0</v>
      </c>
      <c r="S72" s="96">
        <f>0.5*('no treatment'!Q72+'no treatment'!Q73)</f>
        <v>0</v>
      </c>
      <c r="T72" s="96">
        <f>0.5*('no treatment'!R72+'no treatment'!R73)</f>
        <v>0.38210519948708493</v>
      </c>
      <c r="U72" s="96">
        <f>0.5*('no treatment'!S72+'no treatment'!S73)</f>
        <v>0.61789480051291512</v>
      </c>
      <c r="V72" s="21">
        <f t="shared" si="16"/>
        <v>1</v>
      </c>
      <c r="Y72" s="22">
        <f t="shared" ref="Y72:Y77" si="35">((L72*c_Com_MCI)+(M72*c_LTC_MCI))/(1+disc_rate_costs)^Alz_cycle</f>
        <v>0</v>
      </c>
      <c r="Z72" s="22">
        <v>0</v>
      </c>
      <c r="AA72" s="22">
        <v>0</v>
      </c>
      <c r="AB72" s="22">
        <f t="shared" ref="AB72:AB77" si="36">(N72*c_Com_Mild+O72*c_LTC_Mild)/(1+disc_rate_costs)^Alz_cycle</f>
        <v>0</v>
      </c>
      <c r="AC72" s="22">
        <v>0</v>
      </c>
      <c r="AD72" s="22">
        <v>0</v>
      </c>
      <c r="AE72" s="22">
        <f t="shared" ref="AE72:AE77" si="37">(P72*c_Com_Moderate+Q72*c_LTC_Moderate)/(1+disc_rate_costs)^Alz_cycle</f>
        <v>0</v>
      </c>
      <c r="AF72" s="22">
        <v>0</v>
      </c>
      <c r="AG72" s="22">
        <v>0</v>
      </c>
      <c r="AH72" s="22">
        <f t="shared" ref="AH72:AH77" si="38">(R72*c_Com_Severe+S72*c_LTC_Severe)/(1+disc_rate_costs)^Alz_cycle</f>
        <v>0</v>
      </c>
      <c r="AI72" s="22">
        <v>0</v>
      </c>
      <c r="AJ72" s="22">
        <v>0</v>
      </c>
      <c r="AK72" s="22">
        <v>0</v>
      </c>
      <c r="AL72" s="22">
        <f t="shared" ref="AL72:AL77" si="39">SUM(Y72:AK72)</f>
        <v>0</v>
      </c>
      <c r="AP72" s="23">
        <f t="shared" ref="AP72:AP77" si="40">(L72*U_Com_MCI+M72*U_LTC_MCI)/(1+disc_rate_effects)^Alz_cycle</f>
        <v>0</v>
      </c>
      <c r="AQ72" s="23">
        <f t="shared" ref="AQ72:AQ77" si="41">(N72*U_Com_Mild+O72*U_LTC_Mild)/(1+disc_rate_effects)^Alz_cycle</f>
        <v>0</v>
      </c>
      <c r="AR72" s="23">
        <f t="shared" ref="AR72:AR77" si="42">(P72*U_Com_Moderate+Q72*U_LTC_Moderate)/(1+disc_rate_effects)^Alz_cycle</f>
        <v>0</v>
      </c>
      <c r="AS72" s="23">
        <f t="shared" ref="AS72:AS77" si="43">(R72*U_Com_Severe+S72*U_LTC_Severe)/(1+disc_rate_effects)^Alz_cycle</f>
        <v>0</v>
      </c>
      <c r="AT72" s="23">
        <f t="shared" si="15"/>
        <v>0</v>
      </c>
    </row>
    <row r="73" spans="2:46" ht="11.1" customHeight="1" x14ac:dyDescent="0.3">
      <c r="B73" s="19">
        <v>65</v>
      </c>
      <c r="C73" s="19">
        <f t="shared" si="30"/>
        <v>136</v>
      </c>
      <c r="E73" s="20">
        <f t="shared" si="31"/>
        <v>1</v>
      </c>
      <c r="F73" s="20">
        <f t="shared" si="32"/>
        <v>1</v>
      </c>
      <c r="G73" s="20">
        <f t="shared" si="33"/>
        <v>1</v>
      </c>
      <c r="H73" s="20">
        <f t="shared" si="34"/>
        <v>1</v>
      </c>
      <c r="L73" s="96">
        <f>0.5*('no treatment'!J73+'no treatment'!J74)</f>
        <v>0</v>
      </c>
      <c r="M73" s="96">
        <f>0.5*('no treatment'!K73+'no treatment'!K74)</f>
        <v>0</v>
      </c>
      <c r="N73" s="96">
        <f>0.5*('no treatment'!L73+'no treatment'!L74)</f>
        <v>0</v>
      </c>
      <c r="O73" s="96">
        <f>0.5*('no treatment'!M73+'no treatment'!M74)</f>
        <v>0</v>
      </c>
      <c r="P73" s="96">
        <f>0.5*('no treatment'!N73+'no treatment'!N74)</f>
        <v>0</v>
      </c>
      <c r="Q73" s="96">
        <f>0.5*('no treatment'!O73+'no treatment'!O74)</f>
        <v>0</v>
      </c>
      <c r="R73" s="96">
        <f>0.5*('no treatment'!P73+'no treatment'!P74)</f>
        <v>0</v>
      </c>
      <c r="S73" s="96">
        <f>0.5*('no treatment'!Q73+'no treatment'!Q74)</f>
        <v>0</v>
      </c>
      <c r="T73" s="96">
        <f>0.5*('no treatment'!R73+'no treatment'!R74)</f>
        <v>0.38210519948708493</v>
      </c>
      <c r="U73" s="96">
        <f>0.5*('no treatment'!S73+'no treatment'!S74)</f>
        <v>0.61789480051291512</v>
      </c>
      <c r="V73" s="21">
        <f t="shared" si="16"/>
        <v>1</v>
      </c>
      <c r="Y73" s="22">
        <f t="shared" si="35"/>
        <v>0</v>
      </c>
      <c r="Z73" s="22">
        <v>0</v>
      </c>
      <c r="AA73" s="22">
        <v>0</v>
      </c>
      <c r="AB73" s="22">
        <f t="shared" si="36"/>
        <v>0</v>
      </c>
      <c r="AC73" s="22">
        <v>0</v>
      </c>
      <c r="AD73" s="22">
        <v>0</v>
      </c>
      <c r="AE73" s="22">
        <f t="shared" si="37"/>
        <v>0</v>
      </c>
      <c r="AF73" s="22">
        <v>0</v>
      </c>
      <c r="AG73" s="22">
        <v>0</v>
      </c>
      <c r="AH73" s="22">
        <f t="shared" si="38"/>
        <v>0</v>
      </c>
      <c r="AI73" s="22">
        <v>0</v>
      </c>
      <c r="AJ73" s="22">
        <v>0</v>
      </c>
      <c r="AK73" s="22">
        <v>0</v>
      </c>
      <c r="AL73" s="22">
        <f t="shared" si="39"/>
        <v>0</v>
      </c>
      <c r="AP73" s="23">
        <f t="shared" si="40"/>
        <v>0</v>
      </c>
      <c r="AQ73" s="23">
        <f t="shared" si="41"/>
        <v>0</v>
      </c>
      <c r="AR73" s="23">
        <f t="shared" si="42"/>
        <v>0</v>
      </c>
      <c r="AS73" s="23">
        <f t="shared" si="43"/>
        <v>0</v>
      </c>
      <c r="AT73" s="23">
        <f>SUM(AP73:AS73)</f>
        <v>0</v>
      </c>
    </row>
    <row r="74" spans="2:46" ht="11.1" customHeight="1" x14ac:dyDescent="0.3">
      <c r="B74" s="19">
        <v>66</v>
      </c>
      <c r="C74" s="19">
        <f t="shared" si="30"/>
        <v>137</v>
      </c>
      <c r="E74" s="20">
        <f t="shared" si="31"/>
        <v>1</v>
      </c>
      <c r="F74" s="20">
        <f t="shared" si="32"/>
        <v>1</v>
      </c>
      <c r="G74" s="20">
        <f t="shared" si="33"/>
        <v>1</v>
      </c>
      <c r="H74" s="20">
        <f t="shared" si="34"/>
        <v>1</v>
      </c>
      <c r="L74" s="96">
        <f>0.5*('no treatment'!J74+'no treatment'!J75)</f>
        <v>0</v>
      </c>
      <c r="M74" s="96">
        <f>0.5*('no treatment'!K74+'no treatment'!K75)</f>
        <v>0</v>
      </c>
      <c r="N74" s="96">
        <f>0.5*('no treatment'!L74+'no treatment'!L75)</f>
        <v>0</v>
      </c>
      <c r="O74" s="96">
        <f>0.5*('no treatment'!M74+'no treatment'!M75)</f>
        <v>0</v>
      </c>
      <c r="P74" s="96">
        <f>0.5*('no treatment'!N74+'no treatment'!N75)</f>
        <v>0</v>
      </c>
      <c r="Q74" s="96">
        <f>0.5*('no treatment'!O74+'no treatment'!O75)</f>
        <v>0</v>
      </c>
      <c r="R74" s="96">
        <f>0.5*('no treatment'!P74+'no treatment'!P75)</f>
        <v>0</v>
      </c>
      <c r="S74" s="96">
        <f>0.5*('no treatment'!Q74+'no treatment'!Q75)</f>
        <v>0</v>
      </c>
      <c r="T74" s="96">
        <f>0.5*('no treatment'!R74+'no treatment'!R75)</f>
        <v>0.38210519948708493</v>
      </c>
      <c r="U74" s="96">
        <f>0.5*('no treatment'!S74+'no treatment'!S75)</f>
        <v>0.61789480051291512</v>
      </c>
      <c r="V74" s="21">
        <f>SUM(L74:U74)</f>
        <v>1</v>
      </c>
      <c r="Y74" s="22">
        <f t="shared" si="35"/>
        <v>0</v>
      </c>
      <c r="Z74" s="22">
        <v>0</v>
      </c>
      <c r="AA74" s="22">
        <v>0</v>
      </c>
      <c r="AB74" s="22">
        <f t="shared" si="36"/>
        <v>0</v>
      </c>
      <c r="AC74" s="22">
        <v>0</v>
      </c>
      <c r="AD74" s="22">
        <v>0</v>
      </c>
      <c r="AE74" s="22">
        <f t="shared" si="37"/>
        <v>0</v>
      </c>
      <c r="AF74" s="22">
        <v>0</v>
      </c>
      <c r="AG74" s="22">
        <v>0</v>
      </c>
      <c r="AH74" s="22">
        <f t="shared" si="38"/>
        <v>0</v>
      </c>
      <c r="AI74" s="22">
        <v>0</v>
      </c>
      <c r="AJ74" s="22">
        <v>0</v>
      </c>
      <c r="AK74" s="22">
        <v>0</v>
      </c>
      <c r="AL74" s="22">
        <f t="shared" si="39"/>
        <v>0</v>
      </c>
      <c r="AP74" s="23">
        <f t="shared" si="40"/>
        <v>0</v>
      </c>
      <c r="AQ74" s="23">
        <f t="shared" si="41"/>
        <v>0</v>
      </c>
      <c r="AR74" s="23">
        <f t="shared" si="42"/>
        <v>0</v>
      </c>
      <c r="AS74" s="23">
        <f t="shared" si="43"/>
        <v>0</v>
      </c>
      <c r="AT74" s="23">
        <f>SUM(AP74:AS74)</f>
        <v>0</v>
      </c>
    </row>
    <row r="75" spans="2:46" ht="11.1" customHeight="1" x14ac:dyDescent="0.3">
      <c r="B75" s="19">
        <v>67</v>
      </c>
      <c r="C75" s="19">
        <f t="shared" si="30"/>
        <v>138</v>
      </c>
      <c r="E75" s="20">
        <f t="shared" si="31"/>
        <v>1</v>
      </c>
      <c r="F75" s="20">
        <f t="shared" si="32"/>
        <v>1</v>
      </c>
      <c r="G75" s="20">
        <f t="shared" si="33"/>
        <v>1</v>
      </c>
      <c r="H75" s="20">
        <f t="shared" si="34"/>
        <v>1</v>
      </c>
      <c r="L75" s="96">
        <f>0.5*('no treatment'!J75+'no treatment'!J76)</f>
        <v>0</v>
      </c>
      <c r="M75" s="96">
        <f>0.5*('no treatment'!K75+'no treatment'!K76)</f>
        <v>0</v>
      </c>
      <c r="N75" s="96">
        <f>0.5*('no treatment'!L75+'no treatment'!L76)</f>
        <v>0</v>
      </c>
      <c r="O75" s="96">
        <f>0.5*('no treatment'!M75+'no treatment'!M76)</f>
        <v>0</v>
      </c>
      <c r="P75" s="96">
        <f>0.5*('no treatment'!N75+'no treatment'!N76)</f>
        <v>0</v>
      </c>
      <c r="Q75" s="96">
        <f>0.5*('no treatment'!O75+'no treatment'!O76)</f>
        <v>0</v>
      </c>
      <c r="R75" s="96">
        <f>0.5*('no treatment'!P75+'no treatment'!P76)</f>
        <v>0</v>
      </c>
      <c r="S75" s="96">
        <f>0.5*('no treatment'!Q75+'no treatment'!Q76)</f>
        <v>0</v>
      </c>
      <c r="T75" s="96">
        <f>0.5*('no treatment'!R75+'no treatment'!R76)</f>
        <v>0.38210519948708493</v>
      </c>
      <c r="U75" s="96">
        <f>0.5*('no treatment'!S75+'no treatment'!S76)</f>
        <v>0.61789480051291512</v>
      </c>
      <c r="V75" s="21">
        <f>SUM(L75:U75)</f>
        <v>1</v>
      </c>
      <c r="Y75" s="22">
        <f t="shared" si="35"/>
        <v>0</v>
      </c>
      <c r="Z75" s="22">
        <v>0</v>
      </c>
      <c r="AA75" s="22">
        <v>0</v>
      </c>
      <c r="AB75" s="22">
        <f t="shared" si="36"/>
        <v>0</v>
      </c>
      <c r="AC75" s="22">
        <v>0</v>
      </c>
      <c r="AD75" s="22">
        <v>0</v>
      </c>
      <c r="AE75" s="22">
        <f t="shared" si="37"/>
        <v>0</v>
      </c>
      <c r="AF75" s="22">
        <v>0</v>
      </c>
      <c r="AG75" s="22">
        <v>0</v>
      </c>
      <c r="AH75" s="22">
        <f t="shared" si="38"/>
        <v>0</v>
      </c>
      <c r="AI75" s="22">
        <v>0</v>
      </c>
      <c r="AJ75" s="22">
        <v>0</v>
      </c>
      <c r="AK75" s="22">
        <v>0</v>
      </c>
      <c r="AL75" s="22">
        <f t="shared" si="39"/>
        <v>0</v>
      </c>
      <c r="AP75" s="23">
        <f t="shared" si="40"/>
        <v>0</v>
      </c>
      <c r="AQ75" s="23">
        <f t="shared" si="41"/>
        <v>0</v>
      </c>
      <c r="AR75" s="23">
        <f t="shared" si="42"/>
        <v>0</v>
      </c>
      <c r="AS75" s="23">
        <f t="shared" si="43"/>
        <v>0</v>
      </c>
      <c r="AT75" s="23">
        <f>SUM(AP75:AS75)</f>
        <v>0</v>
      </c>
    </row>
    <row r="76" spans="2:46" ht="11.1" customHeight="1" x14ac:dyDescent="0.3">
      <c r="B76" s="19">
        <v>68</v>
      </c>
      <c r="C76" s="19">
        <f t="shared" si="30"/>
        <v>139</v>
      </c>
      <c r="E76" s="20">
        <f t="shared" si="31"/>
        <v>1</v>
      </c>
      <c r="F76" s="20">
        <f t="shared" si="32"/>
        <v>1</v>
      </c>
      <c r="G76" s="20">
        <f t="shared" si="33"/>
        <v>1</v>
      </c>
      <c r="H76" s="20">
        <f t="shared" si="34"/>
        <v>1</v>
      </c>
      <c r="L76" s="96">
        <f>0.5*('no treatment'!J76+'no treatment'!J77)</f>
        <v>0</v>
      </c>
      <c r="M76" s="96">
        <f>0.5*('no treatment'!K76+'no treatment'!K77)</f>
        <v>0</v>
      </c>
      <c r="N76" s="96">
        <f>0.5*('no treatment'!L76+'no treatment'!L77)</f>
        <v>0</v>
      </c>
      <c r="O76" s="96">
        <f>0.5*('no treatment'!M76+'no treatment'!M77)</f>
        <v>0</v>
      </c>
      <c r="P76" s="96">
        <f>0.5*('no treatment'!N76+'no treatment'!N77)</f>
        <v>0</v>
      </c>
      <c r="Q76" s="96">
        <f>0.5*('no treatment'!O76+'no treatment'!O77)</f>
        <v>0</v>
      </c>
      <c r="R76" s="96">
        <f>0.5*('no treatment'!P76+'no treatment'!P77)</f>
        <v>0</v>
      </c>
      <c r="S76" s="96">
        <f>0.5*('no treatment'!Q76+'no treatment'!Q77)</f>
        <v>0</v>
      </c>
      <c r="T76" s="96">
        <f>0.5*('no treatment'!R76+'no treatment'!R77)</f>
        <v>0.38210519948708493</v>
      </c>
      <c r="U76" s="96">
        <f>0.5*('no treatment'!S76+'no treatment'!S77)</f>
        <v>0.61789480051291512</v>
      </c>
      <c r="V76" s="21">
        <f>SUM(L76:U76)</f>
        <v>1</v>
      </c>
      <c r="Y76" s="22">
        <f t="shared" si="35"/>
        <v>0</v>
      </c>
      <c r="Z76" s="22">
        <v>0</v>
      </c>
      <c r="AA76" s="22">
        <v>0</v>
      </c>
      <c r="AB76" s="22">
        <f t="shared" si="36"/>
        <v>0</v>
      </c>
      <c r="AC76" s="22">
        <v>0</v>
      </c>
      <c r="AD76" s="22">
        <v>0</v>
      </c>
      <c r="AE76" s="22">
        <f t="shared" si="37"/>
        <v>0</v>
      </c>
      <c r="AF76" s="22">
        <v>0</v>
      </c>
      <c r="AG76" s="22">
        <v>0</v>
      </c>
      <c r="AH76" s="22">
        <f t="shared" si="38"/>
        <v>0</v>
      </c>
      <c r="AI76" s="22">
        <v>0</v>
      </c>
      <c r="AJ76" s="22">
        <v>0</v>
      </c>
      <c r="AK76" s="22">
        <v>0</v>
      </c>
      <c r="AL76" s="22">
        <f t="shared" si="39"/>
        <v>0</v>
      </c>
      <c r="AP76" s="23">
        <f t="shared" si="40"/>
        <v>0</v>
      </c>
      <c r="AQ76" s="23">
        <f t="shared" si="41"/>
        <v>0</v>
      </c>
      <c r="AR76" s="23">
        <f t="shared" si="42"/>
        <v>0</v>
      </c>
      <c r="AS76" s="23">
        <f t="shared" si="43"/>
        <v>0</v>
      </c>
      <c r="AT76" s="23">
        <f>SUM(AP76:AS76)</f>
        <v>0</v>
      </c>
    </row>
    <row r="77" spans="2:46" ht="11.1" customHeight="1" x14ac:dyDescent="0.3">
      <c r="B77" s="19">
        <v>69</v>
      </c>
      <c r="C77" s="19">
        <f t="shared" si="30"/>
        <v>140</v>
      </c>
      <c r="E77" s="20">
        <f t="shared" si="31"/>
        <v>1</v>
      </c>
      <c r="F77" s="20">
        <f t="shared" si="32"/>
        <v>1</v>
      </c>
      <c r="G77" s="20">
        <f t="shared" si="33"/>
        <v>1</v>
      </c>
      <c r="H77" s="20">
        <f t="shared" si="34"/>
        <v>1</v>
      </c>
      <c r="L77" s="96">
        <f>0.5*('no treatment'!J77+'no treatment'!J78)</f>
        <v>0</v>
      </c>
      <c r="M77" s="96">
        <f>0.5*('no treatment'!K77+'no treatment'!K78)</f>
        <v>0</v>
      </c>
      <c r="N77" s="96">
        <f>0.5*('no treatment'!L77+'no treatment'!L78)</f>
        <v>0</v>
      </c>
      <c r="O77" s="96">
        <f>0.5*('no treatment'!M77+'no treatment'!M78)</f>
        <v>0</v>
      </c>
      <c r="P77" s="96">
        <f>0.5*('no treatment'!N77+'no treatment'!N78)</f>
        <v>0</v>
      </c>
      <c r="Q77" s="96">
        <f>0.5*('no treatment'!O77+'no treatment'!O78)</f>
        <v>0</v>
      </c>
      <c r="R77" s="96">
        <f>0.5*('no treatment'!P77+'no treatment'!P78)</f>
        <v>0</v>
      </c>
      <c r="S77" s="96">
        <f>0.5*('no treatment'!Q77+'no treatment'!Q78)</f>
        <v>0</v>
      </c>
      <c r="T77" s="96">
        <f>0.5*('no treatment'!R77+'no treatment'!R78)</f>
        <v>0.38210519948708493</v>
      </c>
      <c r="U77" s="96">
        <f>0.5*('no treatment'!S77+'no treatment'!S78)</f>
        <v>0.61789480051291512</v>
      </c>
      <c r="V77" s="21">
        <f>SUM(L77:U77)</f>
        <v>1</v>
      </c>
      <c r="Y77" s="22">
        <f t="shared" si="35"/>
        <v>0</v>
      </c>
      <c r="Z77" s="22">
        <v>0</v>
      </c>
      <c r="AA77" s="22">
        <v>0</v>
      </c>
      <c r="AB77" s="22">
        <f t="shared" si="36"/>
        <v>0</v>
      </c>
      <c r="AC77" s="22">
        <v>0</v>
      </c>
      <c r="AD77" s="22">
        <v>0</v>
      </c>
      <c r="AE77" s="22">
        <f t="shared" si="37"/>
        <v>0</v>
      </c>
      <c r="AF77" s="22">
        <v>0</v>
      </c>
      <c r="AG77" s="22">
        <v>0</v>
      </c>
      <c r="AH77" s="22">
        <f t="shared" si="38"/>
        <v>0</v>
      </c>
      <c r="AI77" s="22">
        <v>0</v>
      </c>
      <c r="AJ77" s="22">
        <v>0</v>
      </c>
      <c r="AK77" s="22">
        <v>0</v>
      </c>
      <c r="AL77" s="22">
        <f t="shared" si="39"/>
        <v>0</v>
      </c>
      <c r="AP77" s="23">
        <f t="shared" si="40"/>
        <v>0</v>
      </c>
      <c r="AQ77" s="23">
        <f t="shared" si="41"/>
        <v>0</v>
      </c>
      <c r="AR77" s="23">
        <f t="shared" si="42"/>
        <v>0</v>
      </c>
      <c r="AS77" s="23">
        <f t="shared" si="43"/>
        <v>0</v>
      </c>
      <c r="AT77" s="23">
        <f>SUM(AP77:AS77)</f>
        <v>0</v>
      </c>
    </row>
  </sheetData>
  <mergeCells count="10">
    <mergeCell ref="Y4:AA4"/>
    <mergeCell ref="AB4:AD4"/>
    <mergeCell ref="AE4:AG4"/>
    <mergeCell ref="AH4:AJ4"/>
    <mergeCell ref="E5:H5"/>
    <mergeCell ref="L5:M5"/>
    <mergeCell ref="N5:O5"/>
    <mergeCell ref="P5:Q5"/>
    <mergeCell ref="R5:S5"/>
    <mergeCell ref="T5:U5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1"/>
  <dimension ref="B1:BJ84"/>
  <sheetViews>
    <sheetView zoomScale="70" zoomScaleNormal="70" workbookViewId="0">
      <selection activeCell="BP28" sqref="BP28"/>
    </sheetView>
  </sheetViews>
  <sheetFormatPr defaultColWidth="9.09765625" defaultRowHeight="11.1" customHeight="1" outlineLevelCol="1" x14ac:dyDescent="0.4"/>
  <cols>
    <col min="1" max="1" width="2.09765625" style="4" customWidth="1"/>
    <col min="2" max="2" width="6.59765625" style="4" customWidth="1"/>
    <col min="3" max="3" width="6.09765625" style="4" customWidth="1"/>
    <col min="4" max="4" width="1.59765625" style="4" customWidth="1"/>
    <col min="5" max="5" width="1.09765625" style="1" customWidth="1"/>
    <col min="6" max="6" width="7.59765625" style="4" customWidth="1" outlineLevel="1"/>
    <col min="7" max="7" width="7" style="4" customWidth="1" outlineLevel="1"/>
    <col min="8" max="8" width="8.5" style="4" bestFit="1" customWidth="1" outlineLevel="1"/>
    <col min="9" max="9" width="7.09765625" style="38" bestFit="1" customWidth="1"/>
    <col min="10" max="10" width="2.09765625" style="4" customWidth="1"/>
    <col min="11" max="11" width="1.09765625" style="1" customWidth="1"/>
    <col min="12" max="12" width="2.09765625" style="4" customWidth="1"/>
    <col min="13" max="32" width="9.59765625" style="4" customWidth="1"/>
    <col min="33" max="33" width="1.59765625" style="4" customWidth="1"/>
    <col min="34" max="34" width="10" style="4" customWidth="1"/>
    <col min="35" max="35" width="1.09765625" style="1" customWidth="1"/>
    <col min="36" max="36" width="2.09765625" style="4" customWidth="1"/>
    <col min="37" max="37" width="10.3984375" style="4" bestFit="1" customWidth="1" outlineLevel="1"/>
    <col min="38" max="38" width="9.59765625" style="4" customWidth="1" outlineLevel="1"/>
    <col min="39" max="39" width="11.09765625" style="4" customWidth="1" outlineLevel="1"/>
    <col min="40" max="40" width="8.59765625" style="4" bestFit="1" customWidth="1" outlineLevel="1"/>
    <col min="41" max="41" width="10" style="4" bestFit="1" customWidth="1" outlineLevel="1"/>
    <col min="42" max="43" width="9.09765625" style="4" customWidth="1" outlineLevel="1"/>
    <col min="44" max="44" width="7.59765625" style="4" customWidth="1" outlineLevel="1"/>
    <col min="45" max="51" width="9.09765625" style="4" customWidth="1" outlineLevel="1"/>
    <col min="52" max="52" width="10.8984375" style="4" bestFit="1" customWidth="1" outlineLevel="1"/>
    <col min="53" max="53" width="1.59765625" style="4" customWidth="1"/>
    <col min="54" max="54" width="1.09765625" style="1" customWidth="1"/>
    <col min="55" max="55" width="2.09765625" style="4" customWidth="1"/>
    <col min="56" max="60" width="9.09765625" style="4"/>
    <col min="61" max="61" width="1.59765625" style="4" customWidth="1"/>
    <col min="62" max="62" width="1.09765625" style="1" customWidth="1"/>
    <col min="63" max="63" width="2.09765625" style="4" customWidth="1"/>
    <col min="64" max="16384" width="9.09765625" style="4"/>
  </cols>
  <sheetData>
    <row r="1" spans="2:60" s="1" customFormat="1" ht="6.75" customHeight="1" x14ac:dyDescent="0.3">
      <c r="S1" s="1" t="s">
        <v>259</v>
      </c>
      <c r="AC1" s="1" t="s">
        <v>259</v>
      </c>
    </row>
    <row r="2" spans="2:60" s="1" customFormat="1" ht="15" customHeight="1" x14ac:dyDescent="0.45">
      <c r="M2" s="10" t="s">
        <v>26</v>
      </c>
      <c r="P2" s="99"/>
      <c r="R2" s="99"/>
      <c r="S2" s="10"/>
      <c r="W2" s="10"/>
      <c r="AC2" s="10"/>
      <c r="AK2" s="10" t="s">
        <v>27</v>
      </c>
      <c r="AL2" s="145"/>
      <c r="AM2" s="145"/>
      <c r="AN2" s="145"/>
      <c r="BD2" s="10" t="s">
        <v>28</v>
      </c>
    </row>
    <row r="3" spans="2:60" s="1" customFormat="1" ht="5.25" customHeight="1" x14ac:dyDescent="0.3"/>
    <row r="4" spans="2:60" s="1" customFormat="1" ht="11.1" customHeight="1" x14ac:dyDescent="0.3">
      <c r="M4" s="290" t="s">
        <v>268</v>
      </c>
      <c r="N4" s="288"/>
      <c r="O4" s="288"/>
      <c r="P4" s="288"/>
      <c r="Q4" s="288"/>
      <c r="R4" s="288"/>
      <c r="S4" s="288"/>
      <c r="T4" s="288"/>
      <c r="U4" s="288"/>
      <c r="V4" s="288"/>
      <c r="W4" s="290" t="s">
        <v>269</v>
      </c>
      <c r="X4" s="288"/>
      <c r="Y4" s="288"/>
      <c r="Z4" s="288"/>
      <c r="AA4" s="288"/>
      <c r="AB4" s="288"/>
      <c r="AC4" s="288"/>
      <c r="AD4" s="288"/>
      <c r="AE4" s="288"/>
      <c r="AF4" s="288"/>
      <c r="AK4" s="290" t="s">
        <v>22</v>
      </c>
      <c r="AL4" s="288"/>
      <c r="AM4" s="288"/>
      <c r="AN4" s="291"/>
      <c r="AO4" s="290" t="s">
        <v>23</v>
      </c>
      <c r="AP4" s="288"/>
      <c r="AQ4" s="288"/>
      <c r="AR4" s="291"/>
      <c r="AS4" s="290" t="s">
        <v>24</v>
      </c>
      <c r="AT4" s="288"/>
      <c r="AU4" s="291"/>
      <c r="AV4" s="290" t="s">
        <v>25</v>
      </c>
      <c r="AW4" s="288"/>
      <c r="AX4" s="291"/>
      <c r="AY4" s="11" t="s">
        <v>29</v>
      </c>
    </row>
    <row r="5" spans="2:60" s="1" customFormat="1" ht="11.1" customHeight="1" x14ac:dyDescent="0.3">
      <c r="F5" s="289" t="s">
        <v>30</v>
      </c>
      <c r="G5" s="289"/>
      <c r="H5" s="289"/>
      <c r="I5" s="289"/>
      <c r="M5" s="290" t="s">
        <v>203</v>
      </c>
      <c r="N5" s="288"/>
      <c r="O5" s="288" t="s">
        <v>23</v>
      </c>
      <c r="P5" s="288"/>
      <c r="Q5" s="288" t="s">
        <v>205</v>
      </c>
      <c r="R5" s="291"/>
      <c r="S5" s="290" t="s">
        <v>25</v>
      </c>
      <c r="T5" s="288"/>
      <c r="U5" s="288" t="s">
        <v>266</v>
      </c>
      <c r="V5" s="288"/>
      <c r="W5" s="290" t="s">
        <v>203</v>
      </c>
      <c r="X5" s="288"/>
      <c r="Y5" s="288" t="s">
        <v>23</v>
      </c>
      <c r="Z5" s="288"/>
      <c r="AA5" s="288" t="s">
        <v>205</v>
      </c>
      <c r="AB5" s="291"/>
      <c r="AC5" s="290" t="s">
        <v>25</v>
      </c>
      <c r="AD5" s="288"/>
      <c r="AE5" s="288" t="s">
        <v>266</v>
      </c>
      <c r="AF5" s="288"/>
      <c r="AK5" s="11" t="s">
        <v>220</v>
      </c>
      <c r="AL5" s="11" t="s">
        <v>31</v>
      </c>
      <c r="AM5" s="11" t="s">
        <v>32</v>
      </c>
      <c r="AN5" s="11" t="s">
        <v>33</v>
      </c>
      <c r="AO5" s="11" t="s">
        <v>220</v>
      </c>
      <c r="AP5" s="11" t="s">
        <v>31</v>
      </c>
      <c r="AQ5" s="11" t="s">
        <v>32</v>
      </c>
      <c r="AR5" s="11" t="s">
        <v>33</v>
      </c>
      <c r="AS5" s="11" t="s">
        <v>31</v>
      </c>
      <c r="AT5" s="11" t="s">
        <v>32</v>
      </c>
      <c r="AU5" s="11" t="s">
        <v>33</v>
      </c>
      <c r="AV5" s="11" t="s">
        <v>31</v>
      </c>
      <c r="AW5" s="11" t="s">
        <v>32</v>
      </c>
      <c r="AX5" s="11" t="s">
        <v>33</v>
      </c>
      <c r="AY5" s="11" t="s">
        <v>33</v>
      </c>
      <c r="AZ5" s="13" t="s">
        <v>34</v>
      </c>
      <c r="BD5" s="11" t="s">
        <v>22</v>
      </c>
      <c r="BE5" s="11" t="s">
        <v>23</v>
      </c>
      <c r="BF5" s="11" t="s">
        <v>24</v>
      </c>
      <c r="BG5" s="11" t="s">
        <v>25</v>
      </c>
      <c r="BH5" s="13" t="s">
        <v>34</v>
      </c>
    </row>
    <row r="6" spans="2:60" s="1" customFormat="1" ht="11.1" customHeight="1" x14ac:dyDescent="0.3">
      <c r="B6" s="11" t="s">
        <v>35</v>
      </c>
      <c r="C6" s="11" t="s">
        <v>0</v>
      </c>
      <c r="F6" s="11" t="s">
        <v>22</v>
      </c>
      <c r="G6" s="11" t="s">
        <v>23</v>
      </c>
      <c r="H6" s="11" t="s">
        <v>24</v>
      </c>
      <c r="I6" s="11" t="s">
        <v>25</v>
      </c>
      <c r="M6" s="11" t="s">
        <v>189</v>
      </c>
      <c r="N6" s="11" t="s">
        <v>190</v>
      </c>
      <c r="O6" s="11" t="s">
        <v>189</v>
      </c>
      <c r="P6" s="11" t="s">
        <v>190</v>
      </c>
      <c r="Q6" s="11" t="s">
        <v>189</v>
      </c>
      <c r="R6" s="11" t="s">
        <v>190</v>
      </c>
      <c r="S6" s="11" t="s">
        <v>189</v>
      </c>
      <c r="T6" s="11" t="s">
        <v>190</v>
      </c>
      <c r="U6" s="11" t="s">
        <v>189</v>
      </c>
      <c r="V6" s="11" t="s">
        <v>190</v>
      </c>
      <c r="W6" s="11" t="s">
        <v>189</v>
      </c>
      <c r="X6" s="11" t="s">
        <v>190</v>
      </c>
      <c r="Y6" s="11" t="s">
        <v>189</v>
      </c>
      <c r="Z6" s="11" t="s">
        <v>190</v>
      </c>
      <c r="AA6" s="11" t="s">
        <v>189</v>
      </c>
      <c r="AB6" s="11" t="s">
        <v>190</v>
      </c>
      <c r="AC6" s="11" t="s">
        <v>189</v>
      </c>
      <c r="AD6" s="11" t="s">
        <v>190</v>
      </c>
      <c r="AE6" s="11" t="s">
        <v>189</v>
      </c>
      <c r="AF6" s="11" t="s">
        <v>190</v>
      </c>
      <c r="AH6" s="14" t="s">
        <v>191</v>
      </c>
      <c r="AK6" s="15">
        <f t="shared" ref="AK6:AY6" ca="1" si="0">SUM(OFFSET(AK8,,,time_horizon,))</f>
        <v>54237748.922191888</v>
      </c>
      <c r="AL6" s="15">
        <f t="shared" ca="1" si="0"/>
        <v>1662271.9788508588</v>
      </c>
      <c r="AM6" s="15">
        <f t="shared" ca="1" si="0"/>
        <v>0</v>
      </c>
      <c r="AN6" s="15">
        <f t="shared" ca="1" si="0"/>
        <v>0</v>
      </c>
      <c r="AO6" s="15">
        <f t="shared" ca="1" si="0"/>
        <v>34380183.311830997</v>
      </c>
      <c r="AP6" s="15">
        <f t="shared" ca="1" si="0"/>
        <v>16995413.119082075</v>
      </c>
      <c r="AQ6" s="15">
        <f t="shared" ca="1" si="0"/>
        <v>0</v>
      </c>
      <c r="AR6" s="15">
        <f t="shared" ca="1" si="0"/>
        <v>0</v>
      </c>
      <c r="AS6" s="15">
        <f t="shared" ca="1" si="0"/>
        <v>16635120.217923446</v>
      </c>
      <c r="AT6" s="15">
        <f t="shared" ca="1" si="0"/>
        <v>0</v>
      </c>
      <c r="AU6" s="15">
        <f t="shared" ca="1" si="0"/>
        <v>0</v>
      </c>
      <c r="AV6" s="15">
        <f t="shared" ca="1" si="0"/>
        <v>35932463.856706277</v>
      </c>
      <c r="AW6" s="15">
        <f t="shared" ca="1" si="0"/>
        <v>0</v>
      </c>
      <c r="AX6" s="15">
        <f t="shared" ca="1" si="0"/>
        <v>0</v>
      </c>
      <c r="AY6" s="15">
        <f t="shared" ca="1" si="0"/>
        <v>0</v>
      </c>
      <c r="AZ6" s="16">
        <f ca="1">SUM(OFFSET(AZ8,,,time_horizon,))</f>
        <v>159843201.4065856</v>
      </c>
      <c r="BD6" s="17">
        <f ca="1">SUM(OFFSET(BD8,,,time_horizon,))</f>
        <v>2.1913116482883197</v>
      </c>
      <c r="BE6" s="17">
        <f ca="1">SUM(OFFSET(BE8,,,time_horizon,))</f>
        <v>0.82359523439549909</v>
      </c>
      <c r="BF6" s="17">
        <f ca="1">SUM(OFFSET(BF8,,,time_horizon,))</f>
        <v>0.25966091064275792</v>
      </c>
      <c r="BG6" s="17">
        <f ca="1">SUM(OFFSET(BG8,,,time_horizon,))</f>
        <v>0.14491805969797453</v>
      </c>
      <c r="BH6" s="18">
        <f ca="1">SUM(OFFSET(BH8,,,time_horizon,))</f>
        <v>3.41948585302455</v>
      </c>
    </row>
    <row r="7" spans="2:60" ht="6.6" customHeight="1" x14ac:dyDescent="0.3">
      <c r="I7" s="4"/>
    </row>
    <row r="8" spans="2:60" ht="11.1" customHeight="1" x14ac:dyDescent="0.3">
      <c r="B8" s="19">
        <v>0</v>
      </c>
      <c r="C8" s="19">
        <f>start_age+Alz_cycle</f>
        <v>71</v>
      </c>
      <c r="F8" s="20">
        <f>VLOOKUP(Alz_age,table_mort_MCI,2)</f>
        <v>1.5065903319501861E-2</v>
      </c>
      <c r="G8" s="20">
        <f>VLOOKUP(Alz_age,table_mort_Mild,2)</f>
        <v>2.0428666075551383E-2</v>
      </c>
      <c r="H8" s="20">
        <f>VLOOKUP(Alz_age,table_mort_Moderate,2)</f>
        <v>3.659900690724005E-2</v>
      </c>
      <c r="I8" s="20">
        <f>VLOOKUP(Alz_age,table_mort_Severe,2)</f>
        <v>7.037421508009889E-2</v>
      </c>
      <c r="M8" s="96">
        <f>0.5*(Lecanemab!L8+Lecanemab!L9)</f>
        <v>0.60386977188283675</v>
      </c>
      <c r="N8" s="96">
        <f>0.5*(Lecanemab!M8+Lecanemab!M9)</f>
        <v>3.9213097621912862E-4</v>
      </c>
      <c r="O8" s="96">
        <f>0.5*(Lecanemab!N8+Lecanemab!N9)</f>
        <v>0.27060970083262814</v>
      </c>
      <c r="P8" s="96">
        <f>0.5*(Lecanemab!O8+Lecanemab!O9)</f>
        <v>1.6454964393590836E-2</v>
      </c>
      <c r="Q8" s="96">
        <f>0.5*(Lecanemab!P8+Lecanemab!P9)</f>
        <v>2.9505574122534902E-2</v>
      </c>
      <c r="R8" s="96">
        <f>0.5*(Lecanemab!Q8+Lecanemab!Q9)</f>
        <v>3.3605624661979328E-3</v>
      </c>
      <c r="S8" s="96">
        <f>0.5*(Lecanemab!R8+Lecanemab!R9)</f>
        <v>3.1904121377147815E-3</v>
      </c>
      <c r="T8" s="96">
        <f>0.5*(Lecanemab!S8+Lecanemab!S9)</f>
        <v>3.633747046297259E-4</v>
      </c>
      <c r="U8" s="96">
        <f>0.5*(Lecanemab!T8+Lecanemab!T9)</f>
        <v>6.9809160242853933E-3</v>
      </c>
      <c r="V8" s="96">
        <f>0.5*(Lecanemab!U8+Lecanemab!U9)</f>
        <v>2.725924593623794E-4</v>
      </c>
      <c r="W8" s="96">
        <f>0.5*(Lecanemab!V8+Lecanemab!V9)</f>
        <v>3.5021621023744197E-2</v>
      </c>
      <c r="X8" s="96">
        <f>0.5*(Lecanemab!W8+Lecanemab!W9)</f>
        <v>5.8594283802858305E-5</v>
      </c>
      <c r="Y8" s="96">
        <f>0.5*(Lecanemab!X8+Lecanemab!X9)</f>
        <v>2.0253464288258333E-2</v>
      </c>
      <c r="Z8" s="96">
        <f>0.5*(Lecanemab!Y8+Lecanemab!Y9)</f>
        <v>1.132822820188594E-3</v>
      </c>
      <c r="AA8" s="96">
        <f>0.5*(Lecanemab!Z8+Lecanemab!Z9)</f>
        <v>6.0019743763343484E-3</v>
      </c>
      <c r="AB8" s="96">
        <f>0.5*(Lecanemab!AA8+Lecanemab!AA9)</f>
        <v>6.8359997770001363E-4</v>
      </c>
      <c r="AC8" s="96">
        <f>0.5*(Lecanemab!AB8+Lecanemab!AB9)</f>
        <v>6.8593992872392556E-4</v>
      </c>
      <c r="AD8" s="96">
        <f>0.5*(Lecanemab!AC8+Lecanemab!AC9)</f>
        <v>7.8125711737144415E-5</v>
      </c>
      <c r="AE8" s="96">
        <f>0.5*(Lecanemab!AD8+Lecanemab!AD9)</f>
        <v>1.0431253829391966E-3</v>
      </c>
      <c r="AF8" s="96">
        <f>0.5*(Lecanemab!AE8+Lecanemab!AE9)</f>
        <v>4.0732206571390021E-5</v>
      </c>
      <c r="AH8" s="83">
        <f>SUM(M8:AF8)</f>
        <v>1</v>
      </c>
      <c r="AK8" s="19">
        <f>((M8+N8)*(c_lecanemab+c_monitoring+c_administration)+21.5%*(M8+N8)*c_AE)/(1+disc_rate_costs)^Alz_cycle</f>
        <v>17128488.265275881</v>
      </c>
      <c r="AL8" s="22">
        <f t="shared" ref="AL8:AL39" si="1">((M8+W8)*c_Com_MCI+(N8+X8)*c_LTC_MCI)/(1+disc_rate_costs)^Alz_cycle</f>
        <v>369638.84232861234</v>
      </c>
      <c r="AM8" s="22">
        <v>0</v>
      </c>
      <c r="AN8" s="22">
        <v>0</v>
      </c>
      <c r="AO8" s="22">
        <f>((O8+P8)*(c_lecanemab+c_monitoring+c_administration)+21.5%*(O8+P8)*c_AE)/(1+disc_rate_costs)^Alz_cycle</f>
        <v>8137173.1801028783</v>
      </c>
      <c r="AP8" s="22">
        <f t="shared" ref="AP8:AP39" si="2">((O8+Y8)*c_Com_Mild+(P8+Z8)*c_LTC_Mild)/(1+disc_rate_costs)^Alz_cycle</f>
        <v>2547773.0085336715</v>
      </c>
      <c r="AQ8" s="22">
        <v>0</v>
      </c>
      <c r="AR8" s="22">
        <v>0</v>
      </c>
      <c r="AS8" s="22">
        <f t="shared" ref="AS8:AS39" si="3">((Q8+AA8)*c_Com_Moderate+(R8+AB8)*c_LTC_Moderate)/(1+disc_rate_costs)^Alz_cycle</f>
        <v>502173.49623654917</v>
      </c>
      <c r="AT8" s="22">
        <v>0</v>
      </c>
      <c r="AU8" s="22">
        <v>0</v>
      </c>
      <c r="AV8" s="22">
        <f t="shared" ref="AV8:AV39" si="4">((S8+AC8)*c_Com_Severe+(T8+AD8)*c_LTC_Severe)/(1+disc_rate_costs)^Alz_cycle</f>
        <v>56657.859112952618</v>
      </c>
      <c r="AW8" s="22">
        <v>0</v>
      </c>
      <c r="AX8" s="22">
        <v>0</v>
      </c>
      <c r="AY8" s="22">
        <v>0</v>
      </c>
      <c r="AZ8" s="22">
        <f>SUM(AK8:AY8)</f>
        <v>28741904.651590541</v>
      </c>
      <c r="BD8" s="23">
        <f>((((70%)*0.035*(U_Com_MCI-0.1)+(70%)*(1-0.035)*U_Com_MCI)*(12/52)+((70%)*U_Com_MCI*40/52))+(((0%)*0.035*(U_LTC_MCI-0.1)+(0%)*(1-0.035)*U_LTC_MCI)*(12/52)+((0%)*U_LTC_MCI*40/52)))/(1+disc_rate_effects)^Alz_cycle</f>
        <v>0.5258346153846154</v>
      </c>
      <c r="BE8" s="23">
        <f>((((28.5%)*0.035*(U_Com_Mild-0.1)+(28.5%)*(1-0.035)*U_Com_Mild)*(12/52)+((28.5%)*U_Com_Mild*40/52))+(((1.5%)*0.035*(U_LTC_Mild-0.1)+(1.5%)*(1-0.035)*U_LTC_Mild)*(12/52)+((1.5%)*U_LTC_Mild*40/52)))/(1+disc_rate_effects)^Alz_cycle</f>
        <v>0.12529269230769227</v>
      </c>
      <c r="BF8" s="23">
        <v>0</v>
      </c>
      <c r="BG8" s="23">
        <v>0</v>
      </c>
      <c r="BH8" s="23">
        <f>SUM(BD8:BG8)</f>
        <v>0.65112730769230764</v>
      </c>
    </row>
    <row r="9" spans="2:60" ht="11.1" customHeight="1" x14ac:dyDescent="0.3">
      <c r="B9" s="19">
        <v>1</v>
      </c>
      <c r="C9" s="19">
        <f>start_age+Alz_cycle</f>
        <v>72</v>
      </c>
      <c r="F9" s="20">
        <f>VLOOKUP(Alz_age,table_mort_MCI,2)</f>
        <v>1.6894035107792305E-2</v>
      </c>
      <c r="G9" s="20">
        <f>VLOOKUP(Alz_age,table_mort_Mild,2)</f>
        <v>2.2899924743828737E-2</v>
      </c>
      <c r="H9" s="20">
        <f>VLOOKUP(Alz_age,table_mort_Moderate,2)</f>
        <v>4.0985055867230225E-2</v>
      </c>
      <c r="I9" s="20">
        <f>VLOOKUP(Alz_age,table_mort_Severe,2)</f>
        <v>7.8639346209840366E-2</v>
      </c>
      <c r="M9" s="96">
        <f>0.5*(Lecanemab!L9+Lecanemab!L10)</f>
        <v>0.43826521068651236</v>
      </c>
      <c r="N9" s="96">
        <f>0.5*(Lecanemab!M9+Lecanemab!M10)</f>
        <v>1.0802444703066779E-3</v>
      </c>
      <c r="O9" s="96">
        <f>0.5*(Lecanemab!N9+Lecanemab!N10)</f>
        <v>0.23508408643476225</v>
      </c>
      <c r="P9" s="96">
        <f>0.5*(Lecanemab!O9+Lecanemab!O10)</f>
        <v>1.8510691991360829E-2</v>
      </c>
      <c r="Q9" s="96">
        <f>0.5*(Lecanemab!P9+Lecanemab!P10)</f>
        <v>6.7753152348956458E-2</v>
      </c>
      <c r="R9" s="96">
        <f>0.5*(Lecanemab!Q9+Lecanemab!Q10)</f>
        <v>1.0207996822422719E-2</v>
      </c>
      <c r="S9" s="96">
        <f>0.5*(Lecanemab!R9+Lecanemab!R10)</f>
        <v>1.6790449323781178E-2</v>
      </c>
      <c r="T9" s="96">
        <f>0.5*(Lecanemab!S9+Lecanemab!S10)</f>
        <v>4.3112389407380268E-3</v>
      </c>
      <c r="U9" s="96">
        <f>0.5*(Lecanemab!T9+Lecanemab!T10)</f>
        <v>2.0264458205210313E-2</v>
      </c>
      <c r="V9" s="96">
        <f>0.5*(Lecanemab!U9+Lecanemab!U10)</f>
        <v>1.1824707759492267E-3</v>
      </c>
      <c r="W9" s="96">
        <f>0.5*(Lecanemab!V9+Lecanemab!V10)</f>
        <v>8.9647072044194406E-2</v>
      </c>
      <c r="X9" s="96">
        <f>0.5*(Lecanemab!W9+Lecanemab!W10)</f>
        <v>2.7163059995350612E-4</v>
      </c>
      <c r="Y9" s="96">
        <f>0.5*(Lecanemab!X9+Lecanemab!X10)</f>
        <v>5.5153633696013976E-2</v>
      </c>
      <c r="Z9" s="96">
        <f>0.5*(Lecanemab!Y9+Lecanemab!Y10)</f>
        <v>3.8896816767351669E-3</v>
      </c>
      <c r="AA9" s="96">
        <f>0.5*(Lecanemab!Z9+Lecanemab!Z10)</f>
        <v>2.1019365152860844E-2</v>
      </c>
      <c r="AB9" s="96">
        <f>0.5*(Lecanemab!AA9+Lecanemab!AA10)</f>
        <v>3.258775118719184E-3</v>
      </c>
      <c r="AC9" s="96">
        <f>0.5*(Lecanemab!AB9+Lecanemab!AB10)</f>
        <v>6.0006079063053943E-3</v>
      </c>
      <c r="AD9" s="96">
        <f>0.5*(Lecanemab!AC9+Lecanemab!AC10)</f>
        <v>1.6041776746267059E-3</v>
      </c>
      <c r="AE9" s="96">
        <f>0.5*(Lecanemab!AD9+Lecanemab!AD10)</f>
        <v>5.3525935062375034E-3</v>
      </c>
      <c r="AF9" s="96">
        <f>0.5*(Lecanemab!AE9+Lecanemab!AE10)</f>
        <v>3.5246262435331823E-4</v>
      </c>
      <c r="AH9" s="83">
        <f t="shared" ref="AH9:AH72" si="5">SUM(M9:AF9)</f>
        <v>1</v>
      </c>
      <c r="AK9" s="19">
        <f t="shared" ref="AK9:AK40" si="6">((M9+N9)*(c_lecanemab+c_administration))/(1+disc_rate_costs)^Alz_cycle</f>
        <v>11331595.036420766</v>
      </c>
      <c r="AL9" s="22">
        <f t="shared" si="1"/>
        <v>292819.82694106997</v>
      </c>
      <c r="AM9" s="22">
        <v>0</v>
      </c>
      <c r="AN9" s="22">
        <v>0</v>
      </c>
      <c r="AO9" s="22">
        <f t="shared" ref="AO9:AO40" si="7">((O9+P9)*(c_lecanemab+c_administration))/(1+disc_rate_costs)^Alz_cycle</f>
        <v>6540714.8264455637</v>
      </c>
      <c r="AP9" s="22">
        <f t="shared" si="2"/>
        <v>2473832.2649955032</v>
      </c>
      <c r="AQ9" s="22">
        <v>0</v>
      </c>
      <c r="AR9" s="22">
        <v>0</v>
      </c>
      <c r="AS9" s="22">
        <f t="shared" si="3"/>
        <v>1264544.182694135</v>
      </c>
      <c r="AT9" s="22">
        <v>0</v>
      </c>
      <c r="AU9" s="22">
        <v>0</v>
      </c>
      <c r="AV9" s="22">
        <f t="shared" si="4"/>
        <v>391648.64776121144</v>
      </c>
      <c r="AW9" s="22">
        <v>0</v>
      </c>
      <c r="AX9" s="22">
        <v>0</v>
      </c>
      <c r="AY9" s="22">
        <v>0</v>
      </c>
      <c r="AZ9" s="22">
        <f t="shared" ref="AZ9:AZ72" si="8">SUM(AK9:AY9)</f>
        <v>22295154.785258248</v>
      </c>
      <c r="BD9" s="23">
        <f t="shared" ref="BD9:BD40" si="9">((M9+W9)*U_Com_MCI+((N9+X9)*U_LTC_MCI))/(1+disc_rate_effects)^Alz_cycle</f>
        <v>0.38025699677814773</v>
      </c>
      <c r="BE9" s="23">
        <f t="shared" ref="BE9:BE40" si="10">((O9+Y9)*U_Com_Mild+((P9+Z9)*U_LTC_Mild))/(1+disc_rate_effects)^Alz_cycle</f>
        <v>0.12356413840825056</v>
      </c>
      <c r="BF9" s="23">
        <f t="shared" ref="BF9:BF40" si="11">((Q9+AA9)*U_Com_Moderate+((R9+AB9)*U_LTC_Moderate))/(1+disc_rate_effects)^Alz_cycle</f>
        <v>2.3510272953715678E-2</v>
      </c>
      <c r="BG9" s="23">
        <f t="shared" ref="BG9:BG40" si="12">((S9+AC9)*U_Com_Severe+((T9+AD9)*U_LTC_Severe))/(1+disc_rate_effects)^Alz_cycle</f>
        <v>2.5642228080293918E-3</v>
      </c>
      <c r="BH9" s="23">
        <f t="shared" ref="BH9:BH72" si="13">SUM(BD9:BG9)</f>
        <v>0.52989563094814329</v>
      </c>
    </row>
    <row r="10" spans="2:60" ht="11.1" customHeight="1" x14ac:dyDescent="0.3">
      <c r="B10" s="19">
        <v>2</v>
      </c>
      <c r="C10" s="19">
        <f t="shared" ref="C10:C39" si="14">start_age+Alz_cycle</f>
        <v>73</v>
      </c>
      <c r="F10" s="20">
        <f t="shared" ref="F10:F39" si="15">VLOOKUP(Alz_age,table_mort_MCI,2)</f>
        <v>1.8890986464756621E-2</v>
      </c>
      <c r="G10" s="20">
        <f t="shared" ref="G10:G39" si="16">VLOOKUP(Alz_age,table_mort_Mild,2)</f>
        <v>2.559750463291266E-2</v>
      </c>
      <c r="H10" s="20">
        <f t="shared" ref="H10:H39" si="17">VLOOKUP(Alz_age,table_mort_Moderate,2)</f>
        <v>4.5762582894734338E-2</v>
      </c>
      <c r="I10" s="20">
        <f t="shared" ref="I10:I39" si="18">VLOOKUP(Alz_age,table_mort_Severe,2)</f>
        <v>8.7601105096929643E-2</v>
      </c>
      <c r="M10" s="96">
        <f>0.5*(Lecanemab!L10+Lecanemab!L11)</f>
        <v>0.31838991235754943</v>
      </c>
      <c r="N10" s="96">
        <f>0.5*(Lecanemab!M10+Lecanemab!M11)</f>
        <v>1.5712016057798006E-3</v>
      </c>
      <c r="O10" s="96">
        <f>0.5*(Lecanemab!N10+Lecanemab!N11)</f>
        <v>0.19248265096151429</v>
      </c>
      <c r="P10" s="96">
        <f>0.5*(Lecanemab!O10+Lecanemab!O11)</f>
        <v>1.8915766747878475E-2</v>
      </c>
      <c r="Q10" s="96">
        <f>0.5*(Lecanemab!P10+Lecanemab!P11)</f>
        <v>7.5591165458918988E-2</v>
      </c>
      <c r="R10" s="96">
        <f>0.5*(Lecanemab!Q10+Lecanemab!Q11)</f>
        <v>1.5770837689552064E-2</v>
      </c>
      <c r="S10" s="96">
        <f>0.5*(Lecanemab!R10+Lecanemab!R11)</f>
        <v>3.500622501209523E-2</v>
      </c>
      <c r="T10" s="96">
        <f>0.5*(Lecanemab!S10+Lecanemab!S11)</f>
        <v>1.4662295238640845E-2</v>
      </c>
      <c r="U10" s="96">
        <f>0.5*(Lecanemab!T10+Lecanemab!T11)</f>
        <v>3.2173524737727964E-2</v>
      </c>
      <c r="V10" s="96">
        <f>0.5*(Lecanemab!U10+Lecanemab!U11)</f>
        <v>3.1379201903428836E-3</v>
      </c>
      <c r="W10" s="96">
        <f>0.5*(Lecanemab!V10+Lecanemab!V11)</f>
        <v>0.11687871908085859</v>
      </c>
      <c r="X10" s="96">
        <f>0.5*(Lecanemab!W10+Lecanemab!W11)</f>
        <v>6.4263108002947681E-4</v>
      </c>
      <c r="Y10" s="96">
        <f>0.5*(Lecanemab!X10+Lecanemab!X11)</f>
        <v>7.9016067686072583E-2</v>
      </c>
      <c r="Z10" s="96">
        <f>0.5*(Lecanemab!Y10+Lecanemab!Y11)</f>
        <v>6.9768909888923321E-3</v>
      </c>
      <c r="AA10" s="96">
        <f>0.5*(Lecanemab!Z10+Lecanemab!Z11)</f>
        <v>3.8754712003208611E-2</v>
      </c>
      <c r="AB10" s="96">
        <f>0.5*(Lecanemab!AA10+Lecanemab!AA11)</f>
        <v>7.951843952901036E-3</v>
      </c>
      <c r="AC10" s="96">
        <f>0.5*(Lecanemab!AB10+Lecanemab!AB11)</f>
        <v>1.8368442116579529E-2</v>
      </c>
      <c r="AD10" s="96">
        <f>0.5*(Lecanemab!AC10+Lecanemab!AC11)</f>
        <v>7.9070141803060101E-3</v>
      </c>
      <c r="AE10" s="96">
        <f>0.5*(Lecanemab!AD10+Lecanemab!AD11)</f>
        <v>1.4242010032771223E-2</v>
      </c>
      <c r="AF10" s="96">
        <f>0.5*(Lecanemab!AE10+Lecanemab!AE11)</f>
        <v>1.5601688783806423E-3</v>
      </c>
      <c r="AH10" s="83">
        <f t="shared" si="5"/>
        <v>0.99999999999999989</v>
      </c>
      <c r="AK10" s="19">
        <f t="shared" si="6"/>
        <v>7897066.8976669861</v>
      </c>
      <c r="AL10" s="22">
        <f t="shared" si="1"/>
        <v>231618.0252702428</v>
      </c>
      <c r="AM10" s="22">
        <v>0</v>
      </c>
      <c r="AN10" s="22">
        <v>0</v>
      </c>
      <c r="AO10" s="22">
        <f t="shared" si="7"/>
        <v>5217594.807171965</v>
      </c>
      <c r="AP10" s="22">
        <f t="shared" si="2"/>
        <v>2254421.8584171603</v>
      </c>
      <c r="AQ10" s="22">
        <v>0</v>
      </c>
      <c r="AR10" s="22">
        <v>0</v>
      </c>
      <c r="AS10" s="22">
        <f t="shared" si="3"/>
        <v>1673460.9363188972</v>
      </c>
      <c r="AT10" s="22">
        <v>0</v>
      </c>
      <c r="AU10" s="22">
        <v>0</v>
      </c>
      <c r="AV10" s="22">
        <f t="shared" si="4"/>
        <v>1060805.054017215</v>
      </c>
      <c r="AW10" s="22">
        <v>0</v>
      </c>
      <c r="AX10" s="22">
        <v>0</v>
      </c>
      <c r="AY10" s="22">
        <v>0</v>
      </c>
      <c r="AZ10" s="22">
        <f t="shared" si="8"/>
        <v>18334967.57886247</v>
      </c>
      <c r="BD10" s="23">
        <f t="shared" si="9"/>
        <v>0.30030620543825415</v>
      </c>
      <c r="BE10" s="23">
        <f t="shared" si="10"/>
        <v>0.11142293091250541</v>
      </c>
      <c r="BF10" s="23">
        <f t="shared" si="11"/>
        <v>2.9854861492867268E-2</v>
      </c>
      <c r="BG10" s="23">
        <f t="shared" si="12"/>
        <v>6.2254752521797921E-3</v>
      </c>
      <c r="BH10" s="23">
        <f t="shared" si="13"/>
        <v>0.44780947309580665</v>
      </c>
    </row>
    <row r="11" spans="2:60" ht="11.1" customHeight="1" x14ac:dyDescent="0.3">
      <c r="B11" s="19">
        <v>3</v>
      </c>
      <c r="C11" s="19">
        <f t="shared" si="14"/>
        <v>74</v>
      </c>
      <c r="F11" s="20">
        <f t="shared" si="15"/>
        <v>2.110847797105786E-2</v>
      </c>
      <c r="G11" s="20">
        <f t="shared" si="16"/>
        <v>2.8590687833229156E-2</v>
      </c>
      <c r="H11" s="20">
        <f t="shared" si="17"/>
        <v>5.1051165766922146E-2</v>
      </c>
      <c r="I11" s="20">
        <f t="shared" si="18"/>
        <v>9.7471547764780064E-2</v>
      </c>
      <c r="M11" s="96">
        <f>0.5*(Lecanemab!L11+Lecanemab!L12)</f>
        <v>0.2313287739170713</v>
      </c>
      <c r="N11" s="96">
        <f>0.5*(Lecanemab!M11+Lecanemab!M12)</f>
        <v>1.867616065585778E-3</v>
      </c>
      <c r="O11" s="96">
        <f>0.5*(Lecanemab!N11+Lecanemab!N12)</f>
        <v>0.1519259170611712</v>
      </c>
      <c r="P11" s="96">
        <f>0.5*(Lecanemab!O11+Lecanemab!O12)</f>
        <v>1.7969645243829047E-2</v>
      </c>
      <c r="Q11" s="96">
        <f>0.5*(Lecanemab!P11+Lecanemab!P12)</f>
        <v>6.9856175367532414E-2</v>
      </c>
      <c r="R11" s="96">
        <f>0.5*(Lecanemab!Q11+Lecanemab!Q12)</f>
        <v>1.8536950392119205E-2</v>
      </c>
      <c r="S11" s="96">
        <f>0.5*(Lecanemab!R11+Lecanemab!R12)</f>
        <v>4.6140438825650554E-2</v>
      </c>
      <c r="T11" s="96">
        <f>0.5*(Lecanemab!S11+Lecanemab!S12)</f>
        <v>2.8968633332174063E-2</v>
      </c>
      <c r="U11" s="96">
        <f>0.5*(Lecanemab!T11+Lecanemab!T12)</f>
        <v>4.2512533792840188E-2</v>
      </c>
      <c r="V11" s="96">
        <f>0.5*(Lecanemab!U11+Lecanemab!U12)</f>
        <v>6.5936210020262256E-3</v>
      </c>
      <c r="W11" s="96">
        <f>0.5*(Lecanemab!V11+Lecanemab!V12)</f>
        <v>0.12493558278176214</v>
      </c>
      <c r="X11" s="96">
        <f>0.5*(Lecanemab!W11+Lecanemab!W12)</f>
        <v>1.0942051100405114E-3</v>
      </c>
      <c r="Y11" s="96">
        <f>0.5*(Lecanemab!X11+Lecanemab!X12)</f>
        <v>9.2131557421571197E-2</v>
      </c>
      <c r="Z11" s="96">
        <f>0.5*(Lecanemab!Y11+Lecanemab!Y12)</f>
        <v>9.5902137304816146E-3</v>
      </c>
      <c r="AA11" s="96">
        <f>0.5*(Lecanemab!Z11+Lecanemab!Z12)</f>
        <v>5.368923857637535E-2</v>
      </c>
      <c r="AB11" s="96">
        <f>0.5*(Lecanemab!AA11+Lecanemab!AA12)</f>
        <v>1.3699387687644329E-2</v>
      </c>
      <c r="AC11" s="96">
        <f>0.5*(Lecanemab!AB11+Lecanemab!AB12)</f>
        <v>3.4709723116499822E-2</v>
      </c>
      <c r="AD11" s="96">
        <f>0.5*(Lecanemab!AC11+Lecanemab!AC12)</f>
        <v>2.1819957121984306E-2</v>
      </c>
      <c r="AE11" s="96">
        <f>0.5*(Lecanemab!AD11+Lecanemab!AD12)</f>
        <v>2.7848501766116411E-2</v>
      </c>
      <c r="AF11" s="96">
        <f>0.5*(Lecanemab!AE11+Lecanemab!AE12)</f>
        <v>4.7813276875243371E-3</v>
      </c>
      <c r="AH11" s="83">
        <f t="shared" si="5"/>
        <v>0.99999999999999989</v>
      </c>
      <c r="AK11" s="19">
        <f t="shared" si="6"/>
        <v>5507749.1159557803</v>
      </c>
      <c r="AL11" s="22">
        <f t="shared" si="1"/>
        <v>181996.64914607265</v>
      </c>
      <c r="AM11" s="22">
        <v>0</v>
      </c>
      <c r="AN11" s="22">
        <v>0</v>
      </c>
      <c r="AO11" s="22">
        <f t="shared" si="7"/>
        <v>4012678.468820923</v>
      </c>
      <c r="AP11" s="22">
        <f t="shared" si="2"/>
        <v>1972466.4474140259</v>
      </c>
      <c r="AQ11" s="22">
        <v>0</v>
      </c>
      <c r="AR11" s="22">
        <v>0</v>
      </c>
      <c r="AS11" s="22">
        <f t="shared" si="3"/>
        <v>1844003.3094148166</v>
      </c>
      <c r="AT11" s="22">
        <v>0</v>
      </c>
      <c r="AU11" s="22">
        <v>0</v>
      </c>
      <c r="AV11" s="22">
        <f t="shared" si="4"/>
        <v>1871403.0325879417</v>
      </c>
      <c r="AW11" s="22">
        <v>0</v>
      </c>
      <c r="AX11" s="22">
        <v>0</v>
      </c>
      <c r="AY11" s="22">
        <v>0</v>
      </c>
      <c r="AZ11" s="22">
        <f t="shared" si="8"/>
        <v>15390297.02333956</v>
      </c>
      <c r="BD11" s="23">
        <f t="shared" si="9"/>
        <v>0.23549604240723332</v>
      </c>
      <c r="BE11" s="23">
        <f t="shared" si="10"/>
        <v>9.6523673200900453E-2</v>
      </c>
      <c r="BF11" s="23">
        <f t="shared" si="11"/>
        <v>3.173594541611293E-2</v>
      </c>
      <c r="BG11" s="23">
        <f t="shared" si="12"/>
        <v>9.8969218397968496E-3</v>
      </c>
      <c r="BH11" s="23">
        <f t="shared" si="13"/>
        <v>0.37365258286404351</v>
      </c>
    </row>
    <row r="12" spans="2:60" ht="11.1" customHeight="1" x14ac:dyDescent="0.3">
      <c r="B12" s="19">
        <v>4</v>
      </c>
      <c r="C12" s="19">
        <f t="shared" si="14"/>
        <v>75</v>
      </c>
      <c r="F12" s="20">
        <f t="shared" si="15"/>
        <v>2.3646350507162905E-2</v>
      </c>
      <c r="G12" s="20">
        <f t="shared" si="16"/>
        <v>3.2013331721284177E-2</v>
      </c>
      <c r="H12" s="20">
        <f t="shared" si="17"/>
        <v>5.708246662973393E-2</v>
      </c>
      <c r="I12" s="20">
        <f t="shared" si="18"/>
        <v>0.10866408383875836</v>
      </c>
      <c r="M12" s="96">
        <f>0.5*(Lecanemab!L12+Lecanemab!L13)</f>
        <v>0.16795652009759576</v>
      </c>
      <c r="N12" s="96">
        <f>0.5*(Lecanemab!M12+Lecanemab!M13)</f>
        <v>1.9926334587453032E-3</v>
      </c>
      <c r="O12" s="96">
        <f>0.5*(Lecanemab!N12+Lecanemab!N13)</f>
        <v>0.11696656790235899</v>
      </c>
      <c r="P12" s="96">
        <f>0.5*(Lecanemab!O12+Lecanemab!O13)</f>
        <v>1.6164768148216341E-2</v>
      </c>
      <c r="Q12" s="96">
        <f>0.5*(Lecanemab!P12+Lecanemab!P13)</f>
        <v>5.9105117187967349E-2</v>
      </c>
      <c r="R12" s="96">
        <f>0.5*(Lecanemab!Q12+Lecanemab!Q13)</f>
        <v>1.8939088873446336E-2</v>
      </c>
      <c r="S12" s="96">
        <f>0.5*(Lecanemab!R12+Lecanemab!R13)</f>
        <v>4.9159972108243286E-2</v>
      </c>
      <c r="T12" s="96">
        <f>0.5*(Lecanemab!S12+Lecanemab!S13)</f>
        <v>4.2768428635492017E-2</v>
      </c>
      <c r="U12" s="96">
        <f>0.5*(Lecanemab!T12+Lecanemab!T13)</f>
        <v>5.0972338485779735E-2</v>
      </c>
      <c r="V12" s="96">
        <f>0.5*(Lecanemab!U12+Lecanemab!U13)</f>
        <v>1.163383045215486E-2</v>
      </c>
      <c r="W12" s="96">
        <f>0.5*(Lecanemab!V12+Lecanemab!V13)</f>
        <v>0.12167680836929559</v>
      </c>
      <c r="X12" s="96">
        <f>0.5*(Lecanemab!W12+Lecanemab!W13)</f>
        <v>1.5475332287369613E-3</v>
      </c>
      <c r="Y12" s="96">
        <f>0.5*(Lecanemab!X12+Lecanemab!X13)</f>
        <v>9.5855272269336239E-2</v>
      </c>
      <c r="Z12" s="96">
        <f>0.5*(Lecanemab!Y12+Lecanemab!Y13)</f>
        <v>1.149328579353915E-2</v>
      </c>
      <c r="AA12" s="96">
        <f>0.5*(Lecanemab!Z12+Lecanemab!Z13)</f>
        <v>6.3052886380612516E-2</v>
      </c>
      <c r="AB12" s="96">
        <f>0.5*(Lecanemab!AA12+Lecanemab!AA13)</f>
        <v>1.9186376829892292E-2</v>
      </c>
      <c r="AC12" s="96">
        <f>0.5*(Lecanemab!AB12+Lecanemab!AB13)</f>
        <v>5.0675965533855255E-2</v>
      </c>
      <c r="AD12" s="96">
        <f>0.5*(Lecanemab!AC12+Lecanemab!AC13)</f>
        <v>4.3359416756346053E-2</v>
      </c>
      <c r="AE12" s="96">
        <f>0.5*(Lecanemab!AD12+Lecanemab!AD13)</f>
        <v>4.5994190619522701E-2</v>
      </c>
      <c r="AF12" s="96">
        <f>0.5*(Lecanemab!AE12+Lecanemab!AE13)</f>
        <v>1.1498998868863275E-2</v>
      </c>
      <c r="AH12" s="83">
        <f t="shared" si="5"/>
        <v>1</v>
      </c>
      <c r="AK12" s="19">
        <f t="shared" si="6"/>
        <v>3841094.9414659222</v>
      </c>
      <c r="AL12" s="22">
        <f t="shared" si="1"/>
        <v>142135.9146952861</v>
      </c>
      <c r="AM12" s="22">
        <v>0</v>
      </c>
      <c r="AN12" s="22">
        <v>0</v>
      </c>
      <c r="AO12" s="22">
        <f t="shared" si="7"/>
        <v>3008959.3902268931</v>
      </c>
      <c r="AP12" s="22">
        <f t="shared" si="2"/>
        <v>1672816.9827562612</v>
      </c>
      <c r="AQ12" s="22">
        <v>0</v>
      </c>
      <c r="AR12" s="22">
        <v>0</v>
      </c>
      <c r="AS12" s="22">
        <f t="shared" si="3"/>
        <v>1847814.2989599472</v>
      </c>
      <c r="AT12" s="22">
        <v>0</v>
      </c>
      <c r="AU12" s="22">
        <v>0</v>
      </c>
      <c r="AV12" s="22">
        <f t="shared" si="4"/>
        <v>2661731.8092443873</v>
      </c>
      <c r="AW12" s="22">
        <v>0</v>
      </c>
      <c r="AX12" s="22">
        <v>0</v>
      </c>
      <c r="AY12" s="22">
        <v>0</v>
      </c>
      <c r="AZ12" s="22">
        <f t="shared" si="8"/>
        <v>13174553.337348696</v>
      </c>
      <c r="BD12" s="23">
        <f t="shared" si="9"/>
        <v>0.1834734565690854</v>
      </c>
      <c r="BE12" s="23">
        <f t="shared" si="10"/>
        <v>8.1092791989016921E-2</v>
      </c>
      <c r="BF12" s="23">
        <f t="shared" si="11"/>
        <v>3.0814574080992103E-2</v>
      </c>
      <c r="BG12" s="23">
        <f t="shared" si="12"/>
        <v>1.2872701821974853E-2</v>
      </c>
      <c r="BH12" s="23">
        <f t="shared" si="13"/>
        <v>0.30825352446106924</v>
      </c>
    </row>
    <row r="13" spans="2:60" ht="11.1" customHeight="1" x14ac:dyDescent="0.3">
      <c r="B13" s="19">
        <v>5</v>
      </c>
      <c r="C13" s="19">
        <f t="shared" si="14"/>
        <v>76</v>
      </c>
      <c r="F13" s="20">
        <f t="shared" si="15"/>
        <v>2.6875157268125505E-2</v>
      </c>
      <c r="G13" s="20">
        <f t="shared" si="16"/>
        <v>3.6363164851724306E-2</v>
      </c>
      <c r="H13" s="20">
        <f t="shared" si="17"/>
        <v>6.4722854266430319E-2</v>
      </c>
      <c r="I13" s="20">
        <f t="shared" si="18"/>
        <v>0.12274458220862894</v>
      </c>
      <c r="M13" s="96">
        <f>0.5*(Lecanemab!L13+Lecanemab!L14)</f>
        <v>0.12174836878787045</v>
      </c>
      <c r="N13" s="96">
        <f>0.5*(Lecanemab!M13+Lecanemab!M14)</f>
        <v>1.9807056803419643E-3</v>
      </c>
      <c r="O13" s="96">
        <f>0.5*(Lecanemab!N13+Lecanemab!N14)</f>
        <v>8.841433520452216E-2</v>
      </c>
      <c r="P13" s="96">
        <f>0.5*(Lecanemab!O13+Lecanemab!O14)</f>
        <v>1.3945562800552569E-2</v>
      </c>
      <c r="Q13" s="96">
        <f>0.5*(Lecanemab!P13+Lecanemab!P14)</f>
        <v>4.7481273102826599E-2</v>
      </c>
      <c r="R13" s="96">
        <f>0.5*(Lecanemab!Q13+Lecanemab!Q14)</f>
        <v>1.7782197805415123E-2</v>
      </c>
      <c r="S13" s="96">
        <f>0.5*(Lecanemab!R13+Lecanemab!R14)</f>
        <v>4.6288925955529026E-2</v>
      </c>
      <c r="T13" s="96">
        <f>0.5*(Lecanemab!S13+Lecanemab!S14)</f>
        <v>5.2884770014269923E-2</v>
      </c>
      <c r="U13" s="96">
        <f>0.5*(Lecanemab!T13+Lecanemab!T14)</f>
        <v>5.744258773023514E-2</v>
      </c>
      <c r="V13" s="96">
        <f>0.5*(Lecanemab!U13+Lecanemab!U14)</f>
        <v>1.8054833772937002E-2</v>
      </c>
      <c r="W13" s="96">
        <f>0.5*(Lecanemab!V13+Lecanemab!V14)</f>
        <v>0.1121459042031796</v>
      </c>
      <c r="X13" s="96">
        <f>0.5*(Lecanemab!W13+Lecanemab!W14)</f>
        <v>1.9429119550772292E-3</v>
      </c>
      <c r="Y13" s="96">
        <f>0.5*(Lecanemab!X13+Lecanemab!X14)</f>
        <v>9.2775314689495625E-2</v>
      </c>
      <c r="Z13" s="96">
        <f>0.5*(Lecanemab!Y13+Lecanemab!Y14)</f>
        <v>1.2595868934435466E-2</v>
      </c>
      <c r="AA13" s="96">
        <f>0.5*(Lecanemab!Z13+Lecanemab!Z14)</f>
        <v>6.6607929226660423E-2</v>
      </c>
      <c r="AB13" s="96">
        <f>0.5*(Lecanemab!AA13+Lecanemab!AA14)</f>
        <v>2.3556341463135524E-2</v>
      </c>
      <c r="AC13" s="96">
        <f>0.5*(Lecanemab!AB13+Lecanemab!AB14)</f>
        <v>6.2879733013381192E-2</v>
      </c>
      <c r="AD13" s="96">
        <f>0.5*(Lecanemab!AC13+Lecanemab!AC14)</f>
        <v>6.9869224669016392E-2</v>
      </c>
      <c r="AE13" s="96">
        <f>0.5*(Lecanemab!AD13+Lecanemab!AD14)</f>
        <v>6.8249771818310212E-2</v>
      </c>
      <c r="AF13" s="96">
        <f>0.5*(Lecanemab!AE13+Lecanemab!AE14)</f>
        <v>2.3353439172808341E-2</v>
      </c>
      <c r="AH13" s="83">
        <f t="shared" si="5"/>
        <v>1</v>
      </c>
      <c r="AK13" s="19">
        <f t="shared" si="6"/>
        <v>2676033.2779752179</v>
      </c>
      <c r="AL13" s="22">
        <f t="shared" si="1"/>
        <v>110333.49015961928</v>
      </c>
      <c r="AM13" s="22">
        <v>0</v>
      </c>
      <c r="AN13" s="22">
        <v>0</v>
      </c>
      <c r="AO13" s="22">
        <f t="shared" si="7"/>
        <v>2213857.1275104969</v>
      </c>
      <c r="AP13" s="22">
        <f t="shared" si="2"/>
        <v>1384085.6404161381</v>
      </c>
      <c r="AQ13" s="22">
        <v>0</v>
      </c>
      <c r="AR13" s="22">
        <v>0</v>
      </c>
      <c r="AS13" s="22">
        <f t="shared" si="3"/>
        <v>1741845.7419392145</v>
      </c>
      <c r="AT13" s="22">
        <v>0</v>
      </c>
      <c r="AU13" s="22">
        <v>0</v>
      </c>
      <c r="AV13" s="22">
        <f t="shared" si="4"/>
        <v>3311233.0012327605</v>
      </c>
      <c r="AW13" s="22">
        <v>0</v>
      </c>
      <c r="AX13" s="22">
        <v>0</v>
      </c>
      <c r="AY13" s="22">
        <v>0</v>
      </c>
      <c r="AZ13" s="22">
        <f t="shared" si="8"/>
        <v>11437388.279233446</v>
      </c>
      <c r="BD13" s="23">
        <f t="shared" si="9"/>
        <v>0.14202348860913394</v>
      </c>
      <c r="BE13" s="23">
        <f t="shared" si="10"/>
        <v>6.6499276159213985E-2</v>
      </c>
      <c r="BF13" s="23">
        <f t="shared" si="11"/>
        <v>2.8229777064674902E-2</v>
      </c>
      <c r="BG13" s="23">
        <f t="shared" si="12"/>
        <v>1.4845699762481736E-2</v>
      </c>
      <c r="BH13" s="23">
        <f t="shared" si="13"/>
        <v>0.25159824159550453</v>
      </c>
    </row>
    <row r="14" spans="2:60" ht="11.1" customHeight="1" x14ac:dyDescent="0.3">
      <c r="B14" s="19">
        <v>6</v>
      </c>
      <c r="C14" s="19">
        <f t="shared" si="14"/>
        <v>77</v>
      </c>
      <c r="F14" s="20">
        <f t="shared" si="15"/>
        <v>3.1262370100638814E-2</v>
      </c>
      <c r="G14" s="20">
        <f t="shared" si="16"/>
        <v>4.2265281802119969E-2</v>
      </c>
      <c r="H14" s="20">
        <f t="shared" si="17"/>
        <v>7.5045398384775641E-2</v>
      </c>
      <c r="I14" s="20">
        <f t="shared" si="18"/>
        <v>0.14159385725097229</v>
      </c>
      <c r="M14" s="96">
        <f>0.5*(Lecanemab!L14+Lecanemab!L15)</f>
        <v>8.8000095876019951E-2</v>
      </c>
      <c r="N14" s="96">
        <f>0.5*(Lecanemab!M14+Lecanemab!M15)</f>
        <v>1.8688557906278783E-3</v>
      </c>
      <c r="O14" s="96">
        <f>0.5*(Lecanemab!N14+Lecanemab!N15)</f>
        <v>6.5839310941289364E-2</v>
      </c>
      <c r="P14" s="96">
        <f>0.5*(Lecanemab!O14+Lecanemab!O15)</f>
        <v>1.1633144514950514E-2</v>
      </c>
      <c r="Q14" s="96">
        <f>0.5*(Lecanemab!P14+Lecanemab!P15)</f>
        <v>3.6808953581789122E-2</v>
      </c>
      <c r="R14" s="96">
        <f>0.5*(Lecanemab!Q14+Lecanemab!Q15)</f>
        <v>1.5755379125023245E-2</v>
      </c>
      <c r="S14" s="96">
        <f>0.5*(Lecanemab!R14+Lecanemab!R15)</f>
        <v>4.0084931440638585E-2</v>
      </c>
      <c r="T14" s="96">
        <f>0.5*(Lecanemab!S14+Lecanemab!S15)</f>
        <v>5.7856989591787297E-2</v>
      </c>
      <c r="U14" s="96">
        <f>0.5*(Lecanemab!T14+Lecanemab!T15)</f>
        <v>6.2059685584985695E-2</v>
      </c>
      <c r="V14" s="96">
        <f>0.5*(Lecanemab!U14+Lecanemab!U15)</f>
        <v>2.5533151496303322E-2</v>
      </c>
      <c r="W14" s="96">
        <f>0.5*(Lecanemab!V14+Lecanemab!V15)</f>
        <v>9.9528518950001171E-2</v>
      </c>
      <c r="X14" s="96">
        <f>0.5*(Lecanemab!W14+Lecanemab!W15)</f>
        <v>2.2415737675667968E-3</v>
      </c>
      <c r="Y14" s="96">
        <f>0.5*(Lecanemab!X14+Lecanemab!X15)</f>
        <v>8.535369388165745E-2</v>
      </c>
      <c r="Z14" s="96">
        <f>0.5*(Lecanemab!Y14+Lecanemab!Y15)</f>
        <v>1.2935668521332145E-2</v>
      </c>
      <c r="AA14" s="96">
        <f>0.5*(Lecanemab!Z14+Lecanemab!Z15)</f>
        <v>6.5325178883723606E-2</v>
      </c>
      <c r="AB14" s="96">
        <f>0.5*(Lecanemab!AA14+Lecanemab!AA15)</f>
        <v>2.6380851195360194E-2</v>
      </c>
      <c r="AC14" s="96">
        <f>0.5*(Lecanemab!AB14+Lecanemab!AB15)</f>
        <v>6.9560670639496378E-2</v>
      </c>
      <c r="AD14" s="96">
        <f>0.5*(Lecanemab!AC14+Lecanemab!AC15)</f>
        <v>9.7066772257104042E-2</v>
      </c>
      <c r="AE14" s="96">
        <f>0.5*(Lecanemab!AD14+Lecanemab!AD15)</f>
        <v>9.4133975445948412E-2</v>
      </c>
      <c r="AF14" s="96">
        <f>0.5*(Lecanemab!AE14+Lecanemab!AE15)</f>
        <v>4.2032598514394795E-2</v>
      </c>
      <c r="AH14" s="83">
        <f t="shared" si="5"/>
        <v>0.99999999999999978</v>
      </c>
      <c r="AK14" s="19">
        <f t="shared" si="6"/>
        <v>1860000.7987263834</v>
      </c>
      <c r="AL14" s="22">
        <f t="shared" si="1"/>
        <v>85080.599176704287</v>
      </c>
      <c r="AM14" s="22">
        <v>0</v>
      </c>
      <c r="AN14" s="22">
        <v>0</v>
      </c>
      <c r="AO14" s="22">
        <f t="shared" si="7"/>
        <v>1603432.847001578</v>
      </c>
      <c r="AP14" s="22">
        <f t="shared" si="2"/>
        <v>1121640.8552805544</v>
      </c>
      <c r="AQ14" s="22">
        <v>0</v>
      </c>
      <c r="AR14" s="22">
        <v>0</v>
      </c>
      <c r="AS14" s="22">
        <f t="shared" si="3"/>
        <v>1569596.0385838025</v>
      </c>
      <c r="AT14" s="22">
        <v>0</v>
      </c>
      <c r="AU14" s="22">
        <v>0</v>
      </c>
      <c r="AV14" s="22">
        <f t="shared" si="4"/>
        <v>3739730.9641190181</v>
      </c>
      <c r="AW14" s="22">
        <v>0</v>
      </c>
      <c r="AX14" s="22">
        <v>0</v>
      </c>
      <c r="AY14" s="22">
        <v>0</v>
      </c>
      <c r="AZ14" s="22">
        <f t="shared" si="8"/>
        <v>9979482.1028880402</v>
      </c>
      <c r="BD14" s="23">
        <f t="shared" si="9"/>
        <v>0.1091736097211068</v>
      </c>
      <c r="BE14" s="23">
        <f t="shared" si="10"/>
        <v>5.343523163881643E-2</v>
      </c>
      <c r="BF14" s="23">
        <f t="shared" si="11"/>
        <v>2.4774239476982724E-2</v>
      </c>
      <c r="BG14" s="23">
        <f t="shared" si="12"/>
        <v>1.572594962585161E-2</v>
      </c>
      <c r="BH14" s="23">
        <f t="shared" si="13"/>
        <v>0.20310903046275758</v>
      </c>
    </row>
    <row r="15" spans="2:60" ht="11.1" customHeight="1" x14ac:dyDescent="0.3">
      <c r="B15" s="19">
        <v>7</v>
      </c>
      <c r="C15" s="19">
        <f t="shared" si="14"/>
        <v>78</v>
      </c>
      <c r="F15" s="20">
        <f t="shared" si="15"/>
        <v>3.6659890087681335E-2</v>
      </c>
      <c r="G15" s="20">
        <f t="shared" si="16"/>
        <v>4.9513383819471346E-2</v>
      </c>
      <c r="H15" s="20">
        <f t="shared" si="17"/>
        <v>8.7651994744920803E-2</v>
      </c>
      <c r="I15" s="20">
        <f t="shared" si="18"/>
        <v>0.16434222218004213</v>
      </c>
      <c r="M15" s="96">
        <f>0.5*(Lecanemab!L15+Lecanemab!L16)</f>
        <v>6.3334813833508544E-2</v>
      </c>
      <c r="N15" s="96">
        <f>0.5*(Lecanemab!M15+Lecanemab!M16)</f>
        <v>1.691700460958357E-3</v>
      </c>
      <c r="O15" s="96">
        <f>0.5*(Lecanemab!N15+Lecanemab!N16)</f>
        <v>4.8378431829478048E-2</v>
      </c>
      <c r="P15" s="96">
        <f>0.5*(Lecanemab!O15+Lecanemab!O16)</f>
        <v>9.4323064084134295E-3</v>
      </c>
      <c r="Q15" s="96">
        <f>0.5*(Lecanemab!P15+Lecanemab!P16)</f>
        <v>2.7759628703220511E-2</v>
      </c>
      <c r="R15" s="96">
        <f>0.5*(Lecanemab!Q15+Lecanemab!Q16)</f>
        <v>1.3351347942757238E-2</v>
      </c>
      <c r="S15" s="96">
        <f>0.5*(Lecanemab!R15+Lecanemab!R16)</f>
        <v>3.2576000257974566E-2</v>
      </c>
      <c r="T15" s="96">
        <f>0.5*(Lecanemab!S15+Lecanemab!S16)</f>
        <v>5.7627518567990157E-2</v>
      </c>
      <c r="U15" s="96">
        <f>0.5*(Lecanemab!T15+Lecanemab!T16)</f>
        <v>6.4980792932860479E-2</v>
      </c>
      <c r="V15" s="96">
        <f>0.5*(Lecanemab!U15+Lecanemab!U16)</f>
        <v>3.3600692273609692E-2</v>
      </c>
      <c r="W15" s="96">
        <f>0.5*(Lecanemab!V15+Lecanemab!V16)</f>
        <v>8.5821381316663836E-2</v>
      </c>
      <c r="X15" s="96">
        <f>0.5*(Lecanemab!W15+Lecanemab!W16)</f>
        <v>2.4245853374807893E-3</v>
      </c>
      <c r="Y15" s="96">
        <f>0.5*(Lecanemab!X15+Lecanemab!X16)</f>
        <v>7.5554789392122873E-2</v>
      </c>
      <c r="Z15" s="96">
        <f>0.5*(Lecanemab!Y15+Lecanemab!Y16)</f>
        <v>1.2628717888984469E-2</v>
      </c>
      <c r="AA15" s="96">
        <f>0.5*(Lecanemab!Z15+Lecanemab!Z16)</f>
        <v>6.0572312799893918E-2</v>
      </c>
      <c r="AB15" s="96">
        <f>0.5*(Lecanemab!AA15+Lecanemab!AA16)</f>
        <v>2.7556064149071607E-2</v>
      </c>
      <c r="AC15" s="96">
        <f>0.5*(Lecanemab!AB15+Lecanemab!AB16)</f>
        <v>7.0463838091028227E-2</v>
      </c>
      <c r="AD15" s="96">
        <f>0.5*(Lecanemab!AC15+Lecanemab!AC16)</f>
        <v>0.12030043809368954</v>
      </c>
      <c r="AE15" s="96">
        <f>0.5*(Lecanemab!AD15+Lecanemab!AD16)</f>
        <v>0.12300060710236899</v>
      </c>
      <c r="AF15" s="96">
        <f>0.5*(Lecanemab!AE15+Lecanemab!AE16)</f>
        <v>6.8944032617924658E-2</v>
      </c>
      <c r="AH15" s="83">
        <f t="shared" si="5"/>
        <v>1</v>
      </c>
      <c r="AK15" s="19">
        <f t="shared" si="6"/>
        <v>1287886.643457633</v>
      </c>
      <c r="AL15" s="22">
        <f t="shared" si="1"/>
        <v>65117.008383226217</v>
      </c>
      <c r="AM15" s="22">
        <v>0</v>
      </c>
      <c r="AN15" s="22">
        <v>0</v>
      </c>
      <c r="AO15" s="22">
        <f t="shared" si="7"/>
        <v>1144974.1452824753</v>
      </c>
      <c r="AP15" s="22">
        <f t="shared" si="2"/>
        <v>892298.95867242105</v>
      </c>
      <c r="AQ15" s="22">
        <v>0</v>
      </c>
      <c r="AR15" s="22">
        <v>0</v>
      </c>
      <c r="AS15" s="22">
        <f t="shared" si="3"/>
        <v>1363523.7604304824</v>
      </c>
      <c r="AT15" s="22">
        <v>0</v>
      </c>
      <c r="AU15" s="22">
        <v>0</v>
      </c>
      <c r="AV15" s="22">
        <f t="shared" si="4"/>
        <v>3908206.8727344624</v>
      </c>
      <c r="AW15" s="22">
        <v>0</v>
      </c>
      <c r="AX15" s="22">
        <v>0</v>
      </c>
      <c r="AY15" s="22">
        <v>0</v>
      </c>
      <c r="AZ15" s="22">
        <f t="shared" si="8"/>
        <v>8662007.3889607005</v>
      </c>
      <c r="BD15" s="23">
        <f t="shared" si="9"/>
        <v>8.3269304965161661E-2</v>
      </c>
      <c r="BE15" s="23">
        <f t="shared" si="10"/>
        <v>4.216901483702095E-2</v>
      </c>
      <c r="BF15" s="23">
        <f t="shared" si="11"/>
        <v>2.0995830962345842E-2</v>
      </c>
      <c r="BG15" s="23">
        <f t="shared" si="12"/>
        <v>1.5567885318710006E-2</v>
      </c>
      <c r="BH15" s="23">
        <f t="shared" si="13"/>
        <v>0.16200203608323846</v>
      </c>
    </row>
    <row r="16" spans="2:60" ht="11.1" customHeight="1" x14ac:dyDescent="0.3">
      <c r="B16" s="19">
        <v>8</v>
      </c>
      <c r="C16" s="19">
        <f t="shared" si="14"/>
        <v>79</v>
      </c>
      <c r="F16" s="20">
        <f t="shared" si="15"/>
        <v>4.2849273174327962E-2</v>
      </c>
      <c r="G16" s="20">
        <f t="shared" si="16"/>
        <v>5.7806883397622633E-2</v>
      </c>
      <c r="H16" s="20">
        <f t="shared" si="17"/>
        <v>0.10198202532948608</v>
      </c>
      <c r="I16" s="20">
        <f t="shared" si="18"/>
        <v>0.18983751460326992</v>
      </c>
      <c r="M16" s="96">
        <f>0.5*(Lecanemab!L16+Lecanemab!L17)</f>
        <v>4.5333869265508989E-2</v>
      </c>
      <c r="N16" s="96">
        <f>0.5*(Lecanemab!M16+Lecanemab!M17)</f>
        <v>1.479159316399479E-3</v>
      </c>
      <c r="O16" s="96">
        <f>0.5*(Lecanemab!N16+Lecanemab!N17)</f>
        <v>3.5109688594664304E-2</v>
      </c>
      <c r="P16" s="96">
        <f>0.5*(Lecanemab!O16+Lecanemab!O17)</f>
        <v>7.4603663839776287E-3</v>
      </c>
      <c r="Q16" s="96">
        <f>0.5*(Lecanemab!P16+Lecanemab!P17)</f>
        <v>2.0461435107473898E-2</v>
      </c>
      <c r="R16" s="96">
        <f>0.5*(Lecanemab!Q16+Lecanemab!Q17)</f>
        <v>1.0901029968036994E-2</v>
      </c>
      <c r="S16" s="96">
        <f>0.5*(Lecanemab!R16+Lecanemab!R17)</f>
        <v>2.5146057268654681E-2</v>
      </c>
      <c r="T16" s="96">
        <f>0.5*(Lecanemab!S16+Lecanemab!S17)</f>
        <v>5.3134184451181787E-2</v>
      </c>
      <c r="U16" s="96">
        <f>0.5*(Lecanemab!T16+Lecanemab!T17)</f>
        <v>6.6272965228572789E-2</v>
      </c>
      <c r="V16" s="96">
        <f>0.5*(Lecanemab!U16+Lecanemab!U17)</f>
        <v>4.1579157308900216E-2</v>
      </c>
      <c r="W16" s="96">
        <f>0.5*(Lecanemab!V16+Lecanemab!V17)</f>
        <v>7.2273589999728244E-2</v>
      </c>
      <c r="X16" s="96">
        <f>0.5*(Lecanemab!W16+Lecanemab!W17)</f>
        <v>2.4901698273205228E-3</v>
      </c>
      <c r="Y16" s="96">
        <f>0.5*(Lecanemab!X16+Lecanemab!X17)</f>
        <v>6.4835167230064425E-2</v>
      </c>
      <c r="Z16" s="96">
        <f>0.5*(Lecanemab!Y16+Lecanemab!Y17)</f>
        <v>1.1829572369005729E-2</v>
      </c>
      <c r="AA16" s="96">
        <f>0.5*(Lecanemab!Z16+Lecanemab!Z17)</f>
        <v>5.3715954187806281E-2</v>
      </c>
      <c r="AB16" s="96">
        <f>0.5*(Lecanemab!AA16+Lecanemab!AA17)</f>
        <v>2.7209982526522881E-2</v>
      </c>
      <c r="AC16" s="96">
        <f>0.5*(Lecanemab!AB16+Lecanemab!AB17)</f>
        <v>6.6471019480442289E-2</v>
      </c>
      <c r="AD16" s="96">
        <f>0.5*(Lecanemab!AC16+Lecanemab!AC17)</f>
        <v>0.13580627025886899</v>
      </c>
      <c r="AE16" s="96">
        <f>0.5*(Lecanemab!AD16+Lecanemab!AD17)</f>
        <v>0.15384691429930009</v>
      </c>
      <c r="AF16" s="96">
        <f>0.5*(Lecanemab!AE16+Lecanemab!AE17)</f>
        <v>0.10464344692756973</v>
      </c>
      <c r="AH16" s="83">
        <f t="shared" si="5"/>
        <v>1</v>
      </c>
      <c r="AK16" s="19">
        <f t="shared" si="6"/>
        <v>887232.8494887281</v>
      </c>
      <c r="AL16" s="22">
        <f t="shared" si="1"/>
        <v>49427.042972983174</v>
      </c>
      <c r="AM16" s="22">
        <v>0</v>
      </c>
      <c r="AN16" s="22">
        <v>0</v>
      </c>
      <c r="AO16" s="22">
        <f t="shared" si="7"/>
        <v>806817.08331489703</v>
      </c>
      <c r="AP16" s="22">
        <f t="shared" si="2"/>
        <v>697914.02355799428</v>
      </c>
      <c r="AQ16" s="22">
        <v>0</v>
      </c>
      <c r="AR16" s="22">
        <v>0</v>
      </c>
      <c r="AS16" s="22">
        <f t="shared" si="3"/>
        <v>1147672.8133253553</v>
      </c>
      <c r="AT16" s="22">
        <v>0</v>
      </c>
      <c r="AU16" s="22">
        <v>0</v>
      </c>
      <c r="AV16" s="22">
        <f t="shared" si="4"/>
        <v>3821139.3806637782</v>
      </c>
      <c r="AW16" s="22">
        <v>0</v>
      </c>
      <c r="AX16" s="22">
        <v>0</v>
      </c>
      <c r="AY16" s="22">
        <v>0</v>
      </c>
      <c r="AZ16" s="22">
        <f t="shared" si="8"/>
        <v>7410203.1933237361</v>
      </c>
      <c r="BD16" s="23">
        <f t="shared" si="9"/>
        <v>6.2971790265299005E-2</v>
      </c>
      <c r="BE16" s="23">
        <f t="shared" si="10"/>
        <v>3.2732157918944162E-2</v>
      </c>
      <c r="BF16" s="23">
        <f t="shared" si="11"/>
        <v>1.7268615549079099E-2</v>
      </c>
      <c r="BG16" s="23">
        <f t="shared" si="12"/>
        <v>1.4542831164216039E-2</v>
      </c>
      <c r="BH16" s="23">
        <f t="shared" si="13"/>
        <v>0.1275153948975383</v>
      </c>
    </row>
    <row r="17" spans="2:60" ht="11.1" customHeight="1" x14ac:dyDescent="0.3">
      <c r="B17" s="19">
        <v>9</v>
      </c>
      <c r="C17" s="19">
        <f t="shared" si="14"/>
        <v>80</v>
      </c>
      <c r="F17" s="20">
        <f t="shared" si="15"/>
        <v>4.972845894543243E-2</v>
      </c>
      <c r="G17" s="20">
        <f t="shared" si="16"/>
        <v>6.7002078676466792E-2</v>
      </c>
      <c r="H17" s="20">
        <f t="shared" si="17"/>
        <v>0.11775156048840807</v>
      </c>
      <c r="I17" s="20">
        <f t="shared" si="18"/>
        <v>0.21744726008184811</v>
      </c>
      <c r="M17" s="96">
        <f>0.5*(Lecanemab!L17+Lecanemab!L18)</f>
        <v>3.2239896837110538E-2</v>
      </c>
      <c r="N17" s="96">
        <f>0.5*(Lecanemab!M17+Lecanemab!M18)</f>
        <v>1.2550425227814649E-3</v>
      </c>
      <c r="O17" s="96">
        <f>0.5*(Lecanemab!N17+Lecanemab!N18)</f>
        <v>2.5179759179037281E-2</v>
      </c>
      <c r="P17" s="96">
        <f>0.5*(Lecanemab!O17+Lecanemab!O18)</f>
        <v>5.7705832699311219E-3</v>
      </c>
      <c r="Q17" s="96">
        <f>0.5*(Lecanemab!P17+Lecanemab!P18)</f>
        <v>1.4784877017129633E-2</v>
      </c>
      <c r="R17" s="96">
        <f>0.5*(Lecanemab!Q17+Lecanemab!Q18)</f>
        <v>8.6108282899685015E-3</v>
      </c>
      <c r="S17" s="96">
        <f>0.5*(Lecanemab!R17+Lecanemab!R18)</f>
        <v>1.8587006330832E-2</v>
      </c>
      <c r="T17" s="96">
        <f>0.5*(Lecanemab!S17+Lecanemab!S18)</f>
        <v>4.5821875053221134E-2</v>
      </c>
      <c r="U17" s="96">
        <f>0.5*(Lecanemab!T17+Lecanemab!T18)</f>
        <v>6.6024951615510558E-2</v>
      </c>
      <c r="V17" s="96">
        <f>0.5*(Lecanemab!U17+Lecanemab!U18)</f>
        <v>4.8708964101710328E-2</v>
      </c>
      <c r="W17" s="96">
        <f>0.5*(Lecanemab!V17+Lecanemab!V18)</f>
        <v>5.9633715229598011E-2</v>
      </c>
      <c r="X17" s="96">
        <f>0.5*(Lecanemab!W17+Lecanemab!W18)</f>
        <v>2.4493523630626031E-3</v>
      </c>
      <c r="Y17" s="96">
        <f>0.5*(Lecanemab!X17+Lecanemab!X18)</f>
        <v>5.4199303980699096E-2</v>
      </c>
      <c r="Z17" s="96">
        <f>0.5*(Lecanemab!Y17+Lecanemab!Y18)</f>
        <v>1.0698994308419574E-2</v>
      </c>
      <c r="AA17" s="96">
        <f>0.5*(Lecanemab!Z17+Lecanemab!Z18)</f>
        <v>4.591028181390347E-2</v>
      </c>
      <c r="AB17" s="96">
        <f>0.5*(Lecanemab!AA17+Lecanemab!AA18)</f>
        <v>2.5612311025261267E-2</v>
      </c>
      <c r="AC17" s="96">
        <f>0.5*(Lecanemab!AB17+Lecanemab!AB18)</f>
        <v>5.9068050084686949E-2</v>
      </c>
      <c r="AD17" s="96">
        <f>0.5*(Lecanemab!AC17+Lecanemab!AC18)</f>
        <v>0.14153259180014191</v>
      </c>
      <c r="AE17" s="96">
        <f>0.5*(Lecanemab!AD17+Lecanemab!AD18)</f>
        <v>0.18543178139863867</v>
      </c>
      <c r="AF17" s="96">
        <f>0.5*(Lecanemab!AE17+Lecanemab!AE18)</f>
        <v>0.1484798337783558</v>
      </c>
      <c r="AH17" s="83">
        <f t="shared" si="5"/>
        <v>1</v>
      </c>
      <c r="AK17" s="19">
        <f t="shared" si="6"/>
        <v>607482.51129653235</v>
      </c>
      <c r="AL17" s="22">
        <f t="shared" si="1"/>
        <v>37183.960237060899</v>
      </c>
      <c r="AM17" s="22">
        <v>0</v>
      </c>
      <c r="AN17" s="22">
        <v>0</v>
      </c>
      <c r="AO17" s="22">
        <f t="shared" si="7"/>
        <v>561332.31215521798</v>
      </c>
      <c r="AP17" s="22">
        <f t="shared" si="2"/>
        <v>537265.5284634874</v>
      </c>
      <c r="AQ17" s="22">
        <v>0</v>
      </c>
      <c r="AR17" s="22">
        <v>0</v>
      </c>
      <c r="AS17" s="22">
        <f t="shared" si="3"/>
        <v>938832.69478398957</v>
      </c>
      <c r="AT17" s="22">
        <v>0</v>
      </c>
      <c r="AU17" s="22">
        <v>0</v>
      </c>
      <c r="AV17" s="22">
        <f t="shared" si="4"/>
        <v>3519336.4607701488</v>
      </c>
      <c r="AW17" s="22">
        <v>0</v>
      </c>
      <c r="AX17" s="22">
        <v>0</v>
      </c>
      <c r="AY17" s="22">
        <v>0</v>
      </c>
      <c r="AZ17" s="22">
        <f t="shared" si="8"/>
        <v>6201433.4677064372</v>
      </c>
      <c r="BD17" s="23">
        <f t="shared" si="9"/>
        <v>4.7188221625335001E-2</v>
      </c>
      <c r="BE17" s="23">
        <f t="shared" si="10"/>
        <v>2.5016500744081779E-2</v>
      </c>
      <c r="BF17" s="23">
        <f t="shared" si="11"/>
        <v>1.3828213740500139E-2</v>
      </c>
      <c r="BG17" s="23">
        <f t="shared" si="12"/>
        <v>1.289425101023022E-2</v>
      </c>
      <c r="BH17" s="23">
        <f t="shared" si="13"/>
        <v>9.8927187120147128E-2</v>
      </c>
    </row>
    <row r="18" spans="2:60" ht="11.1" customHeight="1" x14ac:dyDescent="0.3">
      <c r="B18" s="19">
        <v>10</v>
      </c>
      <c r="C18" s="19">
        <f t="shared" si="14"/>
        <v>81</v>
      </c>
      <c r="F18" s="20">
        <f t="shared" si="15"/>
        <v>5.7251654003104502E-2</v>
      </c>
      <c r="G18" s="20">
        <f t="shared" si="16"/>
        <v>7.7030725748545636E-2</v>
      </c>
      <c r="H18" s="20">
        <f t="shared" si="17"/>
        <v>0.13480810978755453</v>
      </c>
      <c r="I18" s="20">
        <f t="shared" si="18"/>
        <v>0.24678309076341653</v>
      </c>
      <c r="M18" s="96">
        <f>0.5*(Lecanemab!L18+Lecanemab!L19)</f>
        <v>2.2759789866212639E-2</v>
      </c>
      <c r="N18" s="96">
        <f>0.5*(Lecanemab!M18+Lecanemab!M19)</f>
        <v>1.0367039969135399E-3</v>
      </c>
      <c r="O18" s="96">
        <f>0.5*(Lecanemab!N18+Lecanemab!N19)</f>
        <v>1.7849774000116028E-2</v>
      </c>
      <c r="P18" s="96">
        <f>0.5*(Lecanemab!O18+Lecanemab!O19)</f>
        <v>4.3725460306554189E-3</v>
      </c>
      <c r="Q18" s="96">
        <f>0.5*(Lecanemab!P18+Lecanemab!P19)</f>
        <v>1.0492907634319305E-2</v>
      </c>
      <c r="R18" s="96">
        <f>0.5*(Lecanemab!Q18+Lecanemab!Q19)</f>
        <v>6.5950569539050506E-3</v>
      </c>
      <c r="S18" s="96">
        <f>0.5*(Lecanemab!R18+Lecanemab!R19)</f>
        <v>1.3231589109244137E-2</v>
      </c>
      <c r="T18" s="96">
        <f>0.5*(Lecanemab!S18+Lecanemab!S19)</f>
        <v>3.7201929717087912E-2</v>
      </c>
      <c r="U18" s="96">
        <f>0.5*(Lecanemab!T18+Lecanemab!T19)</f>
        <v>6.4407013918697339E-2</v>
      </c>
      <c r="V18" s="96">
        <f>0.5*(Lecanemab!U18+Lecanemab!U19)</f>
        <v>5.4328581041840955E-2</v>
      </c>
      <c r="W18" s="96">
        <f>0.5*(Lecanemab!V18+Lecanemab!V19)</f>
        <v>4.8306777604648236E-2</v>
      </c>
      <c r="X18" s="96">
        <f>0.5*(Lecanemab!W18+Lecanemab!W19)</f>
        <v>2.3211398883832488E-3</v>
      </c>
      <c r="Y18" s="96">
        <f>0.5*(Lecanemab!X18+Lecanemab!X19)</f>
        <v>4.428150286788133E-2</v>
      </c>
      <c r="Z18" s="96">
        <f>0.5*(Lecanemab!Y18+Lecanemab!Y19)</f>
        <v>9.3828499249119651E-3</v>
      </c>
      <c r="AA18" s="96">
        <f>0.5*(Lecanemab!Z18+Lecanemab!Z19)</f>
        <v>3.8017642097538371E-2</v>
      </c>
      <c r="AB18" s="96">
        <f>0.5*(Lecanemab!AA18+Lecanemab!AA19)</f>
        <v>2.3100262271059591E-2</v>
      </c>
      <c r="AC18" s="96">
        <f>0.5*(Lecanemab!AB18+Lecanemab!AB19)</f>
        <v>4.9852309521193017E-2</v>
      </c>
      <c r="AD18" s="96">
        <f>0.5*(Lecanemab!AC18+Lecanemab!AC19)</f>
        <v>0.13737403858514058</v>
      </c>
      <c r="AE18" s="96">
        <f>0.5*(Lecanemab!AD18+Lecanemab!AD19)</f>
        <v>0.21649681072882032</v>
      </c>
      <c r="AF18" s="96">
        <f>0.5*(Lecanemab!AE18+Lecanemab!AE19)</f>
        <v>0.19859077424143096</v>
      </c>
      <c r="AH18" s="83">
        <f t="shared" si="5"/>
        <v>1</v>
      </c>
      <c r="AK18" s="19">
        <f t="shared" si="6"/>
        <v>413001.1555951336</v>
      </c>
      <c r="AL18" s="22">
        <f t="shared" si="1"/>
        <v>27707.464773907264</v>
      </c>
      <c r="AM18" s="22">
        <v>0</v>
      </c>
      <c r="AN18" s="22">
        <v>0</v>
      </c>
      <c r="AO18" s="22">
        <f t="shared" si="7"/>
        <v>385680.50846074458</v>
      </c>
      <c r="AP18" s="22">
        <f t="shared" si="2"/>
        <v>407336.02414881147</v>
      </c>
      <c r="AQ18" s="22">
        <v>0</v>
      </c>
      <c r="AR18" s="22">
        <v>0</v>
      </c>
      <c r="AS18" s="22">
        <f t="shared" si="3"/>
        <v>747697.62902344635</v>
      </c>
      <c r="AT18" s="22">
        <v>0</v>
      </c>
      <c r="AU18" s="22">
        <v>0</v>
      </c>
      <c r="AV18" s="22">
        <f t="shared" si="4"/>
        <v>3066398.7502586381</v>
      </c>
      <c r="AW18" s="22">
        <v>0</v>
      </c>
      <c r="AX18" s="22">
        <v>0</v>
      </c>
      <c r="AY18" s="22">
        <v>0</v>
      </c>
      <c r="AZ18" s="22">
        <f t="shared" si="8"/>
        <v>5047821.5322606806</v>
      </c>
      <c r="BD18" s="23">
        <f t="shared" si="9"/>
        <v>3.501823942243984E-2</v>
      </c>
      <c r="BE18" s="23">
        <f t="shared" si="10"/>
        <v>1.8837815601974329E-2</v>
      </c>
      <c r="BF18" s="23">
        <f t="shared" si="11"/>
        <v>1.0802516315431965E-2</v>
      </c>
      <c r="BG18" s="23">
        <f t="shared" si="12"/>
        <v>1.088824771550885E-2</v>
      </c>
      <c r="BH18" s="23">
        <f t="shared" si="13"/>
        <v>7.5546819055354986E-2</v>
      </c>
    </row>
    <row r="19" spans="2:60" ht="11.1" customHeight="1" x14ac:dyDescent="0.3">
      <c r="B19" s="19">
        <v>11</v>
      </c>
      <c r="C19" s="19">
        <f t="shared" si="14"/>
        <v>82</v>
      </c>
      <c r="F19" s="20">
        <f t="shared" si="15"/>
        <v>6.6035982757058131E-2</v>
      </c>
      <c r="G19" s="20">
        <f t="shared" si="16"/>
        <v>8.8704119559237626E-2</v>
      </c>
      <c r="H19" s="20">
        <f t="shared" si="17"/>
        <v>0.15447457622922944</v>
      </c>
      <c r="I19" s="20">
        <f t="shared" si="18"/>
        <v>0.27992707068676714</v>
      </c>
      <c r="M19" s="96">
        <f>0.5*(Lecanemab!L19+Lecanemab!L20)</f>
        <v>1.5931538618469569E-2</v>
      </c>
      <c r="N19" s="96">
        <f>0.5*(Lecanemab!M19+Lecanemab!M20)</f>
        <v>8.3531471094382592E-4</v>
      </c>
      <c r="O19" s="96">
        <f>0.5*(Lecanemab!N19+Lecanemab!N20)</f>
        <v>1.2503028878246714E-2</v>
      </c>
      <c r="P19" s="96">
        <f>0.5*(Lecanemab!O19+Lecanemab!O20)</f>
        <v>3.2478341470848853E-3</v>
      </c>
      <c r="Q19" s="96">
        <f>0.5*(Lecanemab!P19+Lecanemab!P20)</f>
        <v>7.3192598387925968E-3</v>
      </c>
      <c r="R19" s="96">
        <f>0.5*(Lecanemab!Q19+Lecanemab!Q20)</f>
        <v>4.8996437169646252E-3</v>
      </c>
      <c r="S19" s="96">
        <f>0.5*(Lecanemab!R19+Lecanemab!R20)</f>
        <v>9.1008303657967513E-3</v>
      </c>
      <c r="T19" s="96">
        <f>0.5*(Lecanemab!S19+Lecanemab!S20)</f>
        <v>2.8515095870838125E-2</v>
      </c>
      <c r="U19" s="96">
        <f>0.5*(Lecanemab!T19+Lecanemab!T20)</f>
        <v>6.1683561112523856E-2</v>
      </c>
      <c r="V19" s="96">
        <f>0.5*(Lecanemab!U19+Lecanemab!U20)</f>
        <v>5.8043919014362372E-2</v>
      </c>
      <c r="W19" s="96">
        <f>0.5*(Lecanemab!V19+Lecanemab!V20)</f>
        <v>3.8453939319729277E-2</v>
      </c>
      <c r="X19" s="96">
        <f>0.5*(Lecanemab!W19+Lecanemab!W20)</f>
        <v>2.1275368987206467E-3</v>
      </c>
      <c r="Y19" s="96">
        <f>0.5*(Lecanemab!X19+Lecanemab!X20)</f>
        <v>3.5421610037810011E-2</v>
      </c>
      <c r="Z19" s="96">
        <f>0.5*(Lecanemab!Y19+Lecanemab!Y20)</f>
        <v>7.9982796312676602E-3</v>
      </c>
      <c r="AA19" s="96">
        <f>0.5*(Lecanemab!Z19+Lecanemab!Z20)</f>
        <v>3.0596066031865099E-2</v>
      </c>
      <c r="AB19" s="96">
        <f>0.5*(Lecanemab!AA19+Lecanemab!AA20)</f>
        <v>2.000985126585187E-2</v>
      </c>
      <c r="AC19" s="96">
        <f>0.5*(Lecanemab!AB19+Lecanemab!AB20)</f>
        <v>4.0156895071474463E-2</v>
      </c>
      <c r="AD19" s="96">
        <f>0.5*(Lecanemab!AC19+Lecanemab!AC20)</f>
        <v>0.12472461410237748</v>
      </c>
      <c r="AE19" s="96">
        <f>0.5*(Lecanemab!AD19+Lecanemab!AD20)</f>
        <v>0.2460359412870079</v>
      </c>
      <c r="AF19" s="96">
        <f>0.5*(Lecanemab!AE19+Lecanemab!AE20)</f>
        <v>0.25239524007987213</v>
      </c>
      <c r="AH19" s="83">
        <f t="shared" si="5"/>
        <v>0.99999999999999989</v>
      </c>
      <c r="AK19" s="19">
        <f t="shared" si="6"/>
        <v>278466.89233315759</v>
      </c>
      <c r="AL19" s="22">
        <f t="shared" si="1"/>
        <v>20430.823084921496</v>
      </c>
      <c r="AM19" s="22">
        <v>0</v>
      </c>
      <c r="AN19" s="22">
        <v>0</v>
      </c>
      <c r="AO19" s="22">
        <f t="shared" si="7"/>
        <v>261593.14404778535</v>
      </c>
      <c r="AP19" s="22">
        <f t="shared" si="2"/>
        <v>304129.33654397784</v>
      </c>
      <c r="AQ19" s="22">
        <v>0</v>
      </c>
      <c r="AR19" s="22">
        <v>0</v>
      </c>
      <c r="AS19" s="22">
        <f t="shared" si="3"/>
        <v>579816.67346818768</v>
      </c>
      <c r="AT19" s="22">
        <v>0</v>
      </c>
      <c r="AU19" s="22">
        <v>0</v>
      </c>
      <c r="AV19" s="22">
        <f t="shared" si="4"/>
        <v>2530484.4768744609</v>
      </c>
      <c r="AW19" s="22">
        <v>0</v>
      </c>
      <c r="AX19" s="22">
        <v>0</v>
      </c>
      <c r="AY19" s="22">
        <v>0</v>
      </c>
      <c r="AZ19" s="22">
        <f t="shared" si="8"/>
        <v>3974921.3463524911</v>
      </c>
      <c r="BD19" s="23">
        <f t="shared" si="9"/>
        <v>2.5712419230142461E-2</v>
      </c>
      <c r="BE19" s="23">
        <f t="shared" si="10"/>
        <v>1.3975276389236598E-2</v>
      </c>
      <c r="BF19" s="23">
        <f t="shared" si="11"/>
        <v>8.2366774082826937E-3</v>
      </c>
      <c r="BG19" s="23">
        <f t="shared" si="12"/>
        <v>8.7615268865988069E-3</v>
      </c>
      <c r="BH19" s="23">
        <f t="shared" si="13"/>
        <v>5.6685899914260561E-2</v>
      </c>
    </row>
    <row r="20" spans="2:60" ht="11.1" customHeight="1" x14ac:dyDescent="0.3">
      <c r="B20" s="19">
        <v>12</v>
      </c>
      <c r="C20" s="19">
        <f t="shared" si="14"/>
        <v>83</v>
      </c>
      <c r="F20" s="20">
        <f t="shared" si="15"/>
        <v>7.6062995019991475E-2</v>
      </c>
      <c r="G20" s="20">
        <f t="shared" si="16"/>
        <v>0.10198070718378116</v>
      </c>
      <c r="H20" s="20">
        <f t="shared" si="17"/>
        <v>0.17659629300437474</v>
      </c>
      <c r="I20" s="20">
        <f t="shared" si="18"/>
        <v>0.3163367593772809</v>
      </c>
      <c r="M20" s="96">
        <f>0.5*(Lecanemab!L20+Lecanemab!L21)</f>
        <v>1.1040919852118542E-2</v>
      </c>
      <c r="N20" s="96">
        <f>0.5*(Lecanemab!M20+Lecanemab!M21)</f>
        <v>6.5707907862395595E-4</v>
      </c>
      <c r="O20" s="96">
        <f>0.5*(Lecanemab!N20+Lecanemab!N21)</f>
        <v>8.6445992996947874E-3</v>
      </c>
      <c r="P20" s="96">
        <f>0.5*(Lecanemab!O20+Lecanemab!O21)</f>
        <v>2.3640020099239723E-3</v>
      </c>
      <c r="Q20" s="96">
        <f>0.5*(Lecanemab!P20+Lecanemab!P21)</f>
        <v>5.015549608648702E-3</v>
      </c>
      <c r="R20" s="96">
        <f>0.5*(Lecanemab!Q20+Lecanemab!Q21)</f>
        <v>3.5270673887213026E-3</v>
      </c>
      <c r="S20" s="96">
        <f>0.5*(Lecanemab!R20+Lecanemab!R21)</f>
        <v>6.0540987487484807E-3</v>
      </c>
      <c r="T20" s="96">
        <f>0.5*(Lecanemab!S20+Lecanemab!S21)</f>
        <v>2.0628218507991139E-2</v>
      </c>
      <c r="U20" s="96">
        <f>0.5*(Lecanemab!T20+Lecanemab!T21)</f>
        <v>5.8150623291310113E-2</v>
      </c>
      <c r="V20" s="96">
        <f>0.5*(Lecanemab!U20+Lecanemab!U21)</f>
        <v>5.9727465072619286E-2</v>
      </c>
      <c r="W20" s="96">
        <f>0.5*(Lecanemab!V20+Lecanemab!V21)</f>
        <v>3.0082390256944258E-2</v>
      </c>
      <c r="X20" s="96">
        <f>0.5*(Lecanemab!W20+Lecanemab!W21)</f>
        <v>1.8905487990041533E-3</v>
      </c>
      <c r="Y20" s="96">
        <f>0.5*(Lecanemab!X20+Lecanemab!X21)</f>
        <v>2.7757453615301526E-2</v>
      </c>
      <c r="Z20" s="96">
        <f>0.5*(Lecanemab!Y20+Lecanemab!Y21)</f>
        <v>6.6331535011001806E-3</v>
      </c>
      <c r="AA20" s="96">
        <f>0.5*(Lecanemab!Z20+Lecanemab!Z21)</f>
        <v>2.3962677187895354E-2</v>
      </c>
      <c r="AB20" s="96">
        <f>0.5*(Lecanemab!AA20+Lecanemab!AA21)</f>
        <v>1.6649789900114356E-2</v>
      </c>
      <c r="AC20" s="96">
        <f>0.5*(Lecanemab!AB20+Lecanemab!AB21)</f>
        <v>3.0944865097555549E-2</v>
      </c>
      <c r="AD20" s="96">
        <f>0.5*(Lecanemab!AC20+Lecanemab!AC21)</f>
        <v>0.10601797474912422</v>
      </c>
      <c r="AE20" s="96">
        <f>0.5*(Lecanemab!AD20+Lecanemab!AD21)</f>
        <v>0.27332852871875668</v>
      </c>
      <c r="AF20" s="96">
        <f>0.5*(Lecanemab!AE20+Lecanemab!AE21)</f>
        <v>0.30692299531580325</v>
      </c>
      <c r="AH20" s="83">
        <f t="shared" si="5"/>
        <v>0.99999999999999978</v>
      </c>
      <c r="AK20" s="19">
        <f t="shared" si="6"/>
        <v>185916.223812949</v>
      </c>
      <c r="AL20" s="22">
        <f t="shared" si="1"/>
        <v>14888.170047647045</v>
      </c>
      <c r="AM20" s="22">
        <v>0</v>
      </c>
      <c r="AN20" s="22">
        <v>0</v>
      </c>
      <c r="AO20" s="22">
        <f t="shared" si="7"/>
        <v>174959.63173392919</v>
      </c>
      <c r="AP20" s="22">
        <f t="shared" si="2"/>
        <v>223430.0094868234</v>
      </c>
      <c r="AQ20" s="22">
        <v>0</v>
      </c>
      <c r="AR20" s="22">
        <v>0</v>
      </c>
      <c r="AS20" s="22">
        <f t="shared" si="3"/>
        <v>437263.31415681355</v>
      </c>
      <c r="AT20" s="22">
        <v>0</v>
      </c>
      <c r="AU20" s="22">
        <v>0</v>
      </c>
      <c r="AV20" s="22">
        <f t="shared" si="4"/>
        <v>1975018.7310994714</v>
      </c>
      <c r="AW20" s="22">
        <v>0</v>
      </c>
      <c r="AX20" s="22">
        <v>0</v>
      </c>
      <c r="AY20" s="22">
        <v>0</v>
      </c>
      <c r="AZ20" s="22">
        <f t="shared" si="8"/>
        <v>3011476.0803376334</v>
      </c>
      <c r="BD20" s="23">
        <f t="shared" si="9"/>
        <v>1.8655823689345014E-2</v>
      </c>
      <c r="BE20" s="23">
        <f t="shared" si="10"/>
        <v>1.0206357864357264E-2</v>
      </c>
      <c r="BF20" s="23">
        <f t="shared" si="11"/>
        <v>6.1248375027579717E-3</v>
      </c>
      <c r="BG20" s="23">
        <f t="shared" si="12"/>
        <v>6.7060501329910148E-3</v>
      </c>
      <c r="BH20" s="23">
        <f t="shared" si="13"/>
        <v>4.169306918945126E-2</v>
      </c>
    </row>
    <row r="21" spans="2:60" ht="11.1" customHeight="1" x14ac:dyDescent="0.3">
      <c r="B21" s="19">
        <v>13</v>
      </c>
      <c r="C21" s="19">
        <f t="shared" si="14"/>
        <v>84</v>
      </c>
      <c r="F21" s="20">
        <f t="shared" si="15"/>
        <v>8.7161206574002503E-2</v>
      </c>
      <c r="G21" s="20">
        <f t="shared" si="16"/>
        <v>0.1166153330973847</v>
      </c>
      <c r="H21" s="20">
        <f t="shared" si="17"/>
        <v>0.20067697726655465</v>
      </c>
      <c r="I21" s="20">
        <f t="shared" si="18"/>
        <v>0.35491983638905999</v>
      </c>
      <c r="M21" s="96">
        <f>0.5*(Lecanemab!L21+Lecanemab!L22)</f>
        <v>7.5645024319984733E-3</v>
      </c>
      <c r="N21" s="96">
        <f>0.5*(Lecanemab!M21+Lecanemab!M22)</f>
        <v>5.0481294033878003E-4</v>
      </c>
      <c r="O21" s="96">
        <f>0.5*(Lecanemab!N21+Lecanemab!N22)</f>
        <v>5.8932213339005085E-3</v>
      </c>
      <c r="P21" s="96">
        <f>0.5*(Lecanemab!O21+Lecanemab!O22)</f>
        <v>1.6851462220500084E-3</v>
      </c>
      <c r="Q21" s="96">
        <f>0.5*(Lecanemab!P21+Lecanemab!P22)</f>
        <v>3.374603923667327E-3</v>
      </c>
      <c r="R21" s="96">
        <f>0.5*(Lecanemab!Q21+Lecanemab!Q22)</f>
        <v>2.4576155143665825E-3</v>
      </c>
      <c r="S21" s="96">
        <f>0.5*(Lecanemab!R21+Lecanemab!R22)</f>
        <v>3.8996127640456356E-3</v>
      </c>
      <c r="T21" s="96">
        <f>0.5*(Lecanemab!S21+Lecanemab!S22)</f>
        <v>1.4072564841434546E-2</v>
      </c>
      <c r="U21" s="96">
        <f>0.5*(Lecanemab!T21+Lecanemab!T22)</f>
        <v>5.4067416239515678E-2</v>
      </c>
      <c r="V21" s="96">
        <f>0.5*(Lecanemab!U21+Lecanemab!U22)</f>
        <v>5.9434875675490703E-2</v>
      </c>
      <c r="W21" s="96">
        <f>0.5*(Lecanemab!V21+Lecanemab!V22)</f>
        <v>2.3121322428380976E-2</v>
      </c>
      <c r="X21" s="96">
        <f>0.5*(Lecanemab!W21+Lecanemab!W22)</f>
        <v>1.6311188964779914E-3</v>
      </c>
      <c r="Y21" s="96">
        <f>0.5*(Lecanemab!X21+Lecanemab!X22)</f>
        <v>2.1312154080113492E-2</v>
      </c>
      <c r="Z21" s="96">
        <f>0.5*(Lecanemab!Y21+Lecanemab!Y22)</f>
        <v>5.3534085860567869E-3</v>
      </c>
      <c r="AA21" s="96">
        <f>0.5*(Lecanemab!Z21+Lecanemab!Z22)</f>
        <v>1.8280365890709842E-2</v>
      </c>
      <c r="AB21" s="96">
        <f>0.5*(Lecanemab!AA21+Lecanemab!AA22)</f>
        <v>1.3303704117977008E-2</v>
      </c>
      <c r="AC21" s="96">
        <f>0.5*(Lecanemab!AB21+Lecanemab!AB22)</f>
        <v>2.2862073979764516E-2</v>
      </c>
      <c r="AD21" s="96">
        <f>0.5*(Lecanemab!AC21+Lecanemab!AC22)</f>
        <v>8.4369576226451609E-2</v>
      </c>
      <c r="AE21" s="96">
        <f>0.5*(Lecanemab!AD21+Lecanemab!AD22)</f>
        <v>0.29782750045890294</v>
      </c>
      <c r="AF21" s="96">
        <f>0.5*(Lecanemab!AE21+Lecanemab!AE22)</f>
        <v>0.35898440344835642</v>
      </c>
      <c r="AH21" s="83">
        <f t="shared" si="5"/>
        <v>0.99999999999999978</v>
      </c>
      <c r="AK21" s="19">
        <f t="shared" si="6"/>
        <v>122723.04184073258</v>
      </c>
      <c r="AL21" s="22">
        <f t="shared" si="1"/>
        <v>10707.654064239679</v>
      </c>
      <c r="AM21" s="22">
        <v>0</v>
      </c>
      <c r="AN21" s="22">
        <v>0</v>
      </c>
      <c r="AO21" s="22">
        <f t="shared" si="7"/>
        <v>115256.4097124862</v>
      </c>
      <c r="AP21" s="22">
        <f t="shared" si="2"/>
        <v>161359.56452108995</v>
      </c>
      <c r="AQ21" s="22">
        <v>0</v>
      </c>
      <c r="AR21" s="22">
        <v>0</v>
      </c>
      <c r="AS21" s="22">
        <f t="shared" si="3"/>
        <v>320269.4361467993</v>
      </c>
      <c r="AT21" s="22">
        <v>0</v>
      </c>
      <c r="AU21" s="22">
        <v>0</v>
      </c>
      <c r="AV21" s="22">
        <f t="shared" si="4"/>
        <v>1455544.190567995</v>
      </c>
      <c r="AW21" s="22">
        <v>0</v>
      </c>
      <c r="AX21" s="22">
        <v>0</v>
      </c>
      <c r="AY21" s="22">
        <v>0</v>
      </c>
      <c r="AZ21" s="22">
        <f t="shared" si="8"/>
        <v>2185860.2968533426</v>
      </c>
      <c r="BD21" s="23">
        <f t="shared" si="9"/>
        <v>1.3358454657557967E-2</v>
      </c>
      <c r="BE21" s="23">
        <f t="shared" si="10"/>
        <v>7.3312748454394203E-3</v>
      </c>
      <c r="BF21" s="23">
        <f t="shared" si="11"/>
        <v>4.4377483337993979E-3</v>
      </c>
      <c r="BG21" s="23">
        <f t="shared" si="12"/>
        <v>4.8731743204829189E-3</v>
      </c>
      <c r="BH21" s="23">
        <f t="shared" si="13"/>
        <v>3.0000652157279706E-2</v>
      </c>
    </row>
    <row r="22" spans="2:60" ht="11.1" customHeight="1" x14ac:dyDescent="0.3">
      <c r="B22" s="19">
        <v>14</v>
      </c>
      <c r="C22" s="19">
        <f t="shared" si="14"/>
        <v>85</v>
      </c>
      <c r="F22" s="20">
        <f t="shared" si="15"/>
        <v>9.9347691695008566E-2</v>
      </c>
      <c r="G22" s="20">
        <f t="shared" si="16"/>
        <v>0.13261143750077753</v>
      </c>
      <c r="H22" s="20">
        <f t="shared" si="17"/>
        <v>0.22663231220202829</v>
      </c>
      <c r="I22" s="20">
        <f t="shared" si="18"/>
        <v>0.39527837169256685</v>
      </c>
      <c r="M22" s="96">
        <f>0.5*(Lecanemab!L22+Lecanemab!L23)</f>
        <v>5.1166174945263569E-3</v>
      </c>
      <c r="N22" s="96">
        <f>0.5*(Lecanemab!M22+Lecanemab!M23)</f>
        <v>3.7881170932483959E-4</v>
      </c>
      <c r="O22" s="96">
        <f>0.5*(Lecanemab!N22+Lecanemab!N23)</f>
        <v>3.9570795704300978E-3</v>
      </c>
      <c r="P22" s="96">
        <f>0.5*(Lecanemab!O22+Lecanemab!O23)</f>
        <v>1.175595762456092E-3</v>
      </c>
      <c r="Q22" s="96">
        <f>0.5*(Lecanemab!P22+Lecanemab!P23)</f>
        <v>2.2282434141368233E-3</v>
      </c>
      <c r="R22" s="96">
        <f>0.5*(Lecanemab!Q22+Lecanemab!Q23)</f>
        <v>1.6564873201749446E-3</v>
      </c>
      <c r="S22" s="96">
        <f>0.5*(Lecanemab!R22+Lecanemab!R23)</f>
        <v>2.4358839910357715E-3</v>
      </c>
      <c r="T22" s="96">
        <f>0.5*(Lecanemab!S22+Lecanemab!S23)</f>
        <v>9.0464610475307714E-3</v>
      </c>
      <c r="U22" s="96">
        <f>0.5*(Lecanemab!T22+Lecanemab!T23)</f>
        <v>4.9663857418473858E-2</v>
      </c>
      <c r="V22" s="96">
        <f>0.5*(Lecanemab!U22+Lecanemab!U23)</f>
        <v>5.7411265813433629E-2</v>
      </c>
      <c r="W22" s="96">
        <f>0.5*(Lecanemab!V22+Lecanemab!V23)</f>
        <v>1.7452026636664571E-2</v>
      </c>
      <c r="X22" s="96">
        <f>0.5*(Lecanemab!W22+Lecanemab!W23)</f>
        <v>1.3676221210408789E-3</v>
      </c>
      <c r="Y22" s="96">
        <f>0.5*(Lecanemab!X22+Lecanemab!X23)</f>
        <v>1.60312293449629E-2</v>
      </c>
      <c r="Z22" s="96">
        <f>0.5*(Lecanemab!Y22+Lecanemab!Y23)</f>
        <v>4.2043310365591814E-3</v>
      </c>
      <c r="AA22" s="96">
        <f>0.5*(Lecanemab!Z22+Lecanemab!Z23)</f>
        <v>1.3592010290603484E-2</v>
      </c>
      <c r="AB22" s="96">
        <f>0.5*(Lecanemab!AA22+Lecanemab!AA23)</f>
        <v>1.0204433962494909E-2</v>
      </c>
      <c r="AC22" s="96">
        <f>0.5*(Lecanemab!AB22+Lecanemab!AB23)</f>
        <v>1.6230826154973635E-2</v>
      </c>
      <c r="AD22" s="96">
        <f>0.5*(Lecanemab!AC22+Lecanemab!AC23)</f>
        <v>6.2836487710724004E-2</v>
      </c>
      <c r="AE22" s="96">
        <f>0.5*(Lecanemab!AD22+Lecanemab!AD23)</f>
        <v>0.31921878827575556</v>
      </c>
      <c r="AF22" s="96">
        <f>0.5*(Lecanemab!AE22+Lecanemab!AE23)</f>
        <v>0.4057919409246975</v>
      </c>
      <c r="AH22" s="83">
        <f t="shared" si="5"/>
        <v>0.99999999999999978</v>
      </c>
      <c r="AK22" s="19">
        <f t="shared" si="6"/>
        <v>79978.775167596061</v>
      </c>
      <c r="AL22" s="22">
        <f t="shared" si="1"/>
        <v>7590.8758056256147</v>
      </c>
      <c r="AM22" s="22">
        <v>0</v>
      </c>
      <c r="AN22" s="22">
        <v>0</v>
      </c>
      <c r="AO22" s="22">
        <f t="shared" si="7"/>
        <v>74699.367643475212</v>
      </c>
      <c r="AP22" s="22">
        <f t="shared" si="2"/>
        <v>114443.91740801233</v>
      </c>
      <c r="AQ22" s="22">
        <v>0</v>
      </c>
      <c r="AR22" s="22">
        <v>0</v>
      </c>
      <c r="AS22" s="22">
        <f t="shared" si="3"/>
        <v>227576.30450620127</v>
      </c>
      <c r="AT22" s="22">
        <v>0</v>
      </c>
      <c r="AU22" s="22">
        <v>0</v>
      </c>
      <c r="AV22" s="22">
        <f t="shared" si="4"/>
        <v>1011407.1181070571</v>
      </c>
      <c r="AW22" s="22">
        <v>0</v>
      </c>
      <c r="AX22" s="22">
        <v>0</v>
      </c>
      <c r="AY22" s="22">
        <v>0</v>
      </c>
      <c r="AZ22" s="22">
        <f t="shared" si="8"/>
        <v>1515696.3586379676</v>
      </c>
      <c r="BD22" s="23">
        <f t="shared" si="9"/>
        <v>9.4282619614302395E-3</v>
      </c>
      <c r="BE22" s="23">
        <f t="shared" si="10"/>
        <v>5.1747478310438608E-3</v>
      </c>
      <c r="BF22" s="23">
        <f t="shared" si="11"/>
        <v>3.1304832912300491E-3</v>
      </c>
      <c r="BG22" s="23">
        <f t="shared" si="12"/>
        <v>3.3570012195370908E-3</v>
      </c>
      <c r="BH22" s="23">
        <f t="shared" si="13"/>
        <v>2.1090494303241242E-2</v>
      </c>
    </row>
    <row r="23" spans="2:60" ht="11.1" customHeight="1" x14ac:dyDescent="0.3">
      <c r="B23" s="19">
        <v>15</v>
      </c>
      <c r="C23" s="19">
        <f t="shared" si="14"/>
        <v>86</v>
      </c>
      <c r="F23" s="20">
        <f t="shared" si="15"/>
        <v>0.11276235934045675</v>
      </c>
      <c r="G23" s="20">
        <f t="shared" si="16"/>
        <v>0.15012985180403171</v>
      </c>
      <c r="H23" s="20">
        <f t="shared" si="17"/>
        <v>0.25461809611425101</v>
      </c>
      <c r="I23" s="20">
        <f t="shared" si="18"/>
        <v>0.43736445209676178</v>
      </c>
      <c r="M23" s="96">
        <f>0.5*(Lecanemab!L23+Lecanemab!L24)</f>
        <v>3.4116481349818584E-3</v>
      </c>
      <c r="N23" s="96">
        <f>0.5*(Lecanemab!M23+Lecanemab!M24)</f>
        <v>2.7756047500880496E-4</v>
      </c>
      <c r="O23" s="96">
        <f>0.5*(Lecanemab!N23+Lecanemab!N24)</f>
        <v>2.6137246040077921E-3</v>
      </c>
      <c r="P23" s="96">
        <f>0.5*(Lecanemab!O23+Lecanemab!O24)</f>
        <v>8.0185585470858665E-4</v>
      </c>
      <c r="Q23" s="96">
        <f>0.5*(Lecanemab!P23+Lecanemab!P24)</f>
        <v>1.4427242263159994E-3</v>
      </c>
      <c r="R23" s="96">
        <f>0.5*(Lecanemab!Q23+Lecanemab!Q24)</f>
        <v>1.0795881144128863E-3</v>
      </c>
      <c r="S23" s="96">
        <f>0.5*(Lecanemab!R23+Lecanemab!R24)</f>
        <v>1.4773323976173041E-3</v>
      </c>
      <c r="T23" s="96">
        <f>0.5*(Lecanemab!S23+Lecanemab!S24)</f>
        <v>5.474263149070336E-3</v>
      </c>
      <c r="U23" s="96">
        <f>0.5*(Lecanemab!T23+Lecanemab!T24)</f>
        <v>4.5141507303665493E-2</v>
      </c>
      <c r="V23" s="96">
        <f>0.5*(Lecanemab!U23+Lecanemab!U24)</f>
        <v>5.4050959821336106E-2</v>
      </c>
      <c r="W23" s="96">
        <f>0.5*(Lecanemab!V23+Lecanemab!V24)</f>
        <v>1.2926554906628038E-2</v>
      </c>
      <c r="X23" s="96">
        <f>0.5*(Lecanemab!W23+Lecanemab!W24)</f>
        <v>1.1147215090758437E-3</v>
      </c>
      <c r="Y23" s="96">
        <f>0.5*(Lecanemab!X23+Lecanemab!X24)</f>
        <v>1.18081213164105E-2</v>
      </c>
      <c r="Z23" s="96">
        <f>0.5*(Lecanemab!Y23+Lecanemab!Y24)</f>
        <v>3.2115532373343057E-3</v>
      </c>
      <c r="AA23" s="96">
        <f>0.5*(Lecanemab!Z23+Lecanemab!Z24)</f>
        <v>9.8508692701718033E-3</v>
      </c>
      <c r="AB23" s="96">
        <f>0.5*(Lecanemab!AA23+Lecanemab!AA24)</f>
        <v>7.5108405805114076E-3</v>
      </c>
      <c r="AC23" s="96">
        <f>0.5*(Lecanemab!AB23+Lecanemab!AB24)</f>
        <v>1.1093914715617596E-2</v>
      </c>
      <c r="AD23" s="96">
        <f>0.5*(Lecanemab!AC23+Lecanemab!AC24)</f>
        <v>4.375288476069146E-2</v>
      </c>
      <c r="AE23" s="96">
        <f>0.5*(Lecanemab!AD23+Lecanemab!AD24)</f>
        <v>0.33744718903355558</v>
      </c>
      <c r="AF23" s="96">
        <f>0.5*(Lecanemab!AE23+Lecanemab!AE24)</f>
        <v>0.44551218658887815</v>
      </c>
      <c r="AH23" s="83">
        <f t="shared" si="5"/>
        <v>0.99999999999999989</v>
      </c>
      <c r="AK23" s="19">
        <f t="shared" si="6"/>
        <v>51379.521413265436</v>
      </c>
      <c r="AL23" s="22">
        <f t="shared" si="1"/>
        <v>5296.885013671158</v>
      </c>
      <c r="AM23" s="22">
        <v>0</v>
      </c>
      <c r="AN23" s="22">
        <v>0</v>
      </c>
      <c r="AO23" s="22">
        <f t="shared" si="7"/>
        <v>47568.708595688033</v>
      </c>
      <c r="AP23" s="22">
        <f t="shared" si="2"/>
        <v>79618.53565480285</v>
      </c>
      <c r="AQ23" s="22">
        <v>0</v>
      </c>
      <c r="AR23" s="22">
        <v>0</v>
      </c>
      <c r="AS23" s="22">
        <f t="shared" si="3"/>
        <v>156715.96496577963</v>
      </c>
      <c r="AT23" s="22">
        <v>0</v>
      </c>
      <c r="AU23" s="22">
        <v>0</v>
      </c>
      <c r="AV23" s="22">
        <f t="shared" si="4"/>
        <v>661493.26216846833</v>
      </c>
      <c r="AW23" s="22">
        <v>0</v>
      </c>
      <c r="AX23" s="22">
        <v>0</v>
      </c>
      <c r="AY23" s="22">
        <v>0</v>
      </c>
      <c r="AZ23" s="22">
        <f t="shared" si="8"/>
        <v>1002072.8778116754</v>
      </c>
      <c r="BD23" s="23">
        <f t="shared" si="9"/>
        <v>6.5500349512741876E-3</v>
      </c>
      <c r="BE23" s="23">
        <f t="shared" si="10"/>
        <v>3.5851248757188324E-3</v>
      </c>
      <c r="BF23" s="23">
        <f t="shared" si="11"/>
        <v>2.148077696455775E-3</v>
      </c>
      <c r="BG23" s="23">
        <f t="shared" si="12"/>
        <v>2.1887740961313296E-3</v>
      </c>
      <c r="BH23" s="23">
        <f t="shared" si="13"/>
        <v>1.4472011619580125E-2</v>
      </c>
    </row>
    <row r="24" spans="2:60" ht="11.1" customHeight="1" x14ac:dyDescent="0.3">
      <c r="B24" s="19">
        <v>16</v>
      </c>
      <c r="C24" s="19">
        <f t="shared" si="14"/>
        <v>87</v>
      </c>
      <c r="F24" s="20">
        <f t="shared" si="15"/>
        <v>0.12744286062794341</v>
      </c>
      <c r="G24" s="20">
        <f t="shared" si="16"/>
        <v>0.16919242833842307</v>
      </c>
      <c r="H24" s="20">
        <f t="shared" si="17"/>
        <v>0.28454643736239738</v>
      </c>
      <c r="I24" s="20">
        <f t="shared" si="18"/>
        <v>0.48072773765230914</v>
      </c>
      <c r="M24" s="96">
        <f>0.5*(Lecanemab!L24+Lecanemab!L25)</f>
        <v>2.2387499770861181E-3</v>
      </c>
      <c r="N24" s="96">
        <f>0.5*(Lecanemab!M24+Lecanemab!M25)</f>
        <v>1.984419670938901E-4</v>
      </c>
      <c r="O24" s="96">
        <f>0.5*(Lecanemab!N24+Lecanemab!N25)</f>
        <v>1.6957186813177281E-3</v>
      </c>
      <c r="P24" s="96">
        <f>0.5*(Lecanemab!O24+Lecanemab!O25)</f>
        <v>5.3412007505764783E-4</v>
      </c>
      <c r="Q24" s="96">
        <f>0.5*(Lecanemab!P24+Lecanemab!P25)</f>
        <v>9.1490970025586663E-4</v>
      </c>
      <c r="R24" s="96">
        <f>0.5*(Lecanemab!Q24+Lecanemab!Q25)</f>
        <v>6.8025721689691241E-4</v>
      </c>
      <c r="S24" s="96">
        <f>0.5*(Lecanemab!R24+Lecanemab!R25)</f>
        <v>8.7061250089758642E-4</v>
      </c>
      <c r="T24" s="96">
        <f>0.5*(Lecanemab!S24+Lecanemab!S25)</f>
        <v>3.1150497487257801E-3</v>
      </c>
      <c r="U24" s="96">
        <f>0.5*(Lecanemab!T24+Lecanemab!T25)</f>
        <v>4.0664452228888343E-2</v>
      </c>
      <c r="V24" s="96">
        <f>0.5*(Lecanemab!U24+Lecanemab!U25)</f>
        <v>4.9808600654359027E-2</v>
      </c>
      <c r="W24" s="96">
        <f>0.5*(Lecanemab!V24+Lecanemab!V25)</f>
        <v>9.3856378286213647E-3</v>
      </c>
      <c r="X24" s="96">
        <f>0.5*(Lecanemab!W24+Lecanemab!W25)</f>
        <v>8.8308619026729665E-4</v>
      </c>
      <c r="Y24" s="96">
        <f>0.5*(Lecanemab!X24+Lecanemab!X25)</f>
        <v>8.5092196036158137E-3</v>
      </c>
      <c r="Z24" s="96">
        <f>0.5*(Lecanemab!Y24+Lecanemab!Y25)</f>
        <v>2.3842564697014257E-3</v>
      </c>
      <c r="AA24" s="96">
        <f>0.5*(Lecanemab!Z24+Lecanemab!Z25)</f>
        <v>6.9564855169487599E-3</v>
      </c>
      <c r="AB24" s="96">
        <f>0.5*(Lecanemab!AA24+Lecanemab!AA25)</f>
        <v>5.3036657023005709E-3</v>
      </c>
      <c r="AC24" s="96">
        <f>0.5*(Lecanemab!AB24+Lecanemab!AB25)</f>
        <v>7.3113026237537505E-3</v>
      </c>
      <c r="AD24" s="96">
        <f>0.5*(Lecanemab!AC24+Lecanemab!AC25)</f>
        <v>2.8442072384919088E-2</v>
      </c>
      <c r="AE24" s="96">
        <f>0.5*(Lecanemab!AD24+Lecanemab!AD25)</f>
        <v>0.35266145223490974</v>
      </c>
      <c r="AF24" s="96">
        <f>0.5*(Lecanemab!AE24+Lecanemab!AE25)</f>
        <v>0.47744190869438319</v>
      </c>
      <c r="AH24" s="83">
        <f t="shared" si="5"/>
        <v>0.99999999999999989</v>
      </c>
      <c r="AK24" s="19">
        <f t="shared" si="6"/>
        <v>32481.066793640322</v>
      </c>
      <c r="AL24" s="22">
        <f t="shared" si="1"/>
        <v>3632.3661287331497</v>
      </c>
      <c r="AM24" s="22">
        <v>0</v>
      </c>
      <c r="AN24" s="22">
        <v>0</v>
      </c>
      <c r="AO24" s="22">
        <f t="shared" si="7"/>
        <v>29717.618982711952</v>
      </c>
      <c r="AP24" s="22">
        <f t="shared" si="2"/>
        <v>54255.139100566557</v>
      </c>
      <c r="AQ24" s="22">
        <v>0</v>
      </c>
      <c r="AR24" s="22">
        <v>0</v>
      </c>
      <c r="AS24" s="22">
        <f t="shared" si="3"/>
        <v>104490.84371363578</v>
      </c>
      <c r="AT24" s="22">
        <v>0</v>
      </c>
      <c r="AU24" s="22">
        <v>0</v>
      </c>
      <c r="AV24" s="22">
        <f t="shared" si="4"/>
        <v>406521.13205949182</v>
      </c>
      <c r="AW24" s="22">
        <v>0</v>
      </c>
      <c r="AX24" s="22">
        <v>0</v>
      </c>
      <c r="AY24" s="22">
        <v>0</v>
      </c>
      <c r="AZ24" s="22">
        <f t="shared" si="8"/>
        <v>631098.16677877959</v>
      </c>
      <c r="BD24" s="23">
        <f t="shared" si="9"/>
        <v>4.4721622796901825E-3</v>
      </c>
      <c r="BE24" s="23">
        <f t="shared" si="10"/>
        <v>2.4345870470277539E-3</v>
      </c>
      <c r="BF24" s="23">
        <f t="shared" si="11"/>
        <v>1.4324394664888343E-3</v>
      </c>
      <c r="BG24" s="23">
        <f t="shared" si="12"/>
        <v>1.3489037437808349E-3</v>
      </c>
      <c r="BH24" s="23">
        <f t="shared" si="13"/>
        <v>9.688092536987606E-3</v>
      </c>
    </row>
    <row r="25" spans="2:60" ht="11.1" customHeight="1" x14ac:dyDescent="0.3">
      <c r="B25" s="19">
        <v>17</v>
      </c>
      <c r="C25" s="19">
        <f t="shared" si="14"/>
        <v>88</v>
      </c>
      <c r="F25" s="20">
        <f t="shared" si="15"/>
        <v>0.14342069010275205</v>
      </c>
      <c r="G25" s="20">
        <f t="shared" si="16"/>
        <v>0.18980884192976633</v>
      </c>
      <c r="H25" s="20">
        <f t="shared" si="17"/>
        <v>0.31629659848191671</v>
      </c>
      <c r="I25" s="20">
        <f t="shared" si="18"/>
        <v>0.52486986315146156</v>
      </c>
      <c r="M25" s="96">
        <f>0.5*(Lecanemab!L25+Lecanemab!L26)</f>
        <v>1.4432537512100623E-3</v>
      </c>
      <c r="N25" s="96">
        <f>0.5*(Lecanemab!M25+Lecanemab!M26)</f>
        <v>1.3830497915479333E-4</v>
      </c>
      <c r="O25" s="96">
        <f>0.5*(Lecanemab!N25+Lecanemab!N26)</f>
        <v>1.0787984927895754E-3</v>
      </c>
      <c r="P25" s="96">
        <f>0.5*(Lecanemab!O25+Lecanemab!O26)</f>
        <v>3.4699930880107658E-4</v>
      </c>
      <c r="Q25" s="96">
        <f>0.5*(Lecanemab!P25+Lecanemab!P26)</f>
        <v>5.6749206199967867E-4</v>
      </c>
      <c r="R25" s="96">
        <f>0.5*(Lecanemab!Q25+Lecanemab!Q26)</f>
        <v>4.1457664606407425E-4</v>
      </c>
      <c r="S25" s="96">
        <f>0.5*(Lecanemab!R25+Lecanemab!R26)</f>
        <v>4.9884904107318131E-4</v>
      </c>
      <c r="T25" s="96">
        <f>0.5*(Lecanemab!S25+Lecanemab!S26)</f>
        <v>1.6665730484470304E-3</v>
      </c>
      <c r="U25" s="96">
        <f>0.5*(Lecanemab!T25+Lecanemab!T26)</f>
        <v>3.6355663639765626E-2</v>
      </c>
      <c r="V25" s="96">
        <f>0.5*(Lecanemab!U25+Lecanemab!U26)</f>
        <v>4.5116683123698542E-2</v>
      </c>
      <c r="W25" s="96">
        <f>0.5*(Lecanemab!V25+Lecanemab!V26)</f>
        <v>6.671696565988078E-3</v>
      </c>
      <c r="X25" s="96">
        <f>0.5*(Lecanemab!W25+Lecanemab!W26)</f>
        <v>6.7957315907252603E-4</v>
      </c>
      <c r="Y25" s="96">
        <f>0.5*(Lecanemab!X25+Lecanemab!X26)</f>
        <v>5.9924646622987778E-3</v>
      </c>
      <c r="Z25" s="96">
        <f>0.5*(Lecanemab!Y25+Lecanemab!Y26)</f>
        <v>1.7188383438212127E-3</v>
      </c>
      <c r="AA25" s="96">
        <f>0.5*(Lecanemab!Z25+Lecanemab!Z26)</f>
        <v>4.7833953191703154E-3</v>
      </c>
      <c r="AB25" s="96">
        <f>0.5*(Lecanemab!AA25+Lecanemab!AA26)</f>
        <v>3.5941131903249645E-3</v>
      </c>
      <c r="AC25" s="96">
        <f>0.5*(Lecanemab!AB25+Lecanemab!AB26)</f>
        <v>4.6524413701481381E-3</v>
      </c>
      <c r="AD25" s="96">
        <f>0.5*(Lecanemab!AC25+Lecanemab!AC26)</f>
        <v>1.7244814297832756E-2</v>
      </c>
      <c r="AE25" s="96">
        <f>0.5*(Lecanemab!AD25+Lecanemab!AD26)</f>
        <v>0.36514234334061246</v>
      </c>
      <c r="AF25" s="96">
        <f>0.5*(Lecanemab!AE25+Lecanemab!AE26)</f>
        <v>0.50189312565772704</v>
      </c>
      <c r="AH25" s="83">
        <f t="shared" si="5"/>
        <v>0.99999999999999989</v>
      </c>
      <c r="AK25" s="19">
        <f t="shared" si="6"/>
        <v>20170.171181707919</v>
      </c>
      <c r="AL25" s="22">
        <f t="shared" si="1"/>
        <v>2443.7475661759913</v>
      </c>
      <c r="AM25" s="22">
        <v>0</v>
      </c>
      <c r="AN25" s="22">
        <v>0</v>
      </c>
      <c r="AO25" s="22">
        <f t="shared" si="7"/>
        <v>18183.697624654029</v>
      </c>
      <c r="AP25" s="22">
        <f t="shared" si="2"/>
        <v>36158.24425845025</v>
      </c>
      <c r="AQ25" s="22">
        <v>0</v>
      </c>
      <c r="AR25" s="22">
        <v>0</v>
      </c>
      <c r="AS25" s="22">
        <f t="shared" si="3"/>
        <v>67423.135432202136</v>
      </c>
      <c r="AT25" s="22">
        <v>0</v>
      </c>
      <c r="AU25" s="22">
        <v>0</v>
      </c>
      <c r="AV25" s="22">
        <f t="shared" si="4"/>
        <v>234536.14921909902</v>
      </c>
      <c r="AW25" s="22">
        <v>0</v>
      </c>
      <c r="AX25" s="22">
        <v>0</v>
      </c>
      <c r="AY25" s="22">
        <v>0</v>
      </c>
      <c r="AZ25" s="22">
        <f t="shared" si="8"/>
        <v>378915.14528228936</v>
      </c>
      <c r="BD25" s="23">
        <f t="shared" si="9"/>
        <v>2.9958919240182565E-3</v>
      </c>
      <c r="BE25" s="23">
        <f t="shared" si="10"/>
        <v>1.6180574998596747E-3</v>
      </c>
      <c r="BF25" s="23">
        <f t="shared" si="11"/>
        <v>9.2762864675934693E-4</v>
      </c>
      <c r="BG25" s="23">
        <f t="shared" si="12"/>
        <v>7.8552715016630816E-4</v>
      </c>
      <c r="BH25" s="23">
        <f t="shared" si="13"/>
        <v>6.3271052208035868E-3</v>
      </c>
    </row>
    <row r="26" spans="2:60" ht="11.1" customHeight="1" x14ac:dyDescent="0.3">
      <c r="B26" s="19">
        <v>18</v>
      </c>
      <c r="C26" s="19">
        <f t="shared" si="14"/>
        <v>89</v>
      </c>
      <c r="F26" s="20">
        <f t="shared" si="15"/>
        <v>0.16070994032977881</v>
      </c>
      <c r="G26" s="20">
        <f t="shared" si="16"/>
        <v>0.21196206263431105</v>
      </c>
      <c r="H26" s="20">
        <f t="shared" si="17"/>
        <v>0.34969455826877838</v>
      </c>
      <c r="I26" s="20">
        <f t="shared" si="18"/>
        <v>0.56923140754809931</v>
      </c>
      <c r="M26" s="96">
        <f>0.5*(Lecanemab!L26+Lecanemab!L27)</f>
        <v>9.1235660854643266E-4</v>
      </c>
      <c r="N26" s="96">
        <f>0.5*(Lecanemab!M26+Lecanemab!M27)</f>
        <v>9.3855841056110501E-5</v>
      </c>
      <c r="O26" s="96">
        <f>0.5*(Lecanemab!N26+Lecanemab!N27)</f>
        <v>6.7180811332988636E-4</v>
      </c>
      <c r="P26" s="96">
        <f>0.5*(Lecanemab!O26+Lecanemab!O27)</f>
        <v>2.1957183688010862E-4</v>
      </c>
      <c r="Q26" s="96">
        <f>0.5*(Lecanemab!P26+Lecanemab!P27)</f>
        <v>3.437679382907728E-4</v>
      </c>
      <c r="R26" s="96">
        <f>0.5*(Lecanemab!Q26+Lecanemab!Q27)</f>
        <v>2.4457845127465064E-4</v>
      </c>
      <c r="S26" s="96">
        <f>0.5*(Lecanemab!R26+Lecanemab!R27)</f>
        <v>2.780263249466011E-4</v>
      </c>
      <c r="T26" s="96">
        <f>0.5*(Lecanemab!S26+Lecanemab!S27)</f>
        <v>8.3945934853920583E-4</v>
      </c>
      <c r="U26" s="96">
        <f>0.5*(Lecanemab!T26+Lecanemab!T27)</f>
        <v>3.2300115692098286E-2</v>
      </c>
      <c r="V26" s="96">
        <f>0.5*(Lecanemab!U26+Lecanemab!U27)</f>
        <v>4.0332118705951117E-2</v>
      </c>
      <c r="W26" s="96">
        <f>0.5*(Lecanemab!V26+Lecanemab!V27)</f>
        <v>4.6362275092208961E-3</v>
      </c>
      <c r="X26" s="96">
        <f>0.5*(Lecanemab!W26+Lecanemab!W27)</f>
        <v>5.0757571526740522E-4</v>
      </c>
      <c r="Y26" s="96">
        <f>0.5*(Lecanemab!X26+Lecanemab!X27)</f>
        <v>4.118569761830013E-3</v>
      </c>
      <c r="Z26" s="96">
        <f>0.5*(Lecanemab!Y26+Lecanemab!Y27)</f>
        <v>1.2021952834013537E-3</v>
      </c>
      <c r="AA26" s="96">
        <f>0.5*(Lecanemab!Z26+Lecanemab!Z27)</f>
        <v>3.1997097442681872E-3</v>
      </c>
      <c r="AB26" s="96">
        <f>0.5*(Lecanemab!AA26+Lecanemab!AA27)</f>
        <v>2.339702753119427E-3</v>
      </c>
      <c r="AC26" s="96">
        <f>0.5*(Lecanemab!AB26+Lecanemab!AB27)</f>
        <v>2.8621897030353879E-3</v>
      </c>
      <c r="AD26" s="96">
        <f>0.5*(Lecanemab!AC26+Lecanemab!AC27)</f>
        <v>9.7535175190210585E-3</v>
      </c>
      <c r="AE26" s="96">
        <f>0.5*(Lecanemab!AD26+Lecanemab!AD27)</f>
        <v>0.37524360827992359</v>
      </c>
      <c r="AF26" s="96">
        <f>0.5*(Lecanemab!AE26+Lecanemab!AE27)</f>
        <v>0.51990104486999944</v>
      </c>
      <c r="AH26" s="83">
        <f t="shared" si="5"/>
        <v>1</v>
      </c>
      <c r="AK26" s="19">
        <f t="shared" si="6"/>
        <v>12279.979906183264</v>
      </c>
      <c r="AL26" s="22">
        <f t="shared" si="1"/>
        <v>1610.0052063936316</v>
      </c>
      <c r="AM26" s="22">
        <v>0</v>
      </c>
      <c r="AN26" s="22">
        <v>0</v>
      </c>
      <c r="AO26" s="22">
        <f t="shared" si="7"/>
        <v>10878.545461922211</v>
      </c>
      <c r="AP26" s="22">
        <f t="shared" si="2"/>
        <v>23529.479657303971</v>
      </c>
      <c r="AQ26" s="22">
        <v>0</v>
      </c>
      <c r="AR26" s="22">
        <v>0</v>
      </c>
      <c r="AS26" s="22">
        <f t="shared" si="3"/>
        <v>42100.186196518283</v>
      </c>
      <c r="AT26" s="22">
        <v>0</v>
      </c>
      <c r="AU26" s="22">
        <v>0</v>
      </c>
      <c r="AV26" s="22">
        <f t="shared" si="4"/>
        <v>127100.10471789463</v>
      </c>
      <c r="AW26" s="22">
        <v>0</v>
      </c>
      <c r="AX26" s="22">
        <v>0</v>
      </c>
      <c r="AY26" s="22">
        <v>0</v>
      </c>
      <c r="AZ26" s="22">
        <f t="shared" si="8"/>
        <v>217498.30114621599</v>
      </c>
      <c r="BD26" s="23">
        <f t="shared" si="9"/>
        <v>1.9655774637492634E-3</v>
      </c>
      <c r="BE26" s="23">
        <f t="shared" si="10"/>
        <v>1.0507553802141926E-3</v>
      </c>
      <c r="BF26" s="23">
        <f t="shared" si="11"/>
        <v>5.8306447480578399E-4</v>
      </c>
      <c r="BG26" s="23">
        <f t="shared" si="12"/>
        <v>4.3282310949360693E-4</v>
      </c>
      <c r="BH26" s="23">
        <f t="shared" si="13"/>
        <v>4.0322204282628466E-3</v>
      </c>
    </row>
    <row r="27" spans="2:60" ht="11.1" customHeight="1" x14ac:dyDescent="0.3">
      <c r="B27" s="19">
        <v>19</v>
      </c>
      <c r="C27" s="19">
        <f t="shared" si="14"/>
        <v>90</v>
      </c>
      <c r="F27" s="20">
        <f t="shared" si="15"/>
        <v>0.17929445877373706</v>
      </c>
      <c r="G27" s="20">
        <f t="shared" si="16"/>
        <v>0.23559252191517477</v>
      </c>
      <c r="H27" s="20">
        <f t="shared" si="17"/>
        <v>0.38449423321545761</v>
      </c>
      <c r="I27" s="20">
        <f t="shared" si="18"/>
        <v>0.61319047359581413</v>
      </c>
      <c r="M27" s="96">
        <f>0.5*(Lecanemab!L27+Lecanemab!L28)</f>
        <v>5.6444125628509585E-4</v>
      </c>
      <c r="N27" s="96">
        <f>0.5*(Lecanemab!M27+Lecanemab!M28)</f>
        <v>6.1932339421759622E-5</v>
      </c>
      <c r="O27" s="96">
        <f>0.5*(Lecanemab!N27+Lecanemab!N28)</f>
        <v>4.0873979298389879E-4</v>
      </c>
      <c r="P27" s="96">
        <f>0.5*(Lecanemab!O27+Lecanemab!O28)</f>
        <v>1.3513593080506078E-4</v>
      </c>
      <c r="Q27" s="96">
        <f>0.5*(Lecanemab!P27+Lecanemab!P28)</f>
        <v>2.0303556389065326E-4</v>
      </c>
      <c r="R27" s="96">
        <f>0.5*(Lecanemab!Q27+Lecanemab!Q28)</f>
        <v>1.3982525823390675E-4</v>
      </c>
      <c r="S27" s="96">
        <f>0.5*(Lecanemab!R27+Lecanemab!R28)</f>
        <v>1.5073970542793028E-4</v>
      </c>
      <c r="T27" s="96">
        <f>0.5*(Lecanemab!S27+Lecanemab!S28)</f>
        <v>3.995585948246463E-4</v>
      </c>
      <c r="U27" s="96">
        <f>0.5*(Lecanemab!T27+Lecanemab!T28)</f>
        <v>2.8550106983130451E-2</v>
      </c>
      <c r="V27" s="96">
        <f>0.5*(Lecanemab!U27+Lecanemab!U28)</f>
        <v>3.5711507783991063E-2</v>
      </c>
      <c r="W27" s="96">
        <f>0.5*(Lecanemab!V27+Lecanemab!V28)</f>
        <v>3.1444412918923198E-3</v>
      </c>
      <c r="X27" s="96">
        <f>0.5*(Lecanemab!W27+Lecanemab!W28)</f>
        <v>3.6756706368945964E-4</v>
      </c>
      <c r="Y27" s="96">
        <f>0.5*(Lecanemab!X27+Lecanemab!X28)</f>
        <v>2.7583861678925283E-3</v>
      </c>
      <c r="Z27" s="96">
        <f>0.5*(Lecanemab!Y27+Lecanemab!Y28)</f>
        <v>8.1506688466559548E-4</v>
      </c>
      <c r="AA27" s="96">
        <f>0.5*(Lecanemab!Z27+Lecanemab!Z28)</f>
        <v>2.0797951280967417E-3</v>
      </c>
      <c r="AB27" s="96">
        <f>0.5*(Lecanemab!AA27+Lecanemab!AA28)</f>
        <v>1.4654817181663845E-3</v>
      </c>
      <c r="AC27" s="96">
        <f>0.5*(Lecanemab!AB27+Lecanemab!AB28)</f>
        <v>1.7041804063061836E-3</v>
      </c>
      <c r="AD27" s="96">
        <f>0.5*(Lecanemab!AC27+Lecanemab!AC28)</f>
        <v>5.1567779775595433E-3</v>
      </c>
      <c r="AE27" s="96">
        <f>0.5*(Lecanemab!AD27+Lecanemab!AD28)</f>
        <v>0.38334179959807002</v>
      </c>
      <c r="AF27" s="96">
        <f>0.5*(Lecanemab!AE27+Lecanemab!AE28)</f>
        <v>0.53284148055466662</v>
      </c>
      <c r="AH27" s="83">
        <f t="shared" si="5"/>
        <v>0.99999999999999989</v>
      </c>
      <c r="AK27" s="19">
        <f t="shared" si="6"/>
        <v>7315.1817580177849</v>
      </c>
      <c r="AL27" s="22">
        <f t="shared" si="1"/>
        <v>1036.7292187484693</v>
      </c>
      <c r="AM27" s="22">
        <v>0</v>
      </c>
      <c r="AN27" s="22">
        <v>0</v>
      </c>
      <c r="AO27" s="22">
        <f t="shared" si="7"/>
        <v>6351.7201244729495</v>
      </c>
      <c r="AP27" s="22">
        <f t="shared" si="2"/>
        <v>14925.562108192986</v>
      </c>
      <c r="AQ27" s="22">
        <v>0</v>
      </c>
      <c r="AR27" s="22">
        <v>0</v>
      </c>
      <c r="AS27" s="22">
        <f t="shared" si="3"/>
        <v>25447.043615098704</v>
      </c>
      <c r="AT27" s="22">
        <v>0</v>
      </c>
      <c r="AU27" s="22">
        <v>0</v>
      </c>
      <c r="AV27" s="22">
        <f t="shared" si="4"/>
        <v>64877.68467275241</v>
      </c>
      <c r="AW27" s="22">
        <v>0</v>
      </c>
      <c r="AX27" s="22">
        <v>0</v>
      </c>
      <c r="AY27" s="22">
        <v>0</v>
      </c>
      <c r="AZ27" s="22">
        <f t="shared" si="8"/>
        <v>119953.9214972833</v>
      </c>
      <c r="BD27" s="23">
        <f t="shared" si="9"/>
        <v>1.2606220122699065E-3</v>
      </c>
      <c r="BE27" s="23">
        <f t="shared" si="10"/>
        <v>6.6558092303136546E-4</v>
      </c>
      <c r="BF27" s="23">
        <f t="shared" si="11"/>
        <v>3.5558263139543519E-4</v>
      </c>
      <c r="BG27" s="23">
        <f t="shared" si="12"/>
        <v>2.2643573498936942E-4</v>
      </c>
      <c r="BH27" s="23">
        <f t="shared" si="13"/>
        <v>2.5082213016860764E-3</v>
      </c>
    </row>
    <row r="28" spans="2:60" ht="11.1" customHeight="1" x14ac:dyDescent="0.3">
      <c r="B28" s="19">
        <v>20</v>
      </c>
      <c r="C28" s="19">
        <f t="shared" si="14"/>
        <v>91</v>
      </c>
      <c r="F28" s="20">
        <f t="shared" si="15"/>
        <v>0.19916275711288256</v>
      </c>
      <c r="G28" s="20">
        <f t="shared" si="16"/>
        <v>0.26064325341587646</v>
      </c>
      <c r="H28" s="20">
        <f t="shared" si="17"/>
        <v>0.42044965421804492</v>
      </c>
      <c r="I28" s="20">
        <f t="shared" si="18"/>
        <v>0.65617648638428305</v>
      </c>
      <c r="M28" s="96">
        <f>0.5*(Lecanemab!L28+Lecanemab!L29)</f>
        <v>3.4104589925655247E-4</v>
      </c>
      <c r="N28" s="96">
        <f>0.5*(Lecanemab!M28+Lecanemab!M29)</f>
        <v>3.9678365292725188E-5</v>
      </c>
      <c r="O28" s="96">
        <f>0.5*(Lecanemab!N28+Lecanemab!N29)</f>
        <v>2.4248324399140563E-4</v>
      </c>
      <c r="P28" s="96">
        <f>0.5*(Lecanemab!O28+Lecanemab!O29)</f>
        <v>8.0773862740496903E-5</v>
      </c>
      <c r="Q28" s="96">
        <f>0.5*(Lecanemab!P28+Lecanemab!P29)</f>
        <v>1.1670905952421105E-4</v>
      </c>
      <c r="R28" s="96">
        <f>0.5*(Lecanemab!Q28+Lecanemab!Q29)</f>
        <v>7.754185073045583E-5</v>
      </c>
      <c r="S28" s="96">
        <f>0.5*(Lecanemab!R28+Lecanemab!R29)</f>
        <v>7.9485571943990638E-5</v>
      </c>
      <c r="T28" s="96">
        <f>0.5*(Lecanemab!S28+Lecanemab!S29)</f>
        <v>1.8087586951808025E-4</v>
      </c>
      <c r="U28" s="96">
        <f>0.5*(Lecanemab!T28+Lecanemab!T29)</f>
        <v>2.5131628005585244E-2</v>
      </c>
      <c r="V28" s="96">
        <f>0.5*(Lecanemab!U28+Lecanemab!U29)</f>
        <v>3.1412548463242027E-2</v>
      </c>
      <c r="W28" s="96">
        <f>0.5*(Lecanemab!V28+Lecanemab!V29)</f>
        <v>2.0778026838880314E-3</v>
      </c>
      <c r="X28" s="96">
        <f>0.5*(Lecanemab!W28+Lecanemab!W29)</f>
        <v>2.5775435000422668E-4</v>
      </c>
      <c r="Y28" s="96">
        <f>0.5*(Lecanemab!X28+Lecanemab!X29)</f>
        <v>1.7972477685055605E-3</v>
      </c>
      <c r="Z28" s="96">
        <f>0.5*(Lecanemab!Y28+Lecanemab!Y29)</f>
        <v>5.3518957840607969E-4</v>
      </c>
      <c r="AA28" s="96">
        <f>0.5*(Lecanemab!Z28+Lecanemab!Z29)</f>
        <v>1.3118805848180834E-3</v>
      </c>
      <c r="AB28" s="96">
        <f>0.5*(Lecanemab!AA28+Lecanemab!AA29)</f>
        <v>8.8493044276048986E-4</v>
      </c>
      <c r="AC28" s="96">
        <f>0.5*(Lecanemab!AB28+Lecanemab!AB29)</f>
        <v>9.8277050189254358E-4</v>
      </c>
      <c r="AD28" s="96">
        <f>0.5*(Lecanemab!AC28+Lecanemab!AC29)</f>
        <v>2.5611651510078354E-3</v>
      </c>
      <c r="AE28" s="96">
        <f>0.5*(Lecanemab!AD28+Lecanemab!AD29)</f>
        <v>0.38980003064230639</v>
      </c>
      <c r="AF28" s="96">
        <f>0.5*(Lecanemab!AE28+Lecanemab!AE29)</f>
        <v>0.5420884581045855</v>
      </c>
      <c r="AH28" s="83">
        <f t="shared" si="5"/>
        <v>1</v>
      </c>
      <c r="AK28" s="19">
        <f t="shared" si="6"/>
        <v>4254.8665683044319</v>
      </c>
      <c r="AL28" s="22">
        <f t="shared" si="1"/>
        <v>651.16825540969512</v>
      </c>
      <c r="AM28" s="22">
        <v>0</v>
      </c>
      <c r="AN28" s="22">
        <v>0</v>
      </c>
      <c r="AO28" s="22">
        <f t="shared" si="7"/>
        <v>3612.6298859062285</v>
      </c>
      <c r="AP28" s="22">
        <f t="shared" si="2"/>
        <v>9213.2690634266692</v>
      </c>
      <c r="AQ28" s="22">
        <v>0</v>
      </c>
      <c r="AR28" s="22">
        <v>0</v>
      </c>
      <c r="AS28" s="22">
        <f t="shared" si="3"/>
        <v>14895.623204558549</v>
      </c>
      <c r="AT28" s="22">
        <v>0</v>
      </c>
      <c r="AU28" s="22">
        <v>0</v>
      </c>
      <c r="AV28" s="22">
        <f t="shared" si="4"/>
        <v>31369.215114545103</v>
      </c>
      <c r="AW28" s="22">
        <v>0</v>
      </c>
      <c r="AX28" s="22">
        <v>0</v>
      </c>
      <c r="AY28" s="22">
        <v>0</v>
      </c>
      <c r="AZ28" s="22">
        <f t="shared" si="8"/>
        <v>63996.772092150677</v>
      </c>
      <c r="BD28" s="23">
        <f t="shared" si="9"/>
        <v>7.8875657528927905E-4</v>
      </c>
      <c r="BE28" s="23">
        <f t="shared" si="10"/>
        <v>4.1049538858958264E-4</v>
      </c>
      <c r="BF28" s="23">
        <f t="shared" si="11"/>
        <v>2.1032038146429161E-4</v>
      </c>
      <c r="BG28" s="23">
        <f t="shared" si="12"/>
        <v>1.1314466721703391E-4</v>
      </c>
      <c r="BH28" s="23">
        <f t="shared" si="13"/>
        <v>1.5227170125601871E-3</v>
      </c>
    </row>
    <row r="29" spans="2:60" ht="11.1" customHeight="1" x14ac:dyDescent="0.3">
      <c r="B29" s="19">
        <v>21</v>
      </c>
      <c r="C29" s="19">
        <f t="shared" si="14"/>
        <v>92</v>
      </c>
      <c r="F29" s="20">
        <f t="shared" si="15"/>
        <v>0.22026361009796191</v>
      </c>
      <c r="G29" s="20">
        <f t="shared" si="16"/>
        <v>0.28700427627571667</v>
      </c>
      <c r="H29" s="20">
        <f t="shared" si="17"/>
        <v>0.4572389937665472</v>
      </c>
      <c r="I29" s="20">
        <f t="shared" si="18"/>
        <v>0.69759345014968455</v>
      </c>
      <c r="M29" s="96">
        <f>0.5*(Lecanemab!L29+Lecanemab!L30)</f>
        <v>2.0082364223562252E-4</v>
      </c>
      <c r="N29" s="96">
        <f>0.5*(Lecanemab!M29+Lecanemab!M30)</f>
        <v>2.4640959711691002E-5</v>
      </c>
      <c r="O29" s="96">
        <f>0.5*(Lecanemab!N29+Lecanemab!N30)</f>
        <v>1.3997340620892516E-4</v>
      </c>
      <c r="P29" s="96">
        <f>0.5*(Lecanemab!O29+Lecanemab!O30)</f>
        <v>4.6816032683685308E-5</v>
      </c>
      <c r="Q29" s="96">
        <f>0.5*(Lecanemab!P29+Lecanemab!P30)</f>
        <v>6.5168325456526526E-5</v>
      </c>
      <c r="R29" s="96">
        <f>0.5*(Lecanemab!Q29+Lecanemab!Q30)</f>
        <v>4.1732964984340278E-5</v>
      </c>
      <c r="S29" s="96">
        <f>0.5*(Lecanemab!R29+Lecanemab!R30)</f>
        <v>4.0735004232693435E-5</v>
      </c>
      <c r="T29" s="96">
        <f>0.5*(Lecanemab!S29+Lecanemab!S30)</f>
        <v>7.8590005737555062E-5</v>
      </c>
      <c r="U29" s="96">
        <f>0.5*(Lecanemab!T29+Lecanemab!T30)</f>
        <v>2.2050700854620686E-2</v>
      </c>
      <c r="V29" s="96">
        <f>0.5*(Lecanemab!U29+Lecanemab!U30)</f>
        <v>2.7512228871016189E-2</v>
      </c>
      <c r="W29" s="96">
        <f>0.5*(Lecanemab!V29+Lecanemab!V30)</f>
        <v>1.3351226190418306E-3</v>
      </c>
      <c r="X29" s="96">
        <f>0.5*(Lecanemab!W29+Lecanemab!W30)</f>
        <v>1.7478554375999423E-4</v>
      </c>
      <c r="Y29" s="96">
        <f>0.5*(Lecanemab!X29+Lecanemab!X30)</f>
        <v>1.1371596832332506E-3</v>
      </c>
      <c r="Z29" s="96">
        <f>0.5*(Lecanemab!Y29+Lecanemab!Y30)</f>
        <v>3.4002131700800516E-4</v>
      </c>
      <c r="AA29" s="96">
        <f>0.5*(Lecanemab!Z29+Lecanemab!Z30)</f>
        <v>8.0183452562907691E-4</v>
      </c>
      <c r="AB29" s="96">
        <f>0.5*(Lecanemab!AA29+Lecanemab!AA30)</f>
        <v>5.1614281420645706E-4</v>
      </c>
      <c r="AC29" s="96">
        <f>0.5*(Lecanemab!AB29+Lecanemab!AB30)</f>
        <v>5.490502572863419E-4</v>
      </c>
      <c r="AD29" s="96">
        <f>0.5*(Lecanemab!AC29+Lecanemab!AC30)</f>
        <v>1.2048187011293289E-3</v>
      </c>
      <c r="AE29" s="96">
        <f>0.5*(Lecanemab!AD29+Lecanemab!AD30)</f>
        <v>0.39494532880717093</v>
      </c>
      <c r="AF29" s="96">
        <f>0.5*(Lecanemab!AE29+Lecanemab!AE30)</f>
        <v>0.54879432566464681</v>
      </c>
      <c r="AH29" s="83">
        <f t="shared" si="5"/>
        <v>1</v>
      </c>
      <c r="AK29" s="19">
        <f t="shared" si="6"/>
        <v>2411.2234880451747</v>
      </c>
      <c r="AL29" s="22">
        <f t="shared" si="1"/>
        <v>398.10255396901323</v>
      </c>
      <c r="AM29" s="22">
        <v>0</v>
      </c>
      <c r="AN29" s="22">
        <v>0</v>
      </c>
      <c r="AO29" s="22">
        <f t="shared" si="7"/>
        <v>1997.6132771471082</v>
      </c>
      <c r="AP29" s="22">
        <f t="shared" si="2"/>
        <v>5524.3607742728582</v>
      </c>
      <c r="AQ29" s="22">
        <v>0</v>
      </c>
      <c r="AR29" s="22">
        <v>0</v>
      </c>
      <c r="AS29" s="22">
        <f t="shared" si="3"/>
        <v>8446.1098606987471</v>
      </c>
      <c r="AT29" s="22">
        <v>0</v>
      </c>
      <c r="AU29" s="22">
        <v>0</v>
      </c>
      <c r="AV29" s="22">
        <f t="shared" si="4"/>
        <v>14491.09472848869</v>
      </c>
      <c r="AW29" s="22">
        <v>0</v>
      </c>
      <c r="AX29" s="22">
        <v>0</v>
      </c>
      <c r="AY29" s="22">
        <v>0</v>
      </c>
      <c r="AZ29" s="22">
        <f t="shared" si="8"/>
        <v>33268.504682621591</v>
      </c>
      <c r="BD29" s="23">
        <f t="shared" si="9"/>
        <v>4.8045839049630046E-4</v>
      </c>
      <c r="BE29" s="23">
        <f t="shared" si="10"/>
        <v>2.4603799641510668E-4</v>
      </c>
      <c r="BF29" s="23">
        <f t="shared" si="11"/>
        <v>1.2058373474946091E-4</v>
      </c>
      <c r="BG29" s="23">
        <f t="shared" si="12"/>
        <v>5.4424402507217456E-5</v>
      </c>
      <c r="BH29" s="23">
        <f t="shared" si="13"/>
        <v>9.0150452416808537E-4</v>
      </c>
    </row>
    <row r="30" spans="2:60" ht="11.1" customHeight="1" x14ac:dyDescent="0.3">
      <c r="B30" s="19">
        <v>22</v>
      </c>
      <c r="C30" s="19">
        <f t="shared" si="14"/>
        <v>93</v>
      </c>
      <c r="F30" s="20">
        <f t="shared" si="15"/>
        <v>0.24252778516240336</v>
      </c>
      <c r="G30" s="20">
        <f t="shared" si="16"/>
        <v>0.31454168523303749</v>
      </c>
      <c r="H30" s="20">
        <f t="shared" si="17"/>
        <v>0.49451566511171885</v>
      </c>
      <c r="I30" s="20">
        <f t="shared" si="18"/>
        <v>0.73690436438464824</v>
      </c>
      <c r="M30" s="96">
        <f>0.5*(Lecanemab!L30+Lecanemab!L31)</f>
        <v>1.1499082117300677E-4</v>
      </c>
      <c r="N30" s="96">
        <f>0.5*(Lecanemab!M30+Lecanemab!M31)</f>
        <v>1.4807098995766153E-5</v>
      </c>
      <c r="O30" s="96">
        <f>0.5*(Lecanemab!N30+Lecanemab!N31)</f>
        <v>7.8452699391229772E-5</v>
      </c>
      <c r="P30" s="96">
        <f>0.5*(Lecanemab!O30+Lecanemab!O31)</f>
        <v>2.6267477256136013E-5</v>
      </c>
      <c r="Q30" s="96">
        <f>0.5*(Lecanemab!P30+Lecanemab!P31)</f>
        <v>3.5278763489599122E-5</v>
      </c>
      <c r="R30" s="96">
        <f>0.5*(Lecanemab!Q30+Lecanemab!Q31)</f>
        <v>2.1791803248698186E-5</v>
      </c>
      <c r="S30" s="96">
        <f>0.5*(Lecanemab!R30+Lecanemab!R31)</f>
        <v>2.0267453292424769E-5</v>
      </c>
      <c r="T30" s="96">
        <f>0.5*(Lecanemab!S30+Lecanemab!S31)</f>
        <v>3.3123704026906144E-5</v>
      </c>
      <c r="U30" s="96">
        <f>0.5*(Lecanemab!T30+Lecanemab!T31)</f>
        <v>1.9299077598877588E-2</v>
      </c>
      <c r="V30" s="96">
        <f>0.5*(Lecanemab!U30+Lecanemab!U31)</f>
        <v>2.4031169338441131E-2</v>
      </c>
      <c r="W30" s="96">
        <f>0.5*(Lecanemab!V30+Lecanemab!V31)</f>
        <v>8.325754960246234E-4</v>
      </c>
      <c r="X30" s="96">
        <f>0.5*(Lecanemab!W30+Lecanemab!W31)</f>
        <v>1.1444063763529208E-4</v>
      </c>
      <c r="Y30" s="96">
        <f>0.5*(Lecanemab!X30+Lecanemab!X31)</f>
        <v>6.9737787381289466E-4</v>
      </c>
      <c r="Z30" s="96">
        <f>0.5*(Lecanemab!Y30+Lecanemab!Y31)</f>
        <v>2.0879726772098561E-4</v>
      </c>
      <c r="AA30" s="96">
        <f>0.5*(Lecanemab!Z30+Lecanemab!Z31)</f>
        <v>4.7412489784424148E-4</v>
      </c>
      <c r="AB30" s="96">
        <f>0.5*(Lecanemab!AA30+Lecanemab!AA31)</f>
        <v>2.9117156777911334E-4</v>
      </c>
      <c r="AC30" s="96">
        <f>0.5*(Lecanemab!AB30+Lecanemab!AB31)</f>
        <v>2.9708420467469145E-4</v>
      </c>
      <c r="AD30" s="96">
        <f>0.5*(Lecanemab!AC30+Lecanemab!AC31)</f>
        <v>5.4297344209790492E-4</v>
      </c>
      <c r="AE30" s="96">
        <f>0.5*(Lecanemab!AD30+Lecanemab!AD31)</f>
        <v>0.39905740418286328</v>
      </c>
      <c r="AF30" s="96">
        <f>0.5*(Lecanemab!AE30+Lecanemab!AE31)</f>
        <v>0.55380882367135442</v>
      </c>
      <c r="AH30" s="83">
        <f t="shared" si="5"/>
        <v>1</v>
      </c>
      <c r="AK30" s="19">
        <f t="shared" si="6"/>
        <v>1328.3439482062408</v>
      </c>
      <c r="AL30" s="22">
        <f t="shared" si="1"/>
        <v>236.38864489559879</v>
      </c>
      <c r="AM30" s="22">
        <v>0</v>
      </c>
      <c r="AN30" s="22">
        <v>0</v>
      </c>
      <c r="AO30" s="22">
        <f t="shared" si="7"/>
        <v>1071.6998602423132</v>
      </c>
      <c r="AP30" s="22">
        <f t="shared" si="2"/>
        <v>3211.6484039841389</v>
      </c>
      <c r="AQ30" s="22">
        <v>0</v>
      </c>
      <c r="AR30" s="22">
        <v>0</v>
      </c>
      <c r="AS30" s="22">
        <f t="shared" si="3"/>
        <v>4638.217919557801</v>
      </c>
      <c r="AT30" s="22">
        <v>0</v>
      </c>
      <c r="AU30" s="22">
        <v>0</v>
      </c>
      <c r="AV30" s="22">
        <f t="shared" si="4"/>
        <v>6464.4362094660519</v>
      </c>
      <c r="AW30" s="22">
        <v>0</v>
      </c>
      <c r="AX30" s="22">
        <v>0</v>
      </c>
      <c r="AY30" s="22">
        <v>0</v>
      </c>
      <c r="AZ30" s="22">
        <f t="shared" si="8"/>
        <v>16950.734986352145</v>
      </c>
      <c r="BD30" s="23">
        <f t="shared" si="9"/>
        <v>2.8430454536990303E-4</v>
      </c>
      <c r="BE30" s="23">
        <f t="shared" si="10"/>
        <v>1.4303128507732297E-4</v>
      </c>
      <c r="BF30" s="23">
        <f t="shared" si="11"/>
        <v>6.6953809804461722E-5</v>
      </c>
      <c r="BG30" s="23">
        <f t="shared" si="12"/>
        <v>2.5415543768688785E-5</v>
      </c>
      <c r="BH30" s="23">
        <f t="shared" si="13"/>
        <v>5.1970518402037649E-4</v>
      </c>
    </row>
    <row r="31" spans="2:60" ht="11.1" customHeight="1" x14ac:dyDescent="0.3">
      <c r="B31" s="19">
        <v>23</v>
      </c>
      <c r="C31" s="19">
        <f t="shared" si="14"/>
        <v>94</v>
      </c>
      <c r="F31" s="20">
        <f t="shared" si="15"/>
        <v>0.2658525512412393</v>
      </c>
      <c r="G31" s="20">
        <f t="shared" si="16"/>
        <v>0.34308016776870653</v>
      </c>
      <c r="H31" s="20">
        <f t="shared" si="17"/>
        <v>0.53189321895491859</v>
      </c>
      <c r="I31" s="20">
        <f t="shared" si="18"/>
        <v>0.77363048563701819</v>
      </c>
      <c r="M31" s="96">
        <f>0.5*(Lecanemab!L31+Lecanemab!L32)</f>
        <v>6.3881329405877934E-5</v>
      </c>
      <c r="N31" s="96">
        <f>0.5*(Lecanemab!M31+Lecanemab!M32)</f>
        <v>8.5939814769659389E-6</v>
      </c>
      <c r="O31" s="96">
        <f>0.5*(Lecanemab!N31+Lecanemab!N32)</f>
        <v>4.260114357540678E-5</v>
      </c>
      <c r="P31" s="96">
        <f>0.5*(Lecanemab!O31+Lecanemab!O32)</f>
        <v>1.4242163181537859E-5</v>
      </c>
      <c r="Q31" s="96">
        <f>0.5*(Lecanemab!P31+Lecanemab!P32)</f>
        <v>1.8478361772278436E-5</v>
      </c>
      <c r="R31" s="96">
        <f>0.5*(Lecanemab!Q31+Lecanemab!Q32)</f>
        <v>1.102783916312617E-5</v>
      </c>
      <c r="S31" s="96">
        <f>0.5*(Lecanemab!R31+Lecanemab!R32)</f>
        <v>9.7762518507960004E-6</v>
      </c>
      <c r="T31" s="96">
        <f>0.5*(Lecanemab!S31+Lecanemab!S32)</f>
        <v>1.367220345741333E-5</v>
      </c>
      <c r="U31" s="96">
        <f>0.5*(Lecanemab!T31+Lecanemab!T32)</f>
        <v>1.6859056846473507E-2</v>
      </c>
      <c r="V31" s="96">
        <f>0.5*(Lecanemab!U31+Lecanemab!U32)</f>
        <v>2.0956117159270551E-2</v>
      </c>
      <c r="W31" s="96">
        <f>0.5*(Lecanemab!V31+Lecanemab!V32)</f>
        <v>5.0281360818069587E-4</v>
      </c>
      <c r="X31" s="96">
        <f>0.5*(Lecanemab!W31+Lecanemab!W32)</f>
        <v>7.2232561668865669E-5</v>
      </c>
      <c r="Y31" s="96">
        <f>0.5*(Lecanemab!X31+Lecanemab!X32)</f>
        <v>4.1370251343835417E-4</v>
      </c>
      <c r="Z31" s="96">
        <f>0.5*(Lecanemab!Y31+Lecanemab!Y32)</f>
        <v>1.2377288681547494E-4</v>
      </c>
      <c r="AA31" s="96">
        <f>0.5*(Lecanemab!Z31+Lecanemab!Z32)</f>
        <v>2.7075782293994741E-4</v>
      </c>
      <c r="AB31" s="96">
        <f>0.5*(Lecanemab!AA31+Lecanemab!AA32)</f>
        <v>1.5894003509850688E-4</v>
      </c>
      <c r="AC31" s="96">
        <f>0.5*(Lecanemab!AB31+Lecanemab!AB32)</f>
        <v>1.5556963760144835E-4</v>
      </c>
      <c r="AD31" s="96">
        <f>0.5*(Lecanemab!AC31+Lecanemab!AC32)</f>
        <v>2.3743180547450672E-4</v>
      </c>
      <c r="AE31" s="96">
        <f>0.5*(Lecanemab!AD31+Lecanemab!AD32)</f>
        <v>0.40236614842062468</v>
      </c>
      <c r="AF31" s="96">
        <f>0.5*(Lecanemab!AE31+Lecanemab!AE32)</f>
        <v>0.55770118342852992</v>
      </c>
      <c r="AH31" s="83">
        <f t="shared" si="5"/>
        <v>0.99999999999999989</v>
      </c>
      <c r="AK31" s="19">
        <f t="shared" si="6"/>
        <v>709.76830923399484</v>
      </c>
      <c r="AL31" s="22">
        <f t="shared" si="1"/>
        <v>136.02658208496598</v>
      </c>
      <c r="AM31" s="22">
        <v>0</v>
      </c>
      <c r="AN31" s="22">
        <v>0</v>
      </c>
      <c r="AO31" s="22">
        <f t="shared" si="7"/>
        <v>556.6802989415861</v>
      </c>
      <c r="AP31" s="22">
        <f t="shared" si="2"/>
        <v>1806.821162869855</v>
      </c>
      <c r="AQ31" s="22">
        <v>0</v>
      </c>
      <c r="AR31" s="22">
        <v>0</v>
      </c>
      <c r="AS31" s="22">
        <f t="shared" si="3"/>
        <v>2464.9322606401452</v>
      </c>
      <c r="AT31" s="22">
        <v>0</v>
      </c>
      <c r="AU31" s="22">
        <v>0</v>
      </c>
      <c r="AV31" s="22">
        <f t="shared" si="4"/>
        <v>2814.1789123801527</v>
      </c>
      <c r="AW31" s="22">
        <v>0</v>
      </c>
      <c r="AX31" s="22">
        <v>0</v>
      </c>
      <c r="AY31" s="22">
        <v>0</v>
      </c>
      <c r="AZ31" s="22">
        <f t="shared" si="8"/>
        <v>8488.4075261506987</v>
      </c>
      <c r="BD31" s="23">
        <f t="shared" si="9"/>
        <v>1.6306646050590483E-4</v>
      </c>
      <c r="BE31" s="23">
        <f t="shared" si="10"/>
        <v>8.0485536532577331E-5</v>
      </c>
      <c r="BF31" s="23">
        <f t="shared" si="11"/>
        <v>3.5957554715445461E-5</v>
      </c>
      <c r="BG31" s="23">
        <f t="shared" si="12"/>
        <v>1.1602322395736911E-5</v>
      </c>
      <c r="BH31" s="23">
        <f t="shared" si="13"/>
        <v>2.9111187414966453E-4</v>
      </c>
    </row>
    <row r="32" spans="2:60" ht="11.1" customHeight="1" x14ac:dyDescent="0.3">
      <c r="B32" s="19">
        <v>24</v>
      </c>
      <c r="C32" s="19">
        <f t="shared" si="14"/>
        <v>95</v>
      </c>
      <c r="F32" s="20">
        <f t="shared" si="15"/>
        <v>0.2901356088312298</v>
      </c>
      <c r="G32" s="20">
        <f t="shared" si="16"/>
        <v>0.37244650692233439</v>
      </c>
      <c r="H32" s="20">
        <f t="shared" si="17"/>
        <v>0.56901131027435059</v>
      </c>
      <c r="I32" s="20">
        <f t="shared" si="18"/>
        <v>0.80742606938445349</v>
      </c>
      <c r="M32" s="96">
        <f>0.5*(Lecanemab!L32+Lecanemab!L33)</f>
        <v>3.4351680159209008E-5</v>
      </c>
      <c r="N32" s="96">
        <f>0.5*(Lecanemab!M32+Lecanemab!M33)</f>
        <v>4.8084462341829178E-6</v>
      </c>
      <c r="O32" s="96">
        <f>0.5*(Lecanemab!N32+Lecanemab!N33)</f>
        <v>2.2362952942818846E-5</v>
      </c>
      <c r="P32" s="96">
        <f>0.5*(Lecanemab!O32+Lecanemab!O33)</f>
        <v>7.4484068856307346E-6</v>
      </c>
      <c r="Q32" s="96">
        <f>0.5*(Lecanemab!P32+Lecanemab!P33)</f>
        <v>9.3456322767768822E-6</v>
      </c>
      <c r="R32" s="96">
        <f>0.5*(Lecanemab!Q32+Lecanemab!Q33)</f>
        <v>5.3985552199984593E-6</v>
      </c>
      <c r="S32" s="96">
        <f>0.5*(Lecanemab!R32+Lecanemab!R33)</f>
        <v>4.564244356500055E-6</v>
      </c>
      <c r="T32" s="96">
        <f>0.5*(Lecanemab!S32+Lecanemab!S33)</f>
        <v>5.5585196608877684E-6</v>
      </c>
      <c r="U32" s="96">
        <f>0.5*(Lecanemab!T32+Lecanemab!T33)</f>
        <v>1.4707298111879812E-2</v>
      </c>
      <c r="V32" s="96">
        <f>0.5*(Lecanemab!U32+Lecanemab!U33)</f>
        <v>1.8256642583660075E-2</v>
      </c>
      <c r="W32" s="96">
        <f>0.5*(Lecanemab!V32+Lecanemab!V33)</f>
        <v>2.9345473655305239E-4</v>
      </c>
      <c r="X32" s="96">
        <f>0.5*(Lecanemab!W32+Lecanemab!W33)</f>
        <v>4.3876277535801732E-5</v>
      </c>
      <c r="Y32" s="96">
        <f>0.5*(Lecanemab!X32+Lecanemab!X33)</f>
        <v>2.3691808388460203E-4</v>
      </c>
      <c r="Z32" s="96">
        <f>0.5*(Lecanemab!Y32+Lecanemab!Y33)</f>
        <v>7.0726823963512369E-5</v>
      </c>
      <c r="AA32" s="96">
        <f>0.5*(Lecanemab!Z32+Lecanemab!Z33)</f>
        <v>1.4906823227233283E-4</v>
      </c>
      <c r="AB32" s="96">
        <f>0.5*(Lecanemab!AA32+Lecanemab!AA33)</f>
        <v>8.3899307163857355E-5</v>
      </c>
      <c r="AC32" s="96">
        <f>0.5*(Lecanemab!AB32+Lecanemab!AB33)</f>
        <v>7.8747426712507909E-5</v>
      </c>
      <c r="AD32" s="96">
        <f>0.5*(Lecanemab!AC32+Lecanemab!AC33)</f>
        <v>1.0183439621743038E-4</v>
      </c>
      <c r="AE32" s="96">
        <f>0.5*(Lecanemab!AD32+Lecanemab!AD33)</f>
        <v>0.40505445657402983</v>
      </c>
      <c r="AF32" s="96">
        <f>0.5*(Lecanemab!AE32+Lecanemab!AE33)</f>
        <v>0.5608292390083911</v>
      </c>
      <c r="AH32" s="83">
        <f t="shared" si="5"/>
        <v>1</v>
      </c>
      <c r="AK32" s="19">
        <f t="shared" si="6"/>
        <v>366.99006883574543</v>
      </c>
      <c r="AL32" s="22">
        <f t="shared" si="1"/>
        <v>75.684696906433388</v>
      </c>
      <c r="AM32" s="22">
        <v>0</v>
      </c>
      <c r="AN32" s="22">
        <v>0</v>
      </c>
      <c r="AO32" s="22">
        <f t="shared" si="7"/>
        <v>279.37787752840444</v>
      </c>
      <c r="AP32" s="22">
        <f t="shared" si="2"/>
        <v>981.700675190585</v>
      </c>
      <c r="AQ32" s="22">
        <v>0</v>
      </c>
      <c r="AR32" s="22">
        <v>0</v>
      </c>
      <c r="AS32" s="22">
        <f t="shared" si="3"/>
        <v>1265.9779340854243</v>
      </c>
      <c r="AT32" s="22">
        <v>0</v>
      </c>
      <c r="AU32" s="22">
        <v>0</v>
      </c>
      <c r="AV32" s="22">
        <f t="shared" si="4"/>
        <v>1204.3194068422547</v>
      </c>
      <c r="AW32" s="22">
        <v>0</v>
      </c>
      <c r="AX32" s="22">
        <v>0</v>
      </c>
      <c r="AY32" s="22">
        <v>0</v>
      </c>
      <c r="AZ32" s="22">
        <f t="shared" si="8"/>
        <v>4174.0506593888476</v>
      </c>
      <c r="BD32" s="23">
        <f t="shared" si="9"/>
        <v>9.0452328478821407E-5</v>
      </c>
      <c r="BE32" s="23">
        <f t="shared" si="10"/>
        <v>4.3748631156677285E-5</v>
      </c>
      <c r="BF32" s="23">
        <f t="shared" si="11"/>
        <v>1.8647963482962059E-5</v>
      </c>
      <c r="BG32" s="23">
        <f t="shared" si="12"/>
        <v>5.1951646494418952E-6</v>
      </c>
      <c r="BH32" s="23">
        <f t="shared" si="13"/>
        <v>1.5804408776790263E-4</v>
      </c>
    </row>
    <row r="33" spans="2:60" ht="11.1" customHeight="1" x14ac:dyDescent="0.3">
      <c r="B33" s="19">
        <v>25</v>
      </c>
      <c r="C33" s="19">
        <f t="shared" si="14"/>
        <v>96</v>
      </c>
      <c r="F33" s="20">
        <f t="shared" si="15"/>
        <v>0.31521903880574009</v>
      </c>
      <c r="G33" s="20">
        <f t="shared" si="16"/>
        <v>0.402403586712895</v>
      </c>
      <c r="H33" s="20">
        <f t="shared" si="17"/>
        <v>0.6054592744885694</v>
      </c>
      <c r="I33" s="20">
        <f t="shared" si="18"/>
        <v>0.83800782838120458</v>
      </c>
      <c r="M33" s="96">
        <f>0.5*(Lecanemab!L33+Lecanemab!L34)</f>
        <v>1.7839329079783405E-5</v>
      </c>
      <c r="N33" s="96">
        <f>0.5*(Lecanemab!M33+Lecanemab!M34)</f>
        <v>2.5885332647486232E-6</v>
      </c>
      <c r="O33" s="96">
        <f>0.5*(Lecanemab!N33+Lecanemab!N34)</f>
        <v>1.1323328298550529E-5</v>
      </c>
      <c r="P33" s="96">
        <f>0.5*(Lecanemab!O33+Lecanemab!O34)</f>
        <v>3.7501540262958483E-6</v>
      </c>
      <c r="Q33" s="96">
        <f>0.5*(Lecanemab!P33+Lecanemab!P34)</f>
        <v>4.5548250440188759E-6</v>
      </c>
      <c r="R33" s="96">
        <f>0.5*(Lecanemab!Q33+Lecanemab!Q34)</f>
        <v>2.5507748168085331E-6</v>
      </c>
      <c r="S33" s="96">
        <f>0.5*(Lecanemab!R33+Lecanemab!R34)</f>
        <v>2.0587019642092131E-6</v>
      </c>
      <c r="T33" s="96">
        <f>0.5*(Lecanemab!S33+Lecanemab!S34)</f>
        <v>2.2271971573313375E-6</v>
      </c>
      <c r="U33" s="96">
        <f>0.5*(Lecanemab!T33+Lecanemab!T34)</f>
        <v>1.2817697792502924E-2</v>
      </c>
      <c r="V33" s="96">
        <f>0.5*(Lecanemab!U33+Lecanemab!U34)</f>
        <v>1.5895677209795359E-2</v>
      </c>
      <c r="W33" s="96">
        <f>0.5*(Lecanemab!V33+Lecanemab!V34)</f>
        <v>1.6515060192506375E-4</v>
      </c>
      <c r="X33" s="96">
        <f>0.5*(Lecanemab!W33+Lecanemab!W34)</f>
        <v>2.560397057122161E-5</v>
      </c>
      <c r="Y33" s="96">
        <f>0.5*(Lecanemab!X33+Lecanemab!X34)</f>
        <v>1.3070792097159047E-4</v>
      </c>
      <c r="Z33" s="96">
        <f>0.5*(Lecanemab!Y33+Lecanemab!Y34)</f>
        <v>3.8895144638644404E-5</v>
      </c>
      <c r="AA33" s="96">
        <f>0.5*(Lecanemab!Z33+Lecanemab!Z34)</f>
        <v>7.8981292513692083E-5</v>
      </c>
      <c r="AB33" s="96">
        <f>0.5*(Lecanemab!AA33+Lecanemab!AA34)</f>
        <v>4.2763911441489492E-5</v>
      </c>
      <c r="AC33" s="96">
        <f>0.5*(Lecanemab!AB33+Lecanemab!AB34)</f>
        <v>3.8473737175631989E-5</v>
      </c>
      <c r="AD33" s="96">
        <f>0.5*(Lecanemab!AC33+Lecanemab!AC34)</f>
        <v>4.3082317678762452E-5</v>
      </c>
      <c r="AE33" s="96">
        <f>0.5*(Lecanemab!AD33+Lecanemab!AD34)</f>
        <v>0.40726394880380956</v>
      </c>
      <c r="AF33" s="96">
        <f>0.5*(Lecanemab!AE33+Lecanemab!AE34)</f>
        <v>0.56341212445332423</v>
      </c>
      <c r="AH33" s="83">
        <f t="shared" si="5"/>
        <v>1</v>
      </c>
      <c r="AK33" s="19">
        <f t="shared" si="6"/>
        <v>183.19636801565247</v>
      </c>
      <c r="AL33" s="22">
        <f t="shared" si="1"/>
        <v>40.625135028256096</v>
      </c>
      <c r="AM33" s="22">
        <v>0</v>
      </c>
      <c r="AN33" s="22">
        <v>0</v>
      </c>
      <c r="AO33" s="22">
        <f t="shared" si="7"/>
        <v>135.17847186781842</v>
      </c>
      <c r="AP33" s="22">
        <f t="shared" si="2"/>
        <v>514.0833247781967</v>
      </c>
      <c r="AQ33" s="22">
        <v>0</v>
      </c>
      <c r="AR33" s="22">
        <v>0</v>
      </c>
      <c r="AS33" s="22">
        <f t="shared" si="3"/>
        <v>627.23231654230608</v>
      </c>
      <c r="AT33" s="22">
        <v>0</v>
      </c>
      <c r="AU33" s="22">
        <v>0</v>
      </c>
      <c r="AV33" s="22">
        <f t="shared" si="4"/>
        <v>507.72604610082078</v>
      </c>
      <c r="AW33" s="22">
        <v>0</v>
      </c>
      <c r="AX33" s="22">
        <v>0</v>
      </c>
      <c r="AY33" s="22">
        <v>0</v>
      </c>
      <c r="AZ33" s="22">
        <f t="shared" si="8"/>
        <v>2008.0416623330507</v>
      </c>
      <c r="BD33" s="23">
        <f t="shared" si="9"/>
        <v>4.8413076809323217E-5</v>
      </c>
      <c r="BE33" s="23">
        <f t="shared" si="10"/>
        <v>2.2922350559092888E-5</v>
      </c>
      <c r="BF33" s="23">
        <f t="shared" si="11"/>
        <v>9.3215730382897942E-6</v>
      </c>
      <c r="BG33" s="23">
        <f t="shared" si="12"/>
        <v>2.280162745696816E-6</v>
      </c>
      <c r="BH33" s="23">
        <f t="shared" si="13"/>
        <v>8.2937163152402716E-5</v>
      </c>
    </row>
    <row r="34" spans="2:60" ht="11.1" customHeight="1" x14ac:dyDescent="0.3">
      <c r="B34" s="19">
        <v>26</v>
      </c>
      <c r="C34" s="19">
        <f t="shared" si="14"/>
        <v>97</v>
      </c>
      <c r="F34" s="20">
        <f t="shared" si="15"/>
        <v>0.3409522379612544</v>
      </c>
      <c r="G34" s="20">
        <f t="shared" si="16"/>
        <v>0.43272909710547069</v>
      </c>
      <c r="H34" s="20">
        <f t="shared" si="17"/>
        <v>0.64088423924472204</v>
      </c>
      <c r="I34" s="20">
        <f t="shared" si="18"/>
        <v>0.86524952291683888</v>
      </c>
      <c r="M34" s="96">
        <f>0.5*(Lecanemab!L34+Lecanemab!L35)</f>
        <v>8.9262571234666821E-6</v>
      </c>
      <c r="N34" s="96">
        <f>0.5*(Lecanemab!M34+Lecanemab!M35)</f>
        <v>1.3381095193460475E-6</v>
      </c>
      <c r="O34" s="96">
        <f>0.5*(Lecanemab!N34+Lecanemab!N35)</f>
        <v>5.5184697780897381E-6</v>
      </c>
      <c r="P34" s="96">
        <f>0.5*(Lecanemab!O34+Lecanemab!O35)</f>
        <v>1.8142705523709569E-6</v>
      </c>
      <c r="Q34" s="96">
        <f>0.5*(Lecanemab!P34+Lecanemab!P35)</f>
        <v>2.1350222231781998E-6</v>
      </c>
      <c r="R34" s="96">
        <f>0.5*(Lecanemab!Q34+Lecanemab!Q35)</f>
        <v>1.1605103620703656E-6</v>
      </c>
      <c r="S34" s="96">
        <f>0.5*(Lecanemab!R34+Lecanemab!R35)</f>
        <v>8.9544670510970342E-7</v>
      </c>
      <c r="T34" s="96">
        <f>0.5*(Lecanemab!S34+Lecanemab!S35)</f>
        <v>8.7641481239104243E-7</v>
      </c>
      <c r="U34" s="96">
        <f>0.5*(Lecanemab!T34+Lecanemab!T35)</f>
        <v>1.1163452109767043E-2</v>
      </c>
      <c r="V34" s="96">
        <f>0.5*(Lecanemab!U34+Lecanemab!U35)</f>
        <v>1.3835316415133457E-2</v>
      </c>
      <c r="W34" s="96">
        <f>0.5*(Lecanemab!V34+Lecanemab!V35)</f>
        <v>8.9429688329787483E-5</v>
      </c>
      <c r="X34" s="96">
        <f>0.5*(Lecanemab!W34+Lecanemab!W35)</f>
        <v>1.4328143066552206E-5</v>
      </c>
      <c r="Y34" s="96">
        <f>0.5*(Lecanemab!X34+Lecanemab!X35)</f>
        <v>6.9328335970445093E-5</v>
      </c>
      <c r="Z34" s="96">
        <f>0.5*(Lecanemab!Y34+Lecanemab!Y35)</f>
        <v>2.0549554095634145E-5</v>
      </c>
      <c r="AA34" s="96">
        <f>0.5*(Lecanemab!Z34+Lecanemab!Z35)</f>
        <v>4.0200187377821512E-5</v>
      </c>
      <c r="AB34" s="96">
        <f>0.5*(Lecanemab!AA34+Lecanemab!AA35)</f>
        <v>2.1005110789536067E-5</v>
      </c>
      <c r="AC34" s="96">
        <f>0.5*(Lecanemab!AB34+Lecanemab!AB35)</f>
        <v>1.8113385181289039E-5</v>
      </c>
      <c r="AD34" s="96">
        <f>0.5*(Lecanemab!AC34+Lecanemab!AC35)</f>
        <v>1.7972154168242317E-5</v>
      </c>
      <c r="AE34" s="96">
        <f>0.5*(Lecanemab!AD34+Lecanemab!AD35)</f>
        <v>0.40910190134261593</v>
      </c>
      <c r="AF34" s="96">
        <f>0.5*(Lecanemab!AE34+Lecanemab!AE35)</f>
        <v>0.56558573907242815</v>
      </c>
      <c r="AH34" s="83">
        <f t="shared" si="5"/>
        <v>0.99999999999999989</v>
      </c>
      <c r="AK34" s="19">
        <f t="shared" si="6"/>
        <v>88.086590981571078</v>
      </c>
      <c r="AL34" s="22">
        <f t="shared" si="1"/>
        <v>20.989889052237221</v>
      </c>
      <c r="AM34" s="22">
        <v>0</v>
      </c>
      <c r="AN34" s="22">
        <v>0</v>
      </c>
      <c r="AO34" s="22">
        <f t="shared" si="7"/>
        <v>62.928003328451069</v>
      </c>
      <c r="AP34" s="22">
        <f t="shared" si="2"/>
        <v>258.93564031024573</v>
      </c>
      <c r="AQ34" s="22">
        <v>0</v>
      </c>
      <c r="AR34" s="22">
        <v>0</v>
      </c>
      <c r="AS34" s="22">
        <f t="shared" si="3"/>
        <v>299.18341694785988</v>
      </c>
      <c r="AT34" s="22">
        <v>0</v>
      </c>
      <c r="AU34" s="22">
        <v>0</v>
      </c>
      <c r="AV34" s="22">
        <f t="shared" si="4"/>
        <v>210.32431304074802</v>
      </c>
      <c r="AW34" s="22">
        <v>0</v>
      </c>
      <c r="AX34" s="22">
        <v>0</v>
      </c>
      <c r="AY34" s="22">
        <v>0</v>
      </c>
      <c r="AZ34" s="22">
        <f t="shared" si="8"/>
        <v>940.44785366111307</v>
      </c>
      <c r="BD34" s="23">
        <f t="shared" si="9"/>
        <v>2.4946905280113999E-5</v>
      </c>
      <c r="BE34" s="23">
        <f t="shared" si="10"/>
        <v>1.1553062771601047E-5</v>
      </c>
      <c r="BF34" s="23">
        <f t="shared" si="11"/>
        <v>4.4824658552030916E-6</v>
      </c>
      <c r="BG34" s="23">
        <f t="shared" si="12"/>
        <v>9.774367212724353E-7</v>
      </c>
      <c r="BH34" s="23">
        <f t="shared" si="13"/>
        <v>4.195987062819057E-5</v>
      </c>
    </row>
    <row r="35" spans="2:60" ht="11.1" customHeight="1" x14ac:dyDescent="0.3">
      <c r="B35" s="19">
        <v>27</v>
      </c>
      <c r="C35" s="19">
        <f t="shared" si="14"/>
        <v>98</v>
      </c>
      <c r="F35" s="20">
        <f t="shared" si="15"/>
        <v>0.36713684560572502</v>
      </c>
      <c r="G35" s="20">
        <f t="shared" si="16"/>
        <v>0.46315234601266697</v>
      </c>
      <c r="H35" s="20">
        <f t="shared" si="17"/>
        <v>0.67492092832184647</v>
      </c>
      <c r="I35" s="20">
        <f t="shared" si="18"/>
        <v>0.8891098991545856</v>
      </c>
      <c r="M35" s="96">
        <f>0.5*(Lecanemab!L35+Lecanemab!L36)</f>
        <v>4.2938147435191915E-6</v>
      </c>
      <c r="N35" s="96">
        <f>0.5*(Lecanemab!M35+Lecanemab!M36)</f>
        <v>6.629424386618522E-7</v>
      </c>
      <c r="O35" s="96">
        <f>0.5*(Lecanemab!N35+Lecanemab!N36)</f>
        <v>2.583163602528657E-6</v>
      </c>
      <c r="P35" s="96">
        <f>0.5*(Lecanemab!O35+Lecanemab!O36)</f>
        <v>8.4179397740067527E-7</v>
      </c>
      <c r="Q35" s="96">
        <f>0.5*(Lecanemab!P35+Lecanemab!P36)</f>
        <v>9.6068046307416169E-7</v>
      </c>
      <c r="R35" s="96">
        <f>0.5*(Lecanemab!Q35+Lecanemab!Q36)</f>
        <v>5.0725346640612961E-7</v>
      </c>
      <c r="S35" s="96">
        <f>0.5*(Lecanemab!R35+Lecanemab!R36)</f>
        <v>3.7488484845227021E-7</v>
      </c>
      <c r="T35" s="96">
        <f>0.5*(Lecanemab!S35+Lecanemab!S36)</f>
        <v>3.3685430919266216E-7</v>
      </c>
      <c r="U35" s="96">
        <f>0.5*(Lecanemab!T35+Lecanemab!T36)</f>
        <v>9.7184543720452276E-3</v>
      </c>
      <c r="V35" s="96">
        <f>0.5*(Lecanemab!U35+Lecanemab!U36)</f>
        <v>1.2039630972705113E-2</v>
      </c>
      <c r="W35" s="96">
        <f>0.5*(Lecanemab!V35+Lecanemab!V36)</f>
        <v>4.649611989409988E-5</v>
      </c>
      <c r="X35" s="96">
        <f>0.5*(Lecanemab!W35+Lecanemab!W36)</f>
        <v>7.6753641643215518E-6</v>
      </c>
      <c r="Y35" s="96">
        <f>0.5*(Lecanemab!X35+Lecanemab!X36)</f>
        <v>3.5281968567926773E-5</v>
      </c>
      <c r="Z35" s="96">
        <f>0.5*(Lecanemab!Y35+Lecanemab!Y36)</f>
        <v>1.0411667511730429E-5</v>
      </c>
      <c r="AA35" s="96">
        <f>0.5*(Lecanemab!Z35+Lecanemab!Z36)</f>
        <v>1.9621867417552351E-5</v>
      </c>
      <c r="AB35" s="96">
        <f>0.5*(Lecanemab!AA35+Lecanemab!AA36)</f>
        <v>9.9210485824148876E-6</v>
      </c>
      <c r="AC35" s="96">
        <f>0.5*(Lecanemab!AB35+Lecanemab!AB36)</f>
        <v>8.203465754114244E-6</v>
      </c>
      <c r="AD35" s="96">
        <f>0.5*(Lecanemab!AC35+Lecanemab!AC36)</f>
        <v>7.3585653283337011E-6</v>
      </c>
      <c r="AE35" s="96">
        <f>0.5*(Lecanemab!AD35+Lecanemab!AD36)</f>
        <v>0.41064829847151385</v>
      </c>
      <c r="AF35" s="96">
        <f>0.5*(Lecanemab!AE35+Lecanemab!AE36)</f>
        <v>0.56743808472866608</v>
      </c>
      <c r="AH35" s="83">
        <f t="shared" si="5"/>
        <v>1</v>
      </c>
      <c r="AK35" s="19">
        <f t="shared" si="6"/>
        <v>40.706053611784334</v>
      </c>
      <c r="AL35" s="22">
        <f t="shared" si="1"/>
        <v>10.415962435363257</v>
      </c>
      <c r="AM35" s="22">
        <v>0</v>
      </c>
      <c r="AN35" s="22">
        <v>0</v>
      </c>
      <c r="AO35" s="22">
        <f t="shared" si="7"/>
        <v>28.126555677949366</v>
      </c>
      <c r="AP35" s="22">
        <f t="shared" si="2"/>
        <v>125.19230507794288</v>
      </c>
      <c r="AQ35" s="22">
        <v>0</v>
      </c>
      <c r="AR35" s="22">
        <v>0</v>
      </c>
      <c r="AS35" s="22">
        <f t="shared" si="3"/>
        <v>137.10813757511147</v>
      </c>
      <c r="AT35" s="22">
        <v>0</v>
      </c>
      <c r="AU35" s="22">
        <v>0</v>
      </c>
      <c r="AV35" s="22">
        <f t="shared" si="4"/>
        <v>85.162507323579746</v>
      </c>
      <c r="AW35" s="22">
        <v>0</v>
      </c>
      <c r="AX35" s="22">
        <v>0</v>
      </c>
      <c r="AY35" s="22">
        <v>0</v>
      </c>
      <c r="AZ35" s="22">
        <f t="shared" si="8"/>
        <v>426.71152170173104</v>
      </c>
      <c r="BD35" s="23">
        <f t="shared" si="9"/>
        <v>1.2348762526666408E-5</v>
      </c>
      <c r="BE35" s="23">
        <f t="shared" si="10"/>
        <v>5.5897140714285571E-6</v>
      </c>
      <c r="BF35" s="23">
        <f t="shared" si="11"/>
        <v>2.0695285433707244E-6</v>
      </c>
      <c r="BG35" s="23">
        <f t="shared" si="12"/>
        <v>4.0728611976861939E-7</v>
      </c>
      <c r="BH35" s="23">
        <f t="shared" si="13"/>
        <v>2.0415291261234308E-5</v>
      </c>
    </row>
    <row r="36" spans="2:60" ht="11.1" customHeight="1" x14ac:dyDescent="0.3">
      <c r="B36" s="19">
        <v>28</v>
      </c>
      <c r="C36" s="19">
        <f t="shared" si="14"/>
        <v>99</v>
      </c>
      <c r="F36" s="20">
        <f t="shared" si="15"/>
        <v>0.39356086132689128</v>
      </c>
      <c r="G36" s="20">
        <f t="shared" si="16"/>
        <v>0.49339807318142703</v>
      </c>
      <c r="H36" s="20">
        <f t="shared" si="17"/>
        <v>0.70725132923122391</v>
      </c>
      <c r="I36" s="20">
        <f t="shared" si="18"/>
        <v>0.90966534992871451</v>
      </c>
      <c r="M36" s="96">
        <f>0.5*(Lecanemab!L36+Lecanemab!L37)</f>
        <v>1.9813864704956071E-6</v>
      </c>
      <c r="N36" s="96">
        <f>0.5*(Lecanemab!M36+Lecanemab!M37)</f>
        <v>3.1419484860885013E-7</v>
      </c>
      <c r="O36" s="96">
        <f>0.5*(Lecanemab!N36+Lecanemab!N37)</f>
        <v>1.1590970477065157E-6</v>
      </c>
      <c r="P36" s="96">
        <f>0.5*(Lecanemab!O36+Lecanemab!O37)</f>
        <v>3.7393562399161457E-7</v>
      </c>
      <c r="Q36" s="96">
        <f>0.5*(Lecanemab!P36+Lecanemab!P37)</f>
        <v>4.1423237095837786E-7</v>
      </c>
      <c r="R36" s="96">
        <f>0.5*(Lecanemab!Q36+Lecanemab!Q37)</f>
        <v>2.1258775131286509E-7</v>
      </c>
      <c r="S36" s="96">
        <f>0.5*(Lecanemab!R36+Lecanemab!R37)</f>
        <v>1.5080642754781532E-7</v>
      </c>
      <c r="T36" s="96">
        <f>0.5*(Lecanemab!S36+Lecanemab!S37)</f>
        <v>1.2578735950618455E-7</v>
      </c>
      <c r="U36" s="96">
        <f>0.5*(Lecanemab!T36+Lecanemab!T37)</f>
        <v>8.4581642250757955E-3</v>
      </c>
      <c r="V36" s="96">
        <f>0.5*(Lecanemab!U36+Lecanemab!U37)</f>
        <v>1.0475826404385706E-2</v>
      </c>
      <c r="W36" s="96">
        <f>0.5*(Lecanemab!V36+Lecanemab!V37)</f>
        <v>2.3163138091949373E-5</v>
      </c>
      <c r="X36" s="96">
        <f>0.5*(Lecanemab!W36+Lecanemab!W37)</f>
        <v>3.9289970455358807E-6</v>
      </c>
      <c r="Y36" s="96">
        <f>0.5*(Lecanemab!X36+Lecanemab!X37)</f>
        <v>1.7195045529458459E-5</v>
      </c>
      <c r="Z36" s="96">
        <f>0.5*(Lecanemab!Y36+Lecanemab!Y37)</f>
        <v>5.0499135377645006E-6</v>
      </c>
      <c r="AA36" s="96">
        <f>0.5*(Lecanemab!Z36+Lecanemab!Z37)</f>
        <v>9.1697128754897348E-6</v>
      </c>
      <c r="AB36" s="96">
        <f>0.5*(Lecanemab!AA36+Lecanemab!AA37)</f>
        <v>4.4966497595709477E-6</v>
      </c>
      <c r="AC36" s="96">
        <f>0.5*(Lecanemab!AB36+Lecanemab!AB37)</f>
        <v>3.5682213863574088E-6</v>
      </c>
      <c r="AD36" s="96">
        <f>0.5*(Lecanemab!AC36+Lecanemab!AC37)</f>
        <v>2.9396205001123568E-6</v>
      </c>
      <c r="AE36" s="96">
        <f>0.5*(Lecanemab!AD36+Lecanemab!AD37)</f>
        <v>0.41196226427320659</v>
      </c>
      <c r="AF36" s="96">
        <f>0.5*(Lecanemab!AE36+Lecanemab!AE37)</f>
        <v>0.56902950177070555</v>
      </c>
      <c r="AH36" s="83">
        <f t="shared" si="5"/>
        <v>1</v>
      </c>
      <c r="AK36" s="19">
        <f t="shared" si="6"/>
        <v>18.040050426284509</v>
      </c>
      <c r="AL36" s="22">
        <f t="shared" si="1"/>
        <v>4.9539770953974012</v>
      </c>
      <c r="AM36" s="22">
        <v>0</v>
      </c>
      <c r="AN36" s="22">
        <v>0</v>
      </c>
      <c r="AO36" s="22">
        <f t="shared" si="7"/>
        <v>12.047487262775327</v>
      </c>
      <c r="AP36" s="22">
        <f t="shared" si="2"/>
        <v>57.990748865415846</v>
      </c>
      <c r="AQ36" s="22">
        <v>0</v>
      </c>
      <c r="AR36" s="22">
        <v>0</v>
      </c>
      <c r="AS36" s="22">
        <f t="shared" si="3"/>
        <v>60.253272646122419</v>
      </c>
      <c r="AT36" s="22">
        <v>0</v>
      </c>
      <c r="AU36" s="22">
        <v>0</v>
      </c>
      <c r="AV36" s="22">
        <f t="shared" si="4"/>
        <v>33.519610028824218</v>
      </c>
      <c r="AW36" s="22">
        <v>0</v>
      </c>
      <c r="AX36" s="22">
        <v>0</v>
      </c>
      <c r="AY36" s="22">
        <v>0</v>
      </c>
      <c r="AZ36" s="22">
        <f t="shared" si="8"/>
        <v>186.8051463248197</v>
      </c>
      <c r="BD36" s="23">
        <f t="shared" si="9"/>
        <v>5.8596309426620702E-6</v>
      </c>
      <c r="BE36" s="23">
        <f t="shared" si="10"/>
        <v>2.5911678335624777E-6</v>
      </c>
      <c r="BF36" s="23">
        <f t="shared" si="11"/>
        <v>9.1573832285857014E-7</v>
      </c>
      <c r="BG36" s="23">
        <f t="shared" si="12"/>
        <v>1.6423165576961168E-7</v>
      </c>
      <c r="BH36" s="23">
        <f t="shared" si="13"/>
        <v>9.5307687548527312E-6</v>
      </c>
    </row>
    <row r="37" spans="2:60" ht="11.1" customHeight="1" x14ac:dyDescent="0.3">
      <c r="B37" s="19">
        <v>29</v>
      </c>
      <c r="C37" s="19">
        <f t="shared" si="14"/>
        <v>100</v>
      </c>
      <c r="F37" s="20">
        <f t="shared" si="15"/>
        <v>1</v>
      </c>
      <c r="G37" s="20">
        <f t="shared" si="16"/>
        <v>1</v>
      </c>
      <c r="H37" s="20">
        <f t="shared" si="17"/>
        <v>1</v>
      </c>
      <c r="I37" s="20">
        <f t="shared" si="18"/>
        <v>1</v>
      </c>
      <c r="M37" s="96">
        <f>0.5*(Lecanemab!L37+Lecanemab!L38)</f>
        <v>6.129517007254596E-7</v>
      </c>
      <c r="N37" s="96">
        <f>0.5*(Lecanemab!M37+Lecanemab!M38)</f>
        <v>9.8893940281733951E-8</v>
      </c>
      <c r="O37" s="96">
        <f>0.5*(Lecanemab!N37+Lecanemab!N38)</f>
        <v>3.5150791000538135E-7</v>
      </c>
      <c r="P37" s="96">
        <f>0.5*(Lecanemab!O37+Lecanemab!O38)</f>
        <v>1.1253524012803805E-7</v>
      </c>
      <c r="Q37" s="96">
        <f>0.5*(Lecanemab!P37+Lecanemab!P38)</f>
        <v>1.2211715269737361E-7</v>
      </c>
      <c r="R37" s="96">
        <f>0.5*(Lecanemab!Q37+Lecanemab!Q38)</f>
        <v>6.1425386422230763E-8</v>
      </c>
      <c r="S37" s="96">
        <f>0.5*(Lecanemab!R37+Lecanemab!R38)</f>
        <v>4.2354320443591445E-8</v>
      </c>
      <c r="T37" s="96">
        <f>0.5*(Lecanemab!S37+Lecanemab!S38)</f>
        <v>3.3613314765897056E-8</v>
      </c>
      <c r="U37" s="96">
        <f>0.5*(Lecanemab!T37+Lecanemab!T38)</f>
        <v>7.3605558802371709E-3</v>
      </c>
      <c r="V37" s="96">
        <f>0.5*(Lecanemab!U37+Lecanemab!U38)</f>
        <v>9.1146974327019781E-3</v>
      </c>
      <c r="W37" s="96">
        <f>0.5*(Lecanemab!V37+Lecanemab!V38)</f>
        <v>7.5499655561592182E-6</v>
      </c>
      <c r="X37" s="96">
        <f>0.5*(Lecanemab!W37+Lecanemab!W38)</f>
        <v>1.302973891497572E-6</v>
      </c>
      <c r="Y37" s="96">
        <f>0.5*(Lecanemab!X37+Lecanemab!X38)</f>
        <v>5.520126044360769E-6</v>
      </c>
      <c r="Z37" s="96">
        <f>0.5*(Lecanemab!Y37+Lecanemab!Y38)</f>
        <v>1.6156081803231315E-6</v>
      </c>
      <c r="AA37" s="96">
        <f>0.5*(Lecanemab!Z37+Lecanemab!Z38)</f>
        <v>2.8595659193948366E-6</v>
      </c>
      <c r="AB37" s="96">
        <f>0.5*(Lecanemab!AA37+Lecanemab!AA38)</f>
        <v>1.374023725422556E-6</v>
      </c>
      <c r="AC37" s="96">
        <f>0.5*(Lecanemab!AB37+Lecanemab!AB38)</f>
        <v>1.0596864260843995E-6</v>
      </c>
      <c r="AD37" s="96">
        <f>0.5*(Lecanemab!AC37+Lecanemab!AC38)</f>
        <v>8.2676330004302634E-7</v>
      </c>
      <c r="AE37" s="96">
        <f>0.5*(Lecanemab!AD37+Lecanemab!AD38)</f>
        <v>0.41309518059236805</v>
      </c>
      <c r="AF37" s="96">
        <f>0.5*(Lecanemab!AE37+Lecanemab!AE38)</f>
        <v>0.57040602198268398</v>
      </c>
      <c r="AH37" s="83">
        <f t="shared" si="5"/>
        <v>1</v>
      </c>
      <c r="AK37" s="19">
        <f t="shared" si="6"/>
        <v>5.3532139964281535</v>
      </c>
      <c r="AL37" s="22">
        <f t="shared" si="1"/>
        <v>1.542933040635617</v>
      </c>
      <c r="AM37" s="22">
        <v>0</v>
      </c>
      <c r="AN37" s="22">
        <v>0</v>
      </c>
      <c r="AO37" s="22">
        <f t="shared" si="7"/>
        <v>3.4896923478045556</v>
      </c>
      <c r="AP37" s="22">
        <f t="shared" si="2"/>
        <v>17.735588060948231</v>
      </c>
      <c r="AQ37" s="22">
        <v>0</v>
      </c>
      <c r="AR37" s="22">
        <v>0</v>
      </c>
      <c r="AS37" s="22">
        <f t="shared" si="3"/>
        <v>17.775688318489149</v>
      </c>
      <c r="AT37" s="22">
        <v>0</v>
      </c>
      <c r="AU37" s="22">
        <v>0</v>
      </c>
      <c r="AV37" s="22">
        <f t="shared" si="4"/>
        <v>9.197868855158001</v>
      </c>
      <c r="AW37" s="22">
        <v>0</v>
      </c>
      <c r="AX37" s="22">
        <v>0</v>
      </c>
      <c r="AY37" s="22">
        <v>0</v>
      </c>
      <c r="AZ37" s="22">
        <f t="shared" si="8"/>
        <v>55.094984619463709</v>
      </c>
      <c r="BD37" s="23">
        <f t="shared" si="9"/>
        <v>1.8222573302368737E-6</v>
      </c>
      <c r="BE37" s="23">
        <f t="shared" si="10"/>
        <v>7.9288814610426356E-7</v>
      </c>
      <c r="BF37" s="23">
        <f t="shared" si="11"/>
        <v>2.7138810365245439E-7</v>
      </c>
      <c r="BG37" s="23">
        <f t="shared" si="12"/>
        <v>4.5767043215978962E-8</v>
      </c>
      <c r="BH37" s="23">
        <f t="shared" si="13"/>
        <v>2.9323006232095709E-6</v>
      </c>
    </row>
    <row r="38" spans="2:60" ht="11.1" customHeight="1" x14ac:dyDescent="0.3">
      <c r="B38" s="19">
        <v>30</v>
      </c>
      <c r="C38" s="19">
        <f t="shared" si="14"/>
        <v>101</v>
      </c>
      <c r="F38" s="20">
        <f t="shared" si="15"/>
        <v>1</v>
      </c>
      <c r="G38" s="20">
        <f t="shared" si="16"/>
        <v>1</v>
      </c>
      <c r="H38" s="20">
        <f t="shared" si="17"/>
        <v>1</v>
      </c>
      <c r="I38" s="20">
        <f t="shared" si="18"/>
        <v>1</v>
      </c>
      <c r="M38" s="96">
        <f>0.5*(Lecanemab!L38+Lecanemab!L39)</f>
        <v>0</v>
      </c>
      <c r="N38" s="96">
        <f>0.5*(Lecanemab!M38+Lecanemab!M39)</f>
        <v>0</v>
      </c>
      <c r="O38" s="96">
        <f>0.5*(Lecanemab!N38+Lecanemab!N39)</f>
        <v>0</v>
      </c>
      <c r="P38" s="96">
        <f>0.5*(Lecanemab!O38+Lecanemab!O39)</f>
        <v>0</v>
      </c>
      <c r="Q38" s="96">
        <f>0.5*(Lecanemab!P38+Lecanemab!P39)</f>
        <v>0</v>
      </c>
      <c r="R38" s="96">
        <f>0.5*(Lecanemab!Q38+Lecanemab!Q39)</f>
        <v>0</v>
      </c>
      <c r="S38" s="96">
        <f>0.5*(Lecanemab!R38+Lecanemab!R39)</f>
        <v>0</v>
      </c>
      <c r="T38" s="96">
        <f>0.5*(Lecanemab!S38+Lecanemab!S39)</f>
        <v>0</v>
      </c>
      <c r="U38" s="96">
        <f>0.5*(Lecanemab!T38+Lecanemab!T39)</f>
        <v>6.4046240351773977E-3</v>
      </c>
      <c r="V38" s="96">
        <f>0.5*(Lecanemab!U38+Lecanemab!U39)</f>
        <v>7.9300951441796212E-3</v>
      </c>
      <c r="W38" s="96">
        <f>0.5*(Lecanemab!V38+Lecanemab!V39)</f>
        <v>0</v>
      </c>
      <c r="X38" s="96">
        <f>0.5*(Lecanemab!W38+Lecanemab!W39)</f>
        <v>0</v>
      </c>
      <c r="Y38" s="96">
        <f>0.5*(Lecanemab!X38+Lecanemab!X39)</f>
        <v>0</v>
      </c>
      <c r="Z38" s="96">
        <f>0.5*(Lecanemab!Y38+Lecanemab!Y39)</f>
        <v>0</v>
      </c>
      <c r="AA38" s="96">
        <f>0.5*(Lecanemab!Z38+Lecanemab!Z39)</f>
        <v>0</v>
      </c>
      <c r="AB38" s="96">
        <f>0.5*(Lecanemab!AA38+Lecanemab!AA39)</f>
        <v>0</v>
      </c>
      <c r="AC38" s="96">
        <f>0.5*(Lecanemab!AB38+Lecanemab!AB39)</f>
        <v>0</v>
      </c>
      <c r="AD38" s="96">
        <f>0.5*(Lecanemab!AC38+Lecanemab!AC39)</f>
        <v>0</v>
      </c>
      <c r="AE38" s="96">
        <f>0.5*(Lecanemab!AD38+Lecanemab!AD39)</f>
        <v>0.41406818798636374</v>
      </c>
      <c r="AF38" s="96">
        <f>0.5*(Lecanemab!AE38+Lecanemab!AE39)</f>
        <v>0.57159709283427917</v>
      </c>
      <c r="AH38" s="83">
        <f t="shared" si="5"/>
        <v>1</v>
      </c>
      <c r="AK38" s="19">
        <f t="shared" si="6"/>
        <v>0</v>
      </c>
      <c r="AL38" s="22">
        <f t="shared" si="1"/>
        <v>0</v>
      </c>
      <c r="AM38" s="22">
        <v>0</v>
      </c>
      <c r="AN38" s="22">
        <v>0</v>
      </c>
      <c r="AO38" s="22">
        <f t="shared" si="7"/>
        <v>0</v>
      </c>
      <c r="AP38" s="22">
        <f t="shared" si="2"/>
        <v>0</v>
      </c>
      <c r="AQ38" s="22">
        <v>0</v>
      </c>
      <c r="AR38" s="22">
        <v>0</v>
      </c>
      <c r="AS38" s="22">
        <f t="shared" si="3"/>
        <v>0</v>
      </c>
      <c r="AT38" s="22">
        <v>0</v>
      </c>
      <c r="AU38" s="22">
        <v>0</v>
      </c>
      <c r="AV38" s="22">
        <f t="shared" si="4"/>
        <v>0</v>
      </c>
      <c r="AW38" s="22">
        <v>0</v>
      </c>
      <c r="AX38" s="22">
        <v>0</v>
      </c>
      <c r="AY38" s="22">
        <v>0</v>
      </c>
      <c r="AZ38" s="22">
        <f t="shared" si="8"/>
        <v>0</v>
      </c>
      <c r="BD38" s="23">
        <f t="shared" si="9"/>
        <v>0</v>
      </c>
      <c r="BE38" s="23">
        <f t="shared" si="10"/>
        <v>0</v>
      </c>
      <c r="BF38" s="23">
        <f t="shared" si="11"/>
        <v>0</v>
      </c>
      <c r="BG38" s="23">
        <f t="shared" si="12"/>
        <v>0</v>
      </c>
      <c r="BH38" s="23">
        <f t="shared" si="13"/>
        <v>0</v>
      </c>
    </row>
    <row r="39" spans="2:60" ht="11.1" customHeight="1" x14ac:dyDescent="0.3">
      <c r="B39" s="19">
        <v>31</v>
      </c>
      <c r="C39" s="19">
        <f t="shared" si="14"/>
        <v>102</v>
      </c>
      <c r="F39" s="20">
        <f t="shared" si="15"/>
        <v>1</v>
      </c>
      <c r="G39" s="20">
        <f t="shared" si="16"/>
        <v>1</v>
      </c>
      <c r="H39" s="20">
        <f t="shared" si="17"/>
        <v>1</v>
      </c>
      <c r="I39" s="20">
        <f t="shared" si="18"/>
        <v>1</v>
      </c>
      <c r="M39" s="96">
        <f>0.5*(Lecanemab!L39+Lecanemab!L40)</f>
        <v>0</v>
      </c>
      <c r="N39" s="96">
        <f>0.5*(Lecanemab!M39+Lecanemab!M40)</f>
        <v>0</v>
      </c>
      <c r="O39" s="96">
        <f>0.5*(Lecanemab!N39+Lecanemab!N40)</f>
        <v>0</v>
      </c>
      <c r="P39" s="96">
        <f>0.5*(Lecanemab!O39+Lecanemab!O40)</f>
        <v>0</v>
      </c>
      <c r="Q39" s="96">
        <f>0.5*(Lecanemab!P39+Lecanemab!P40)</f>
        <v>0</v>
      </c>
      <c r="R39" s="96">
        <f>0.5*(Lecanemab!Q39+Lecanemab!Q40)</f>
        <v>0</v>
      </c>
      <c r="S39" s="96">
        <f>0.5*(Lecanemab!R39+Lecanemab!R40)</f>
        <v>0</v>
      </c>
      <c r="T39" s="96">
        <f>0.5*(Lecanemab!S39+Lecanemab!S40)</f>
        <v>0</v>
      </c>
      <c r="U39" s="96">
        <f>0.5*(Lecanemab!T39+Lecanemab!T40)</f>
        <v>5.5720229106043361E-3</v>
      </c>
      <c r="V39" s="96">
        <f>0.5*(Lecanemab!U39+Lecanemab!U40)</f>
        <v>6.899182775436271E-3</v>
      </c>
      <c r="W39" s="96">
        <f>0.5*(Lecanemab!V39+Lecanemab!V40)</f>
        <v>0</v>
      </c>
      <c r="X39" s="96">
        <f>0.5*(Lecanemab!W39+Lecanemab!W40)</f>
        <v>0</v>
      </c>
      <c r="Y39" s="96">
        <f>0.5*(Lecanemab!X39+Lecanemab!X40)</f>
        <v>0</v>
      </c>
      <c r="Z39" s="96">
        <f>0.5*(Lecanemab!Y39+Lecanemab!Y40)</f>
        <v>0</v>
      </c>
      <c r="AA39" s="96">
        <f>0.5*(Lecanemab!Z39+Lecanemab!Z40)</f>
        <v>0</v>
      </c>
      <c r="AB39" s="96">
        <f>0.5*(Lecanemab!AA39+Lecanemab!AA40)</f>
        <v>0</v>
      </c>
      <c r="AC39" s="96">
        <f>0.5*(Lecanemab!AB39+Lecanemab!AB40)</f>
        <v>0</v>
      </c>
      <c r="AD39" s="96">
        <f>0.5*(Lecanemab!AC39+Lecanemab!AC40)</f>
        <v>0</v>
      </c>
      <c r="AE39" s="96">
        <f>0.5*(Lecanemab!AD39+Lecanemab!AD40)</f>
        <v>0.41490078911093681</v>
      </c>
      <c r="AF39" s="96">
        <f>0.5*(Lecanemab!AE39+Lecanemab!AE40)</f>
        <v>0.57262800520302248</v>
      </c>
      <c r="AH39" s="83">
        <f t="shared" si="5"/>
        <v>0.99999999999999989</v>
      </c>
      <c r="AK39" s="19">
        <f t="shared" si="6"/>
        <v>0</v>
      </c>
      <c r="AL39" s="22">
        <f t="shared" si="1"/>
        <v>0</v>
      </c>
      <c r="AM39" s="22">
        <v>0</v>
      </c>
      <c r="AN39" s="22">
        <v>0</v>
      </c>
      <c r="AO39" s="22">
        <f t="shared" si="7"/>
        <v>0</v>
      </c>
      <c r="AP39" s="22">
        <f t="shared" si="2"/>
        <v>0</v>
      </c>
      <c r="AQ39" s="22">
        <v>0</v>
      </c>
      <c r="AR39" s="22">
        <v>0</v>
      </c>
      <c r="AS39" s="22">
        <f t="shared" si="3"/>
        <v>0</v>
      </c>
      <c r="AT39" s="22">
        <v>0</v>
      </c>
      <c r="AU39" s="22">
        <v>0</v>
      </c>
      <c r="AV39" s="22">
        <f t="shared" si="4"/>
        <v>0</v>
      </c>
      <c r="AW39" s="22">
        <v>0</v>
      </c>
      <c r="AX39" s="22">
        <v>0</v>
      </c>
      <c r="AY39" s="22">
        <v>0</v>
      </c>
      <c r="AZ39" s="22">
        <f t="shared" si="8"/>
        <v>0</v>
      </c>
      <c r="BD39" s="23">
        <f t="shared" si="9"/>
        <v>0</v>
      </c>
      <c r="BE39" s="23">
        <f t="shared" si="10"/>
        <v>0</v>
      </c>
      <c r="BF39" s="23">
        <f t="shared" si="11"/>
        <v>0</v>
      </c>
      <c r="BG39" s="23">
        <f t="shared" si="12"/>
        <v>0</v>
      </c>
      <c r="BH39" s="23">
        <f t="shared" si="13"/>
        <v>0</v>
      </c>
    </row>
    <row r="40" spans="2:60" ht="11.1" customHeight="1" x14ac:dyDescent="0.3">
      <c r="B40" s="19">
        <v>32</v>
      </c>
      <c r="C40" s="19">
        <f t="shared" ref="C40:C71" si="19">start_age+Alz_cycle</f>
        <v>103</v>
      </c>
      <c r="F40" s="20">
        <f t="shared" ref="F40:F71" si="20">VLOOKUP(Alz_age,table_mort_MCI,2)</f>
        <v>1</v>
      </c>
      <c r="G40" s="20">
        <f t="shared" ref="G40:G71" si="21">VLOOKUP(Alz_age,table_mort_Mild,2)</f>
        <v>1</v>
      </c>
      <c r="H40" s="20">
        <f t="shared" ref="H40:H71" si="22">VLOOKUP(Alz_age,table_mort_Moderate,2)</f>
        <v>1</v>
      </c>
      <c r="I40" s="20">
        <f t="shared" ref="I40:I71" si="23">VLOOKUP(Alz_age,table_mort_Severe,2)</f>
        <v>1</v>
      </c>
      <c r="M40" s="96">
        <f>0.5*(Lecanemab!L40+Lecanemab!L41)</f>
        <v>0</v>
      </c>
      <c r="N40" s="96">
        <f>0.5*(Lecanemab!M40+Lecanemab!M41)</f>
        <v>0</v>
      </c>
      <c r="O40" s="96">
        <f>0.5*(Lecanemab!N40+Lecanemab!N41)</f>
        <v>0</v>
      </c>
      <c r="P40" s="96">
        <f>0.5*(Lecanemab!O40+Lecanemab!O41)</f>
        <v>0</v>
      </c>
      <c r="Q40" s="96">
        <f>0.5*(Lecanemab!P40+Lecanemab!P41)</f>
        <v>0</v>
      </c>
      <c r="R40" s="96">
        <f>0.5*(Lecanemab!Q40+Lecanemab!Q41)</f>
        <v>0</v>
      </c>
      <c r="S40" s="96">
        <f>0.5*(Lecanemab!R40+Lecanemab!R41)</f>
        <v>0</v>
      </c>
      <c r="T40" s="96">
        <f>0.5*(Lecanemab!S40+Lecanemab!S41)</f>
        <v>0</v>
      </c>
      <c r="U40" s="96">
        <f>0.5*(Lecanemab!T40+Lecanemab!T41)</f>
        <v>4.847659932225773E-3</v>
      </c>
      <c r="V40" s="96">
        <f>0.5*(Lecanemab!U40+Lecanemab!U41)</f>
        <v>6.0022890146295554E-3</v>
      </c>
      <c r="W40" s="96">
        <f>0.5*(Lecanemab!V40+Lecanemab!V41)</f>
        <v>0</v>
      </c>
      <c r="X40" s="96">
        <f>0.5*(Lecanemab!W40+Lecanemab!W41)</f>
        <v>0</v>
      </c>
      <c r="Y40" s="96">
        <f>0.5*(Lecanemab!X40+Lecanemab!X41)</f>
        <v>0</v>
      </c>
      <c r="Z40" s="96">
        <f>0.5*(Lecanemab!Y40+Lecanemab!Y41)</f>
        <v>0</v>
      </c>
      <c r="AA40" s="96">
        <f>0.5*(Lecanemab!Z40+Lecanemab!Z41)</f>
        <v>0</v>
      </c>
      <c r="AB40" s="96">
        <f>0.5*(Lecanemab!AA40+Lecanemab!AA41)</f>
        <v>0</v>
      </c>
      <c r="AC40" s="96">
        <f>0.5*(Lecanemab!AB40+Lecanemab!AB41)</f>
        <v>0</v>
      </c>
      <c r="AD40" s="96">
        <f>0.5*(Lecanemab!AC40+Lecanemab!AC41)</f>
        <v>0</v>
      </c>
      <c r="AE40" s="96">
        <f>0.5*(Lecanemab!AD40+Lecanemab!AD41)</f>
        <v>0.41562515208931539</v>
      </c>
      <c r="AF40" s="96">
        <f>0.5*(Lecanemab!AE40+Lecanemab!AE41)</f>
        <v>0.57352489896382919</v>
      </c>
      <c r="AH40" s="83">
        <f t="shared" si="5"/>
        <v>0.99999999999999989</v>
      </c>
      <c r="AK40" s="19">
        <f t="shared" si="6"/>
        <v>0</v>
      </c>
      <c r="AL40" s="22">
        <f t="shared" ref="AL40:AL71" si="24">((M40+W40)*c_Com_MCI+(N40+X40)*c_LTC_MCI)/(1+disc_rate_costs)^Alz_cycle</f>
        <v>0</v>
      </c>
      <c r="AM40" s="22">
        <v>0</v>
      </c>
      <c r="AN40" s="22">
        <v>0</v>
      </c>
      <c r="AO40" s="22">
        <f t="shared" si="7"/>
        <v>0</v>
      </c>
      <c r="AP40" s="22">
        <f t="shared" ref="AP40:AP71" si="25">((O40+Y40)*c_Com_Mild+(P40+Z40)*c_LTC_Mild)/(1+disc_rate_costs)^Alz_cycle</f>
        <v>0</v>
      </c>
      <c r="AQ40" s="22">
        <v>0</v>
      </c>
      <c r="AR40" s="22">
        <v>0</v>
      </c>
      <c r="AS40" s="22">
        <f t="shared" ref="AS40:AS71" si="26">((Q40+AA40)*c_Com_Moderate+(R40+AB40)*c_LTC_Moderate)/(1+disc_rate_costs)^Alz_cycle</f>
        <v>0</v>
      </c>
      <c r="AT40" s="22">
        <v>0</v>
      </c>
      <c r="AU40" s="22">
        <v>0</v>
      </c>
      <c r="AV40" s="22">
        <f t="shared" ref="AV40:AV71" si="27">((S40+AC40)*c_Com_Severe+(T40+AD40)*c_LTC_Severe)/(1+disc_rate_costs)^Alz_cycle</f>
        <v>0</v>
      </c>
      <c r="AW40" s="22">
        <v>0</v>
      </c>
      <c r="AX40" s="22">
        <v>0</v>
      </c>
      <c r="AY40" s="22">
        <v>0</v>
      </c>
      <c r="AZ40" s="22">
        <f t="shared" si="8"/>
        <v>0</v>
      </c>
      <c r="BD40" s="23">
        <f t="shared" si="9"/>
        <v>0</v>
      </c>
      <c r="BE40" s="23">
        <f t="shared" si="10"/>
        <v>0</v>
      </c>
      <c r="BF40" s="23">
        <f t="shared" si="11"/>
        <v>0</v>
      </c>
      <c r="BG40" s="23">
        <f t="shared" si="12"/>
        <v>0</v>
      </c>
      <c r="BH40" s="23">
        <f t="shared" si="13"/>
        <v>0</v>
      </c>
    </row>
    <row r="41" spans="2:60" ht="11.1" customHeight="1" x14ac:dyDescent="0.3">
      <c r="B41" s="19">
        <v>33</v>
      </c>
      <c r="C41" s="19">
        <f t="shared" si="19"/>
        <v>104</v>
      </c>
      <c r="F41" s="20">
        <f t="shared" si="20"/>
        <v>1</v>
      </c>
      <c r="G41" s="20">
        <f t="shared" si="21"/>
        <v>1</v>
      </c>
      <c r="H41" s="20">
        <f t="shared" si="22"/>
        <v>1</v>
      </c>
      <c r="I41" s="20">
        <f t="shared" si="23"/>
        <v>1</v>
      </c>
      <c r="M41" s="96">
        <f>0.5*(Lecanemab!L41+Lecanemab!L42)</f>
        <v>0</v>
      </c>
      <c r="N41" s="96">
        <f>0.5*(Lecanemab!M41+Lecanemab!M42)</f>
        <v>0</v>
      </c>
      <c r="O41" s="96">
        <f>0.5*(Lecanemab!N41+Lecanemab!N42)</f>
        <v>0</v>
      </c>
      <c r="P41" s="96">
        <f>0.5*(Lecanemab!O41+Lecanemab!O42)</f>
        <v>0</v>
      </c>
      <c r="Q41" s="96">
        <f>0.5*(Lecanemab!P41+Lecanemab!P42)</f>
        <v>0</v>
      </c>
      <c r="R41" s="96">
        <f>0.5*(Lecanemab!Q41+Lecanemab!Q42)</f>
        <v>0</v>
      </c>
      <c r="S41" s="96">
        <f>0.5*(Lecanemab!R41+Lecanemab!R42)</f>
        <v>0</v>
      </c>
      <c r="T41" s="96">
        <f>0.5*(Lecanemab!S41+Lecanemab!S42)</f>
        <v>0</v>
      </c>
      <c r="U41" s="96">
        <f>0.5*(Lecanemab!T41+Lecanemab!T42)</f>
        <v>4.2174641410364228E-3</v>
      </c>
      <c r="V41" s="96">
        <f>0.5*(Lecanemab!U41+Lecanemab!U42)</f>
        <v>5.2219914427277135E-3</v>
      </c>
      <c r="W41" s="96">
        <f>0.5*(Lecanemab!V41+Lecanemab!V42)</f>
        <v>0</v>
      </c>
      <c r="X41" s="96">
        <f>0.5*(Lecanemab!W41+Lecanemab!W42)</f>
        <v>0</v>
      </c>
      <c r="Y41" s="96">
        <f>0.5*(Lecanemab!X41+Lecanemab!X42)</f>
        <v>0</v>
      </c>
      <c r="Z41" s="96">
        <f>0.5*(Lecanemab!Y41+Lecanemab!Y42)</f>
        <v>0</v>
      </c>
      <c r="AA41" s="96">
        <f>0.5*(Lecanemab!Z41+Lecanemab!Z42)</f>
        <v>0</v>
      </c>
      <c r="AB41" s="96">
        <f>0.5*(Lecanemab!AA41+Lecanemab!AA42)</f>
        <v>0</v>
      </c>
      <c r="AC41" s="96">
        <f>0.5*(Lecanemab!AB41+Lecanemab!AB42)</f>
        <v>0</v>
      </c>
      <c r="AD41" s="96">
        <f>0.5*(Lecanemab!AC41+Lecanemab!AC42)</f>
        <v>0</v>
      </c>
      <c r="AE41" s="96">
        <f>0.5*(Lecanemab!AD41+Lecanemab!AD42)</f>
        <v>0.41625534788050467</v>
      </c>
      <c r="AF41" s="96">
        <f>0.5*(Lecanemab!AE41+Lecanemab!AE42)</f>
        <v>0.57430519653573109</v>
      </c>
      <c r="AH41" s="83">
        <f t="shared" si="5"/>
        <v>0.99999999999999989</v>
      </c>
      <c r="AK41" s="19">
        <f t="shared" ref="AK41:AK72" si="28">((M41+N41)*(c_lecanemab+c_administration))/(1+disc_rate_costs)^Alz_cycle</f>
        <v>0</v>
      </c>
      <c r="AL41" s="22">
        <f t="shared" si="24"/>
        <v>0</v>
      </c>
      <c r="AM41" s="22">
        <v>0</v>
      </c>
      <c r="AN41" s="22">
        <v>0</v>
      </c>
      <c r="AO41" s="22">
        <f t="shared" ref="AO41:AO72" si="29">((O41+P41)*(c_lecanemab+c_administration))/(1+disc_rate_costs)^Alz_cycle</f>
        <v>0</v>
      </c>
      <c r="AP41" s="22">
        <f t="shared" si="25"/>
        <v>0</v>
      </c>
      <c r="AQ41" s="22">
        <v>0</v>
      </c>
      <c r="AR41" s="22">
        <v>0</v>
      </c>
      <c r="AS41" s="22">
        <f t="shared" si="26"/>
        <v>0</v>
      </c>
      <c r="AT41" s="22">
        <v>0</v>
      </c>
      <c r="AU41" s="22">
        <v>0</v>
      </c>
      <c r="AV41" s="22">
        <f t="shared" si="27"/>
        <v>0</v>
      </c>
      <c r="AW41" s="22">
        <v>0</v>
      </c>
      <c r="AX41" s="22">
        <v>0</v>
      </c>
      <c r="AY41" s="22">
        <v>0</v>
      </c>
      <c r="AZ41" s="22">
        <f t="shared" si="8"/>
        <v>0</v>
      </c>
      <c r="BD41" s="23">
        <f t="shared" ref="BD41:BD77" si="30">((M41+W41)*U_Com_MCI+((N41+X41)*U_LTC_MCI))/(1+disc_rate_effects)^Alz_cycle</f>
        <v>0</v>
      </c>
      <c r="BE41" s="23">
        <f t="shared" ref="BE41:BE77" si="31">((O41+Y41)*U_Com_Mild+((P41+Z41)*U_LTC_Mild))/(1+disc_rate_effects)^Alz_cycle</f>
        <v>0</v>
      </c>
      <c r="BF41" s="23">
        <f t="shared" ref="BF41:BF77" si="32">((Q41+AA41)*U_Com_Moderate+((R41+AB41)*U_LTC_Moderate))/(1+disc_rate_effects)^Alz_cycle</f>
        <v>0</v>
      </c>
      <c r="BG41" s="23">
        <f t="shared" ref="BG41:BG77" si="33">((S41+AC41)*U_Com_Severe+((T41+AD41)*U_LTC_Severe))/(1+disc_rate_effects)^Alz_cycle</f>
        <v>0</v>
      </c>
      <c r="BH41" s="23">
        <f t="shared" si="13"/>
        <v>0</v>
      </c>
    </row>
    <row r="42" spans="2:60" ht="11.1" customHeight="1" x14ac:dyDescent="0.3">
      <c r="B42" s="19">
        <v>34</v>
      </c>
      <c r="C42" s="19">
        <f t="shared" si="19"/>
        <v>105</v>
      </c>
      <c r="F42" s="20">
        <f t="shared" si="20"/>
        <v>1</v>
      </c>
      <c r="G42" s="20">
        <f t="shared" si="21"/>
        <v>1</v>
      </c>
      <c r="H42" s="20">
        <f t="shared" si="22"/>
        <v>1</v>
      </c>
      <c r="I42" s="20">
        <f t="shared" si="23"/>
        <v>1</v>
      </c>
      <c r="M42" s="96">
        <f>0.5*(Lecanemab!L42+Lecanemab!L43)</f>
        <v>0</v>
      </c>
      <c r="N42" s="96">
        <f>0.5*(Lecanemab!M42+Lecanemab!M43)</f>
        <v>0</v>
      </c>
      <c r="O42" s="96">
        <f>0.5*(Lecanemab!N42+Lecanemab!N43)</f>
        <v>0</v>
      </c>
      <c r="P42" s="96">
        <f>0.5*(Lecanemab!O42+Lecanemab!O43)</f>
        <v>0</v>
      </c>
      <c r="Q42" s="96">
        <f>0.5*(Lecanemab!P42+Lecanemab!P43)</f>
        <v>0</v>
      </c>
      <c r="R42" s="96">
        <f>0.5*(Lecanemab!Q42+Lecanemab!Q43)</f>
        <v>0</v>
      </c>
      <c r="S42" s="96">
        <f>0.5*(Lecanemab!R42+Lecanemab!R43)</f>
        <v>0</v>
      </c>
      <c r="T42" s="96">
        <f>0.5*(Lecanemab!S42+Lecanemab!S43)</f>
        <v>0</v>
      </c>
      <c r="U42" s="96">
        <f>0.5*(Lecanemab!T42+Lecanemab!T43)</f>
        <v>3.6691938027016875E-3</v>
      </c>
      <c r="V42" s="96">
        <f>0.5*(Lecanemab!U42+Lecanemab!U43)</f>
        <v>4.5431325551731107E-3</v>
      </c>
      <c r="W42" s="96">
        <f>0.5*(Lecanemab!V42+Lecanemab!V43)</f>
        <v>0</v>
      </c>
      <c r="X42" s="96">
        <f>0.5*(Lecanemab!W42+Lecanemab!W43)</f>
        <v>0</v>
      </c>
      <c r="Y42" s="96">
        <f>0.5*(Lecanemab!X42+Lecanemab!X43)</f>
        <v>0</v>
      </c>
      <c r="Z42" s="96">
        <f>0.5*(Lecanemab!Y42+Lecanemab!Y43)</f>
        <v>0</v>
      </c>
      <c r="AA42" s="96">
        <f>0.5*(Lecanemab!Z42+Lecanemab!Z43)</f>
        <v>0</v>
      </c>
      <c r="AB42" s="96">
        <f>0.5*(Lecanemab!AA42+Lecanemab!AA43)</f>
        <v>0</v>
      </c>
      <c r="AC42" s="96">
        <f>0.5*(Lecanemab!AB42+Lecanemab!AB43)</f>
        <v>0</v>
      </c>
      <c r="AD42" s="96">
        <f>0.5*(Lecanemab!AC42+Lecanemab!AC43)</f>
        <v>0</v>
      </c>
      <c r="AE42" s="96">
        <f>0.5*(Lecanemab!AD42+Lecanemab!AD43)</f>
        <v>0.41680361821883943</v>
      </c>
      <c r="AF42" s="96">
        <f>0.5*(Lecanemab!AE42+Lecanemab!AE43)</f>
        <v>0.57498405542328568</v>
      </c>
      <c r="AH42" s="83">
        <f t="shared" si="5"/>
        <v>0.99999999999999989</v>
      </c>
      <c r="AK42" s="19">
        <f t="shared" si="28"/>
        <v>0</v>
      </c>
      <c r="AL42" s="22">
        <f t="shared" si="24"/>
        <v>0</v>
      </c>
      <c r="AM42" s="22">
        <v>0</v>
      </c>
      <c r="AN42" s="22">
        <v>0</v>
      </c>
      <c r="AO42" s="22">
        <f t="shared" si="29"/>
        <v>0</v>
      </c>
      <c r="AP42" s="22">
        <f t="shared" si="25"/>
        <v>0</v>
      </c>
      <c r="AQ42" s="22">
        <v>0</v>
      </c>
      <c r="AR42" s="22">
        <v>0</v>
      </c>
      <c r="AS42" s="22">
        <f t="shared" si="26"/>
        <v>0</v>
      </c>
      <c r="AT42" s="22">
        <v>0</v>
      </c>
      <c r="AU42" s="22">
        <v>0</v>
      </c>
      <c r="AV42" s="22">
        <f t="shared" si="27"/>
        <v>0</v>
      </c>
      <c r="AW42" s="22">
        <v>0</v>
      </c>
      <c r="AX42" s="22">
        <v>0</v>
      </c>
      <c r="AY42" s="22">
        <v>0</v>
      </c>
      <c r="AZ42" s="22">
        <f t="shared" si="8"/>
        <v>0</v>
      </c>
      <c r="BD42" s="23">
        <f t="shared" si="30"/>
        <v>0</v>
      </c>
      <c r="BE42" s="23">
        <f t="shared" si="31"/>
        <v>0</v>
      </c>
      <c r="BF42" s="23">
        <f t="shared" si="32"/>
        <v>0</v>
      </c>
      <c r="BG42" s="23">
        <f t="shared" si="33"/>
        <v>0</v>
      </c>
      <c r="BH42" s="23">
        <f t="shared" si="13"/>
        <v>0</v>
      </c>
    </row>
    <row r="43" spans="2:60" ht="11.1" customHeight="1" x14ac:dyDescent="0.3">
      <c r="B43" s="19">
        <v>35</v>
      </c>
      <c r="C43" s="19">
        <f t="shared" si="19"/>
        <v>106</v>
      </c>
      <c r="F43" s="20">
        <f t="shared" si="20"/>
        <v>1</v>
      </c>
      <c r="G43" s="20">
        <f t="shared" si="21"/>
        <v>1</v>
      </c>
      <c r="H43" s="20">
        <f t="shared" si="22"/>
        <v>1</v>
      </c>
      <c r="I43" s="20">
        <f t="shared" si="23"/>
        <v>1</v>
      </c>
      <c r="M43" s="96">
        <f>0.5*(Lecanemab!L43+Lecanemab!L44)</f>
        <v>0</v>
      </c>
      <c r="N43" s="96">
        <f>0.5*(Lecanemab!M43+Lecanemab!M44)</f>
        <v>0</v>
      </c>
      <c r="O43" s="96">
        <f>0.5*(Lecanemab!N43+Lecanemab!N44)</f>
        <v>0</v>
      </c>
      <c r="P43" s="96">
        <f>0.5*(Lecanemab!O43+Lecanemab!O44)</f>
        <v>0</v>
      </c>
      <c r="Q43" s="96">
        <f>0.5*(Lecanemab!P43+Lecanemab!P44)</f>
        <v>0</v>
      </c>
      <c r="R43" s="96">
        <f>0.5*(Lecanemab!Q43+Lecanemab!Q44)</f>
        <v>0</v>
      </c>
      <c r="S43" s="96">
        <f>0.5*(Lecanemab!R43+Lecanemab!R44)</f>
        <v>0</v>
      </c>
      <c r="T43" s="96">
        <f>0.5*(Lecanemab!S43+Lecanemab!S44)</f>
        <v>0</v>
      </c>
      <c r="U43" s="96">
        <f>0.5*(Lecanemab!T43+Lecanemab!T44)</f>
        <v>3.1921986083504683E-3</v>
      </c>
      <c r="V43" s="96">
        <f>0.5*(Lecanemab!U43+Lecanemab!U44)</f>
        <v>3.9525253230006064E-3</v>
      </c>
      <c r="W43" s="96">
        <f>0.5*(Lecanemab!V43+Lecanemab!V44)</f>
        <v>0</v>
      </c>
      <c r="X43" s="96">
        <f>0.5*(Lecanemab!W43+Lecanemab!W44)</f>
        <v>0</v>
      </c>
      <c r="Y43" s="96">
        <f>0.5*(Lecanemab!X43+Lecanemab!X44)</f>
        <v>0</v>
      </c>
      <c r="Z43" s="96">
        <f>0.5*(Lecanemab!Y43+Lecanemab!Y44)</f>
        <v>0</v>
      </c>
      <c r="AA43" s="96">
        <f>0.5*(Lecanemab!Z43+Lecanemab!Z44)</f>
        <v>0</v>
      </c>
      <c r="AB43" s="96">
        <f>0.5*(Lecanemab!AA43+Lecanemab!AA44)</f>
        <v>0</v>
      </c>
      <c r="AC43" s="96">
        <f>0.5*(Lecanemab!AB43+Lecanemab!AB44)</f>
        <v>0</v>
      </c>
      <c r="AD43" s="96">
        <f>0.5*(Lecanemab!AC43+Lecanemab!AC44)</f>
        <v>0</v>
      </c>
      <c r="AE43" s="96">
        <f>0.5*(Lecanemab!AD43+Lecanemab!AD44)</f>
        <v>0.41728061341319067</v>
      </c>
      <c r="AF43" s="96">
        <f>0.5*(Lecanemab!AE43+Lecanemab!AE44)</f>
        <v>0.57557466265545809</v>
      </c>
      <c r="AH43" s="83">
        <f t="shared" si="5"/>
        <v>0.99999999999999978</v>
      </c>
      <c r="AK43" s="19">
        <f t="shared" si="28"/>
        <v>0</v>
      </c>
      <c r="AL43" s="22">
        <f t="shared" si="24"/>
        <v>0</v>
      </c>
      <c r="AM43" s="22">
        <v>0</v>
      </c>
      <c r="AN43" s="22">
        <v>0</v>
      </c>
      <c r="AO43" s="22">
        <f t="shared" si="29"/>
        <v>0</v>
      </c>
      <c r="AP43" s="22">
        <f t="shared" si="25"/>
        <v>0</v>
      </c>
      <c r="AQ43" s="22">
        <v>0</v>
      </c>
      <c r="AR43" s="22">
        <v>0</v>
      </c>
      <c r="AS43" s="22">
        <f t="shared" si="26"/>
        <v>0</v>
      </c>
      <c r="AT43" s="22">
        <v>0</v>
      </c>
      <c r="AU43" s="22">
        <v>0</v>
      </c>
      <c r="AV43" s="22">
        <f t="shared" si="27"/>
        <v>0</v>
      </c>
      <c r="AW43" s="22">
        <v>0</v>
      </c>
      <c r="AX43" s="22">
        <v>0</v>
      </c>
      <c r="AY43" s="22">
        <v>0</v>
      </c>
      <c r="AZ43" s="22">
        <f t="shared" si="8"/>
        <v>0</v>
      </c>
      <c r="BD43" s="23">
        <f t="shared" si="30"/>
        <v>0</v>
      </c>
      <c r="BE43" s="23">
        <f t="shared" si="31"/>
        <v>0</v>
      </c>
      <c r="BF43" s="23">
        <f t="shared" si="32"/>
        <v>0</v>
      </c>
      <c r="BG43" s="23">
        <f t="shared" si="33"/>
        <v>0</v>
      </c>
      <c r="BH43" s="23">
        <f t="shared" si="13"/>
        <v>0</v>
      </c>
    </row>
    <row r="44" spans="2:60" ht="11.1" customHeight="1" x14ac:dyDescent="0.3">
      <c r="B44" s="19">
        <v>36</v>
      </c>
      <c r="C44" s="19">
        <f t="shared" si="19"/>
        <v>107</v>
      </c>
      <c r="F44" s="20">
        <f t="shared" si="20"/>
        <v>1</v>
      </c>
      <c r="G44" s="20">
        <f t="shared" si="21"/>
        <v>1</v>
      </c>
      <c r="H44" s="20">
        <f t="shared" si="22"/>
        <v>1</v>
      </c>
      <c r="I44" s="20">
        <f t="shared" si="23"/>
        <v>1</v>
      </c>
      <c r="M44" s="96">
        <f>0.5*(Lecanemab!L44+Lecanemab!L45)</f>
        <v>0</v>
      </c>
      <c r="N44" s="96">
        <f>0.5*(Lecanemab!M44+Lecanemab!M45)</f>
        <v>0</v>
      </c>
      <c r="O44" s="96">
        <f>0.5*(Lecanemab!N44+Lecanemab!N45)</f>
        <v>0</v>
      </c>
      <c r="P44" s="96">
        <f>0.5*(Lecanemab!O44+Lecanemab!O45)</f>
        <v>0</v>
      </c>
      <c r="Q44" s="96">
        <f>0.5*(Lecanemab!P44+Lecanemab!P45)</f>
        <v>0</v>
      </c>
      <c r="R44" s="96">
        <f>0.5*(Lecanemab!Q44+Lecanemab!Q45)</f>
        <v>0</v>
      </c>
      <c r="S44" s="96">
        <f>0.5*(Lecanemab!R44+Lecanemab!R45)</f>
        <v>0</v>
      </c>
      <c r="T44" s="96">
        <f>0.5*(Lecanemab!S44+Lecanemab!S45)</f>
        <v>0</v>
      </c>
      <c r="U44" s="96">
        <f>0.5*(Lecanemab!T44+Lecanemab!T45)</f>
        <v>2.7772127892649072E-3</v>
      </c>
      <c r="V44" s="96">
        <f>0.5*(Lecanemab!U44+Lecanemab!U45)</f>
        <v>3.4386970310105276E-3</v>
      </c>
      <c r="W44" s="96">
        <f>0.5*(Lecanemab!V44+Lecanemab!V45)</f>
        <v>0</v>
      </c>
      <c r="X44" s="96">
        <f>0.5*(Lecanemab!W44+Lecanemab!W45)</f>
        <v>0</v>
      </c>
      <c r="Y44" s="96">
        <f>0.5*(Lecanemab!X44+Lecanemab!X45)</f>
        <v>0</v>
      </c>
      <c r="Z44" s="96">
        <f>0.5*(Lecanemab!Y44+Lecanemab!Y45)</f>
        <v>0</v>
      </c>
      <c r="AA44" s="96">
        <f>0.5*(Lecanemab!Z44+Lecanemab!Z45)</f>
        <v>0</v>
      </c>
      <c r="AB44" s="96">
        <f>0.5*(Lecanemab!AA44+Lecanemab!AA45)</f>
        <v>0</v>
      </c>
      <c r="AC44" s="96">
        <f>0.5*(Lecanemab!AB44+Lecanemab!AB45)</f>
        <v>0</v>
      </c>
      <c r="AD44" s="96">
        <f>0.5*(Lecanemab!AC44+Lecanemab!AC45)</f>
        <v>0</v>
      </c>
      <c r="AE44" s="96">
        <f>0.5*(Lecanemab!AD44+Lecanemab!AD45)</f>
        <v>0.41769559923227628</v>
      </c>
      <c r="AF44" s="96">
        <f>0.5*(Lecanemab!AE44+Lecanemab!AE45)</f>
        <v>0.57608849094744818</v>
      </c>
      <c r="AH44" s="83">
        <f t="shared" si="5"/>
        <v>0.99999999999999989</v>
      </c>
      <c r="AK44" s="19">
        <f t="shared" si="28"/>
        <v>0</v>
      </c>
      <c r="AL44" s="22">
        <f t="shared" si="24"/>
        <v>0</v>
      </c>
      <c r="AM44" s="22">
        <v>0</v>
      </c>
      <c r="AN44" s="22">
        <v>0</v>
      </c>
      <c r="AO44" s="22">
        <f t="shared" si="29"/>
        <v>0</v>
      </c>
      <c r="AP44" s="22">
        <f t="shared" si="25"/>
        <v>0</v>
      </c>
      <c r="AQ44" s="22">
        <v>0</v>
      </c>
      <c r="AR44" s="22">
        <v>0</v>
      </c>
      <c r="AS44" s="22">
        <f t="shared" si="26"/>
        <v>0</v>
      </c>
      <c r="AT44" s="22">
        <v>0</v>
      </c>
      <c r="AU44" s="22">
        <v>0</v>
      </c>
      <c r="AV44" s="22">
        <f t="shared" si="27"/>
        <v>0</v>
      </c>
      <c r="AW44" s="22">
        <v>0</v>
      </c>
      <c r="AX44" s="22">
        <v>0</v>
      </c>
      <c r="AY44" s="22">
        <v>0</v>
      </c>
      <c r="AZ44" s="22">
        <f t="shared" si="8"/>
        <v>0</v>
      </c>
      <c r="BD44" s="23">
        <f t="shared" si="30"/>
        <v>0</v>
      </c>
      <c r="BE44" s="23">
        <f t="shared" si="31"/>
        <v>0</v>
      </c>
      <c r="BF44" s="23">
        <f t="shared" si="32"/>
        <v>0</v>
      </c>
      <c r="BG44" s="23">
        <f t="shared" si="33"/>
        <v>0</v>
      </c>
      <c r="BH44" s="23">
        <f t="shared" si="13"/>
        <v>0</v>
      </c>
    </row>
    <row r="45" spans="2:60" ht="11.1" customHeight="1" x14ac:dyDescent="0.3">
      <c r="B45" s="19">
        <v>37</v>
      </c>
      <c r="C45" s="19">
        <f t="shared" si="19"/>
        <v>108</v>
      </c>
      <c r="F45" s="20">
        <f t="shared" si="20"/>
        <v>1</v>
      </c>
      <c r="G45" s="20">
        <f t="shared" si="21"/>
        <v>1</v>
      </c>
      <c r="H45" s="20">
        <f t="shared" si="22"/>
        <v>1</v>
      </c>
      <c r="I45" s="20">
        <f t="shared" si="23"/>
        <v>1</v>
      </c>
      <c r="M45" s="96">
        <f>0.5*(Lecanemab!L45+Lecanemab!L46)</f>
        <v>0</v>
      </c>
      <c r="N45" s="96">
        <f>0.5*(Lecanemab!M45+Lecanemab!M46)</f>
        <v>0</v>
      </c>
      <c r="O45" s="96">
        <f>0.5*(Lecanemab!N45+Lecanemab!N46)</f>
        <v>0</v>
      </c>
      <c r="P45" s="96">
        <f>0.5*(Lecanemab!O45+Lecanemab!O46)</f>
        <v>0</v>
      </c>
      <c r="Q45" s="96">
        <f>0.5*(Lecanemab!P45+Lecanemab!P46)</f>
        <v>0</v>
      </c>
      <c r="R45" s="96">
        <f>0.5*(Lecanemab!Q45+Lecanemab!Q46)</f>
        <v>0</v>
      </c>
      <c r="S45" s="96">
        <f>0.5*(Lecanemab!R45+Lecanemab!R46)</f>
        <v>0</v>
      </c>
      <c r="T45" s="96">
        <f>0.5*(Lecanemab!S45+Lecanemab!S46)</f>
        <v>0</v>
      </c>
      <c r="U45" s="96">
        <f>0.5*(Lecanemab!T45+Lecanemab!T46)</f>
        <v>2.4161751266604694E-3</v>
      </c>
      <c r="V45" s="96">
        <f>0.5*(Lecanemab!U45+Lecanemab!U46)</f>
        <v>2.9916664169791587E-3</v>
      </c>
      <c r="W45" s="96">
        <f>0.5*(Lecanemab!V45+Lecanemab!V46)</f>
        <v>0</v>
      </c>
      <c r="X45" s="96">
        <f>0.5*(Lecanemab!W45+Lecanemab!W46)</f>
        <v>0</v>
      </c>
      <c r="Y45" s="96">
        <f>0.5*(Lecanemab!X45+Lecanemab!X46)</f>
        <v>0</v>
      </c>
      <c r="Z45" s="96">
        <f>0.5*(Lecanemab!Y45+Lecanemab!Y46)</f>
        <v>0</v>
      </c>
      <c r="AA45" s="96">
        <f>0.5*(Lecanemab!Z45+Lecanemab!Z46)</f>
        <v>0</v>
      </c>
      <c r="AB45" s="96">
        <f>0.5*(Lecanemab!AA45+Lecanemab!AA46)</f>
        <v>0</v>
      </c>
      <c r="AC45" s="96">
        <f>0.5*(Lecanemab!AB45+Lecanemab!AB46)</f>
        <v>0</v>
      </c>
      <c r="AD45" s="96">
        <f>0.5*(Lecanemab!AC45+Lecanemab!AC46)</f>
        <v>0</v>
      </c>
      <c r="AE45" s="96">
        <f>0.5*(Lecanemab!AD45+Lecanemab!AD46)</f>
        <v>0.41805663689488071</v>
      </c>
      <c r="AF45" s="96">
        <f>0.5*(Lecanemab!AE45+Lecanemab!AE46)</f>
        <v>0.57653552156147958</v>
      </c>
      <c r="AH45" s="83">
        <f t="shared" si="5"/>
        <v>0.99999999999999989</v>
      </c>
      <c r="AK45" s="19">
        <f t="shared" si="28"/>
        <v>0</v>
      </c>
      <c r="AL45" s="22">
        <f t="shared" si="24"/>
        <v>0</v>
      </c>
      <c r="AM45" s="22">
        <v>0</v>
      </c>
      <c r="AN45" s="22">
        <v>0</v>
      </c>
      <c r="AO45" s="22">
        <f t="shared" si="29"/>
        <v>0</v>
      </c>
      <c r="AP45" s="22">
        <f t="shared" si="25"/>
        <v>0</v>
      </c>
      <c r="AQ45" s="22">
        <v>0</v>
      </c>
      <c r="AR45" s="22">
        <v>0</v>
      </c>
      <c r="AS45" s="22">
        <f t="shared" si="26"/>
        <v>0</v>
      </c>
      <c r="AT45" s="22">
        <v>0</v>
      </c>
      <c r="AU45" s="22">
        <v>0</v>
      </c>
      <c r="AV45" s="22">
        <f t="shared" si="27"/>
        <v>0</v>
      </c>
      <c r="AW45" s="22">
        <v>0</v>
      </c>
      <c r="AX45" s="22">
        <v>0</v>
      </c>
      <c r="AY45" s="22">
        <v>0</v>
      </c>
      <c r="AZ45" s="22">
        <f t="shared" si="8"/>
        <v>0</v>
      </c>
      <c r="BD45" s="23">
        <f t="shared" si="30"/>
        <v>0</v>
      </c>
      <c r="BE45" s="23">
        <f t="shared" si="31"/>
        <v>0</v>
      </c>
      <c r="BF45" s="23">
        <f t="shared" si="32"/>
        <v>0</v>
      </c>
      <c r="BG45" s="23">
        <f t="shared" si="33"/>
        <v>0</v>
      </c>
      <c r="BH45" s="23">
        <f t="shared" si="13"/>
        <v>0</v>
      </c>
    </row>
    <row r="46" spans="2:60" ht="11.1" customHeight="1" x14ac:dyDescent="0.3">
      <c r="B46" s="19">
        <v>38</v>
      </c>
      <c r="C46" s="19">
        <f t="shared" si="19"/>
        <v>109</v>
      </c>
      <c r="F46" s="20">
        <f t="shared" si="20"/>
        <v>1</v>
      </c>
      <c r="G46" s="20">
        <f t="shared" si="21"/>
        <v>1</v>
      </c>
      <c r="H46" s="20">
        <f t="shared" si="22"/>
        <v>1</v>
      </c>
      <c r="I46" s="20">
        <f t="shared" si="23"/>
        <v>1</v>
      </c>
      <c r="M46" s="96">
        <f>0.5*(Lecanemab!L46+Lecanemab!L47)</f>
        <v>0</v>
      </c>
      <c r="N46" s="96">
        <f>0.5*(Lecanemab!M46+Lecanemab!M47)</f>
        <v>0</v>
      </c>
      <c r="O46" s="96">
        <f>0.5*(Lecanemab!N46+Lecanemab!N47)</f>
        <v>0</v>
      </c>
      <c r="P46" s="96">
        <f>0.5*(Lecanemab!O46+Lecanemab!O47)</f>
        <v>0</v>
      </c>
      <c r="Q46" s="96">
        <f>0.5*(Lecanemab!P46+Lecanemab!P47)</f>
        <v>0</v>
      </c>
      <c r="R46" s="96">
        <f>0.5*(Lecanemab!Q46+Lecanemab!Q47)</f>
        <v>0</v>
      </c>
      <c r="S46" s="96">
        <f>0.5*(Lecanemab!R46+Lecanemab!R47)</f>
        <v>0</v>
      </c>
      <c r="T46" s="96">
        <f>0.5*(Lecanemab!S46+Lecanemab!S47)</f>
        <v>0</v>
      </c>
      <c r="U46" s="96">
        <f>0.5*(Lecanemab!T46+Lecanemab!T47)</f>
        <v>2.1020723601946085E-3</v>
      </c>
      <c r="V46" s="96">
        <f>0.5*(Lecanemab!U46+Lecanemab!U47)</f>
        <v>2.6027497827718678E-3</v>
      </c>
      <c r="W46" s="96">
        <f>0.5*(Lecanemab!V46+Lecanemab!V47)</f>
        <v>0</v>
      </c>
      <c r="X46" s="96">
        <f>0.5*(Lecanemab!W46+Lecanemab!W47)</f>
        <v>0</v>
      </c>
      <c r="Y46" s="96">
        <f>0.5*(Lecanemab!X46+Lecanemab!X47)</f>
        <v>0</v>
      </c>
      <c r="Z46" s="96">
        <f>0.5*(Lecanemab!Y46+Lecanemab!Y47)</f>
        <v>0</v>
      </c>
      <c r="AA46" s="96">
        <f>0.5*(Lecanemab!Z46+Lecanemab!Z47)</f>
        <v>0</v>
      </c>
      <c r="AB46" s="96">
        <f>0.5*(Lecanemab!AA46+Lecanemab!AA47)</f>
        <v>0</v>
      </c>
      <c r="AC46" s="96">
        <f>0.5*(Lecanemab!AB46+Lecanemab!AB47)</f>
        <v>0</v>
      </c>
      <c r="AD46" s="96">
        <f>0.5*(Lecanemab!AC46+Lecanemab!AC47)</f>
        <v>0</v>
      </c>
      <c r="AE46" s="96">
        <f>0.5*(Lecanemab!AD46+Lecanemab!AD47)</f>
        <v>0.41837073966134658</v>
      </c>
      <c r="AF46" s="96">
        <f>0.5*(Lecanemab!AE46+Lecanemab!AE47)</f>
        <v>0.57692443819568684</v>
      </c>
      <c r="AH46" s="83">
        <f t="shared" si="5"/>
        <v>0.99999999999999989</v>
      </c>
      <c r="AK46" s="19">
        <f t="shared" si="28"/>
        <v>0</v>
      </c>
      <c r="AL46" s="22">
        <f t="shared" si="24"/>
        <v>0</v>
      </c>
      <c r="AM46" s="22">
        <v>0</v>
      </c>
      <c r="AN46" s="22">
        <v>0</v>
      </c>
      <c r="AO46" s="22">
        <f t="shared" si="29"/>
        <v>0</v>
      </c>
      <c r="AP46" s="22">
        <f t="shared" si="25"/>
        <v>0</v>
      </c>
      <c r="AQ46" s="22">
        <v>0</v>
      </c>
      <c r="AR46" s="22">
        <v>0</v>
      </c>
      <c r="AS46" s="22">
        <f t="shared" si="26"/>
        <v>0</v>
      </c>
      <c r="AT46" s="22">
        <v>0</v>
      </c>
      <c r="AU46" s="22">
        <v>0</v>
      </c>
      <c r="AV46" s="22">
        <f t="shared" si="27"/>
        <v>0</v>
      </c>
      <c r="AW46" s="22">
        <v>0</v>
      </c>
      <c r="AX46" s="22">
        <v>0</v>
      </c>
      <c r="AY46" s="22">
        <v>0</v>
      </c>
      <c r="AZ46" s="22">
        <f t="shared" si="8"/>
        <v>0</v>
      </c>
      <c r="BD46" s="23">
        <f t="shared" si="30"/>
        <v>0</v>
      </c>
      <c r="BE46" s="23">
        <f t="shared" si="31"/>
        <v>0</v>
      </c>
      <c r="BF46" s="23">
        <f t="shared" si="32"/>
        <v>0</v>
      </c>
      <c r="BG46" s="23">
        <f t="shared" si="33"/>
        <v>0</v>
      </c>
      <c r="BH46" s="23">
        <f t="shared" si="13"/>
        <v>0</v>
      </c>
    </row>
    <row r="47" spans="2:60" ht="11.1" customHeight="1" x14ac:dyDescent="0.3">
      <c r="B47" s="19">
        <v>39</v>
      </c>
      <c r="C47" s="19">
        <f t="shared" si="19"/>
        <v>110</v>
      </c>
      <c r="F47" s="20">
        <f t="shared" si="20"/>
        <v>1</v>
      </c>
      <c r="G47" s="20">
        <f t="shared" si="21"/>
        <v>1</v>
      </c>
      <c r="H47" s="20">
        <f t="shared" si="22"/>
        <v>1</v>
      </c>
      <c r="I47" s="20">
        <f t="shared" si="23"/>
        <v>1</v>
      </c>
      <c r="M47" s="96">
        <f>0.5*(Lecanemab!L47+Lecanemab!L48)</f>
        <v>0</v>
      </c>
      <c r="N47" s="96">
        <f>0.5*(Lecanemab!M47+Lecanemab!M48)</f>
        <v>0</v>
      </c>
      <c r="O47" s="96">
        <f>0.5*(Lecanemab!N47+Lecanemab!N48)</f>
        <v>0</v>
      </c>
      <c r="P47" s="96">
        <f>0.5*(Lecanemab!O47+Lecanemab!O48)</f>
        <v>0</v>
      </c>
      <c r="Q47" s="96">
        <f>0.5*(Lecanemab!P47+Lecanemab!P48)</f>
        <v>0</v>
      </c>
      <c r="R47" s="96">
        <f>0.5*(Lecanemab!Q47+Lecanemab!Q48)</f>
        <v>0</v>
      </c>
      <c r="S47" s="96">
        <f>0.5*(Lecanemab!R47+Lecanemab!R48)</f>
        <v>0</v>
      </c>
      <c r="T47" s="96">
        <f>0.5*(Lecanemab!S47+Lecanemab!S48)</f>
        <v>0</v>
      </c>
      <c r="U47" s="96">
        <f>0.5*(Lecanemab!T47+Lecanemab!T48)</f>
        <v>9.7796949378037919E-4</v>
      </c>
      <c r="V47" s="96">
        <f>0.5*(Lecanemab!U47+Lecanemab!U48)</f>
        <v>1.2109049791505482E-3</v>
      </c>
      <c r="W47" s="96">
        <f>0.5*(Lecanemab!V47+Lecanemab!V48)</f>
        <v>0</v>
      </c>
      <c r="X47" s="96">
        <f>0.5*(Lecanemab!W47+Lecanemab!W48)</f>
        <v>0</v>
      </c>
      <c r="Y47" s="96">
        <f>0.5*(Lecanemab!X47+Lecanemab!X48)</f>
        <v>0</v>
      </c>
      <c r="Z47" s="96">
        <f>0.5*(Lecanemab!Y47+Lecanemab!Y48)</f>
        <v>0</v>
      </c>
      <c r="AA47" s="96">
        <f>0.5*(Lecanemab!Z47+Lecanemab!Z48)</f>
        <v>0</v>
      </c>
      <c r="AB47" s="96">
        <f>0.5*(Lecanemab!AA47+Lecanemab!AA48)</f>
        <v>0</v>
      </c>
      <c r="AC47" s="96">
        <f>0.5*(Lecanemab!AB47+Lecanemab!AB48)</f>
        <v>0</v>
      </c>
      <c r="AD47" s="96">
        <f>0.5*(Lecanemab!AC47+Lecanemab!AC48)</f>
        <v>0</v>
      </c>
      <c r="AE47" s="96">
        <f>0.5*(Lecanemab!AD47+Lecanemab!AD48)</f>
        <v>0.20925843651699022</v>
      </c>
      <c r="AF47" s="96">
        <f>0.5*(Lecanemab!AE47+Lecanemab!AE48)</f>
        <v>0.2885526890100788</v>
      </c>
      <c r="AH47" s="83">
        <f t="shared" si="5"/>
        <v>0.49999999999999994</v>
      </c>
      <c r="AK47" s="19">
        <f t="shared" si="28"/>
        <v>0</v>
      </c>
      <c r="AL47" s="22">
        <f t="shared" si="24"/>
        <v>0</v>
      </c>
      <c r="AM47" s="22">
        <v>0</v>
      </c>
      <c r="AN47" s="22">
        <v>0</v>
      </c>
      <c r="AO47" s="22">
        <f t="shared" si="29"/>
        <v>0</v>
      </c>
      <c r="AP47" s="22">
        <f t="shared" si="25"/>
        <v>0</v>
      </c>
      <c r="AQ47" s="22">
        <v>0</v>
      </c>
      <c r="AR47" s="22">
        <v>0</v>
      </c>
      <c r="AS47" s="22">
        <f t="shared" si="26"/>
        <v>0</v>
      </c>
      <c r="AT47" s="22">
        <v>0</v>
      </c>
      <c r="AU47" s="22">
        <v>0</v>
      </c>
      <c r="AV47" s="22">
        <f t="shared" si="27"/>
        <v>0</v>
      </c>
      <c r="AW47" s="22">
        <v>0</v>
      </c>
      <c r="AX47" s="22">
        <v>0</v>
      </c>
      <c r="AY47" s="22">
        <v>0</v>
      </c>
      <c r="AZ47" s="22">
        <f t="shared" si="8"/>
        <v>0</v>
      </c>
      <c r="BD47" s="23">
        <f t="shared" si="30"/>
        <v>0</v>
      </c>
      <c r="BE47" s="23">
        <f t="shared" si="31"/>
        <v>0</v>
      </c>
      <c r="BF47" s="23">
        <f t="shared" si="32"/>
        <v>0</v>
      </c>
      <c r="BG47" s="23">
        <f t="shared" si="33"/>
        <v>0</v>
      </c>
      <c r="BH47" s="23">
        <f t="shared" si="13"/>
        <v>0</v>
      </c>
    </row>
    <row r="48" spans="2:60" ht="11.1" customHeight="1" x14ac:dyDescent="0.3">
      <c r="B48" s="19">
        <v>40</v>
      </c>
      <c r="C48" s="19">
        <f t="shared" si="19"/>
        <v>111</v>
      </c>
      <c r="F48" s="20">
        <f t="shared" si="20"/>
        <v>1</v>
      </c>
      <c r="G48" s="20">
        <f t="shared" si="21"/>
        <v>1</v>
      </c>
      <c r="H48" s="20">
        <f t="shared" si="22"/>
        <v>1</v>
      </c>
      <c r="I48" s="20">
        <f t="shared" si="23"/>
        <v>1</v>
      </c>
      <c r="M48" s="96">
        <f>0.5*(Lecanemab!L48+Lecanemab!L49)</f>
        <v>0</v>
      </c>
      <c r="N48" s="96">
        <f>0.5*(Lecanemab!M48+Lecanemab!M49)</f>
        <v>0</v>
      </c>
      <c r="O48" s="96">
        <f>0.5*(Lecanemab!N48+Lecanemab!N49)</f>
        <v>0</v>
      </c>
      <c r="P48" s="96">
        <f>0.5*(Lecanemab!O48+Lecanemab!O49)</f>
        <v>0</v>
      </c>
      <c r="Q48" s="96">
        <f>0.5*(Lecanemab!P48+Lecanemab!P49)</f>
        <v>0</v>
      </c>
      <c r="R48" s="96">
        <f>0.5*(Lecanemab!Q48+Lecanemab!Q49)</f>
        <v>0</v>
      </c>
      <c r="S48" s="96">
        <f>0.5*(Lecanemab!R48+Lecanemab!R49)</f>
        <v>0</v>
      </c>
      <c r="T48" s="96">
        <f>0.5*(Lecanemab!S48+Lecanemab!S49)</f>
        <v>0</v>
      </c>
      <c r="U48" s="96">
        <f>0.5*(Lecanemab!T48+Lecanemab!T49)</f>
        <v>0</v>
      </c>
      <c r="V48" s="96">
        <f>0.5*(Lecanemab!U48+Lecanemab!U49)</f>
        <v>0</v>
      </c>
      <c r="W48" s="96">
        <f>0.5*(Lecanemab!V48+Lecanemab!V49)</f>
        <v>0</v>
      </c>
      <c r="X48" s="96">
        <f>0.5*(Lecanemab!W48+Lecanemab!W49)</f>
        <v>0</v>
      </c>
      <c r="Y48" s="96">
        <f>0.5*(Lecanemab!X48+Lecanemab!X49)</f>
        <v>0</v>
      </c>
      <c r="Z48" s="96">
        <f>0.5*(Lecanemab!Y48+Lecanemab!Y49)</f>
        <v>0</v>
      </c>
      <c r="AA48" s="96">
        <f>0.5*(Lecanemab!Z48+Lecanemab!Z49)</f>
        <v>0</v>
      </c>
      <c r="AB48" s="96">
        <f>0.5*(Lecanemab!AA48+Lecanemab!AA49)</f>
        <v>0</v>
      </c>
      <c r="AC48" s="96">
        <f>0.5*(Lecanemab!AB48+Lecanemab!AB49)</f>
        <v>0</v>
      </c>
      <c r="AD48" s="96">
        <f>0.5*(Lecanemab!AC48+Lecanemab!AC49)</f>
        <v>0</v>
      </c>
      <c r="AE48" s="96">
        <f>0.5*(Lecanemab!AD48+Lecanemab!AD49)</f>
        <v>0</v>
      </c>
      <c r="AF48" s="96">
        <f>0.5*(Lecanemab!AE48+Lecanemab!AE49)</f>
        <v>0</v>
      </c>
      <c r="AH48" s="83">
        <f t="shared" si="5"/>
        <v>0</v>
      </c>
      <c r="AK48" s="19">
        <f t="shared" si="28"/>
        <v>0</v>
      </c>
      <c r="AL48" s="22">
        <f t="shared" si="24"/>
        <v>0</v>
      </c>
      <c r="AM48" s="22">
        <v>0</v>
      </c>
      <c r="AN48" s="22">
        <v>0</v>
      </c>
      <c r="AO48" s="22">
        <f t="shared" si="29"/>
        <v>0</v>
      </c>
      <c r="AP48" s="22">
        <f t="shared" si="25"/>
        <v>0</v>
      </c>
      <c r="AQ48" s="22">
        <v>0</v>
      </c>
      <c r="AR48" s="22">
        <v>0</v>
      </c>
      <c r="AS48" s="22">
        <f t="shared" si="26"/>
        <v>0</v>
      </c>
      <c r="AT48" s="22">
        <v>0</v>
      </c>
      <c r="AU48" s="22">
        <v>0</v>
      </c>
      <c r="AV48" s="22">
        <f t="shared" si="27"/>
        <v>0</v>
      </c>
      <c r="AW48" s="22">
        <v>0</v>
      </c>
      <c r="AX48" s="22">
        <v>0</v>
      </c>
      <c r="AY48" s="22">
        <v>0</v>
      </c>
      <c r="AZ48" s="22">
        <f t="shared" si="8"/>
        <v>0</v>
      </c>
      <c r="BD48" s="23">
        <f t="shared" si="30"/>
        <v>0</v>
      </c>
      <c r="BE48" s="23">
        <f t="shared" si="31"/>
        <v>0</v>
      </c>
      <c r="BF48" s="23">
        <f t="shared" si="32"/>
        <v>0</v>
      </c>
      <c r="BG48" s="23">
        <f t="shared" si="33"/>
        <v>0</v>
      </c>
      <c r="BH48" s="23">
        <f t="shared" si="13"/>
        <v>0</v>
      </c>
    </row>
    <row r="49" spans="2:60" ht="11.1" customHeight="1" x14ac:dyDescent="0.3">
      <c r="B49" s="19">
        <v>41</v>
      </c>
      <c r="C49" s="19">
        <f t="shared" si="19"/>
        <v>112</v>
      </c>
      <c r="F49" s="20">
        <f t="shared" si="20"/>
        <v>1</v>
      </c>
      <c r="G49" s="20">
        <f t="shared" si="21"/>
        <v>1</v>
      </c>
      <c r="H49" s="20">
        <f t="shared" si="22"/>
        <v>1</v>
      </c>
      <c r="I49" s="20">
        <f t="shared" si="23"/>
        <v>1</v>
      </c>
      <c r="M49" s="96">
        <f>0.5*(Lecanemab!L49+Lecanemab!L50)</f>
        <v>0</v>
      </c>
      <c r="N49" s="96">
        <f>0.5*(Lecanemab!M49+Lecanemab!M50)</f>
        <v>0</v>
      </c>
      <c r="O49" s="96">
        <f>0.5*(Lecanemab!N49+Lecanemab!N50)</f>
        <v>0</v>
      </c>
      <c r="P49" s="96">
        <f>0.5*(Lecanemab!O49+Lecanemab!O50)</f>
        <v>0</v>
      </c>
      <c r="Q49" s="96">
        <f>0.5*(Lecanemab!P49+Lecanemab!P50)</f>
        <v>0</v>
      </c>
      <c r="R49" s="96">
        <f>0.5*(Lecanemab!Q49+Lecanemab!Q50)</f>
        <v>0</v>
      </c>
      <c r="S49" s="96">
        <f>0.5*(Lecanemab!R49+Lecanemab!R50)</f>
        <v>0</v>
      </c>
      <c r="T49" s="96">
        <f>0.5*(Lecanemab!S49+Lecanemab!S50)</f>
        <v>0</v>
      </c>
      <c r="U49" s="96">
        <f>0.5*(Lecanemab!T49+Lecanemab!T50)</f>
        <v>0</v>
      </c>
      <c r="V49" s="96">
        <f>0.5*(Lecanemab!U49+Lecanemab!U50)</f>
        <v>0</v>
      </c>
      <c r="W49" s="96">
        <f>0.5*(Lecanemab!V49+Lecanemab!V50)</f>
        <v>0</v>
      </c>
      <c r="X49" s="96">
        <f>0.5*(Lecanemab!W49+Lecanemab!W50)</f>
        <v>0</v>
      </c>
      <c r="Y49" s="96">
        <f>0.5*(Lecanemab!X49+Lecanemab!X50)</f>
        <v>0</v>
      </c>
      <c r="Z49" s="96">
        <f>0.5*(Lecanemab!Y49+Lecanemab!Y50)</f>
        <v>0</v>
      </c>
      <c r="AA49" s="96">
        <f>0.5*(Lecanemab!Z49+Lecanemab!Z50)</f>
        <v>0</v>
      </c>
      <c r="AB49" s="96">
        <f>0.5*(Lecanemab!AA49+Lecanemab!AA50)</f>
        <v>0</v>
      </c>
      <c r="AC49" s="96">
        <f>0.5*(Lecanemab!AB49+Lecanemab!AB50)</f>
        <v>0</v>
      </c>
      <c r="AD49" s="96">
        <f>0.5*(Lecanemab!AC49+Lecanemab!AC50)</f>
        <v>0</v>
      </c>
      <c r="AE49" s="96">
        <f>0.5*(Lecanemab!AD49+Lecanemab!AD50)</f>
        <v>0</v>
      </c>
      <c r="AF49" s="96">
        <f>0.5*(Lecanemab!AE49+Lecanemab!AE50)</f>
        <v>0</v>
      </c>
      <c r="AH49" s="83">
        <f t="shared" si="5"/>
        <v>0</v>
      </c>
      <c r="AK49" s="19">
        <f t="shared" si="28"/>
        <v>0</v>
      </c>
      <c r="AL49" s="22">
        <f t="shared" si="24"/>
        <v>0</v>
      </c>
      <c r="AM49" s="22">
        <v>0</v>
      </c>
      <c r="AN49" s="22">
        <v>0</v>
      </c>
      <c r="AO49" s="22">
        <f t="shared" si="29"/>
        <v>0</v>
      </c>
      <c r="AP49" s="22">
        <f t="shared" si="25"/>
        <v>0</v>
      </c>
      <c r="AQ49" s="22">
        <v>0</v>
      </c>
      <c r="AR49" s="22">
        <v>0</v>
      </c>
      <c r="AS49" s="22">
        <f t="shared" si="26"/>
        <v>0</v>
      </c>
      <c r="AT49" s="22">
        <v>0</v>
      </c>
      <c r="AU49" s="22">
        <v>0</v>
      </c>
      <c r="AV49" s="22">
        <f t="shared" si="27"/>
        <v>0</v>
      </c>
      <c r="AW49" s="22">
        <v>0</v>
      </c>
      <c r="AX49" s="22">
        <v>0</v>
      </c>
      <c r="AY49" s="22">
        <v>0</v>
      </c>
      <c r="AZ49" s="22">
        <f t="shared" si="8"/>
        <v>0</v>
      </c>
      <c r="BD49" s="23">
        <f t="shared" si="30"/>
        <v>0</v>
      </c>
      <c r="BE49" s="23">
        <f t="shared" si="31"/>
        <v>0</v>
      </c>
      <c r="BF49" s="23">
        <f t="shared" si="32"/>
        <v>0</v>
      </c>
      <c r="BG49" s="23">
        <f t="shared" si="33"/>
        <v>0</v>
      </c>
      <c r="BH49" s="23">
        <f t="shared" si="13"/>
        <v>0</v>
      </c>
    </row>
    <row r="50" spans="2:60" ht="11.1" customHeight="1" x14ac:dyDescent="0.3">
      <c r="B50" s="19">
        <v>42</v>
      </c>
      <c r="C50" s="19">
        <f t="shared" si="19"/>
        <v>113</v>
      </c>
      <c r="F50" s="20">
        <f t="shared" si="20"/>
        <v>1</v>
      </c>
      <c r="G50" s="20">
        <f t="shared" si="21"/>
        <v>1</v>
      </c>
      <c r="H50" s="20">
        <f t="shared" si="22"/>
        <v>1</v>
      </c>
      <c r="I50" s="20">
        <f t="shared" si="23"/>
        <v>1</v>
      </c>
      <c r="M50" s="96">
        <f>0.5*(Lecanemab!L50+Lecanemab!L51)</f>
        <v>0</v>
      </c>
      <c r="N50" s="96">
        <f>0.5*(Lecanemab!M50+Lecanemab!M51)</f>
        <v>0</v>
      </c>
      <c r="O50" s="96">
        <f>0.5*(Lecanemab!N50+Lecanemab!N51)</f>
        <v>0</v>
      </c>
      <c r="P50" s="96">
        <f>0.5*(Lecanemab!O50+Lecanemab!O51)</f>
        <v>0</v>
      </c>
      <c r="Q50" s="96">
        <f>0.5*(Lecanemab!P50+Lecanemab!P51)</f>
        <v>0</v>
      </c>
      <c r="R50" s="96">
        <f>0.5*(Lecanemab!Q50+Lecanemab!Q51)</f>
        <v>0</v>
      </c>
      <c r="S50" s="96">
        <f>0.5*(Lecanemab!R50+Lecanemab!R51)</f>
        <v>0</v>
      </c>
      <c r="T50" s="96">
        <f>0.5*(Lecanemab!S50+Lecanemab!S51)</f>
        <v>0</v>
      </c>
      <c r="U50" s="96">
        <f>0.5*(Lecanemab!T50+Lecanemab!T51)</f>
        <v>0</v>
      </c>
      <c r="V50" s="96">
        <f>0.5*(Lecanemab!U50+Lecanemab!U51)</f>
        <v>0</v>
      </c>
      <c r="W50" s="96">
        <f>0.5*(Lecanemab!V50+Lecanemab!V51)</f>
        <v>0</v>
      </c>
      <c r="X50" s="96">
        <f>0.5*(Lecanemab!W50+Lecanemab!W51)</f>
        <v>0</v>
      </c>
      <c r="Y50" s="96">
        <f>0.5*(Lecanemab!X50+Lecanemab!X51)</f>
        <v>0</v>
      </c>
      <c r="Z50" s="96">
        <f>0.5*(Lecanemab!Y50+Lecanemab!Y51)</f>
        <v>0</v>
      </c>
      <c r="AA50" s="96">
        <f>0.5*(Lecanemab!Z50+Lecanemab!Z51)</f>
        <v>0</v>
      </c>
      <c r="AB50" s="96">
        <f>0.5*(Lecanemab!AA50+Lecanemab!AA51)</f>
        <v>0</v>
      </c>
      <c r="AC50" s="96">
        <f>0.5*(Lecanemab!AB50+Lecanemab!AB51)</f>
        <v>0</v>
      </c>
      <c r="AD50" s="96">
        <f>0.5*(Lecanemab!AC50+Lecanemab!AC51)</f>
        <v>0</v>
      </c>
      <c r="AE50" s="96">
        <f>0.5*(Lecanemab!AD50+Lecanemab!AD51)</f>
        <v>0</v>
      </c>
      <c r="AF50" s="96">
        <f>0.5*(Lecanemab!AE50+Lecanemab!AE51)</f>
        <v>0</v>
      </c>
      <c r="AH50" s="83">
        <f t="shared" si="5"/>
        <v>0</v>
      </c>
      <c r="AK50" s="19">
        <f t="shared" si="28"/>
        <v>0</v>
      </c>
      <c r="AL50" s="22">
        <f t="shared" si="24"/>
        <v>0</v>
      </c>
      <c r="AM50" s="22">
        <v>0</v>
      </c>
      <c r="AN50" s="22">
        <v>0</v>
      </c>
      <c r="AO50" s="22">
        <f t="shared" si="29"/>
        <v>0</v>
      </c>
      <c r="AP50" s="22">
        <f t="shared" si="25"/>
        <v>0</v>
      </c>
      <c r="AQ50" s="22">
        <v>0</v>
      </c>
      <c r="AR50" s="22">
        <v>0</v>
      </c>
      <c r="AS50" s="22">
        <f t="shared" si="26"/>
        <v>0</v>
      </c>
      <c r="AT50" s="22">
        <v>0</v>
      </c>
      <c r="AU50" s="22">
        <v>0</v>
      </c>
      <c r="AV50" s="22">
        <f t="shared" si="27"/>
        <v>0</v>
      </c>
      <c r="AW50" s="22">
        <v>0</v>
      </c>
      <c r="AX50" s="22">
        <v>0</v>
      </c>
      <c r="AY50" s="22">
        <v>0</v>
      </c>
      <c r="AZ50" s="22">
        <f t="shared" si="8"/>
        <v>0</v>
      </c>
      <c r="BD50" s="23">
        <f t="shared" si="30"/>
        <v>0</v>
      </c>
      <c r="BE50" s="23">
        <f t="shared" si="31"/>
        <v>0</v>
      </c>
      <c r="BF50" s="23">
        <f t="shared" si="32"/>
        <v>0</v>
      </c>
      <c r="BG50" s="23">
        <f t="shared" si="33"/>
        <v>0</v>
      </c>
      <c r="BH50" s="23">
        <f t="shared" si="13"/>
        <v>0</v>
      </c>
    </row>
    <row r="51" spans="2:60" ht="11.1" customHeight="1" x14ac:dyDescent="0.3">
      <c r="B51" s="19">
        <v>43</v>
      </c>
      <c r="C51" s="19">
        <f t="shared" si="19"/>
        <v>114</v>
      </c>
      <c r="F51" s="20">
        <f t="shared" si="20"/>
        <v>1</v>
      </c>
      <c r="G51" s="20">
        <f t="shared" si="21"/>
        <v>1</v>
      </c>
      <c r="H51" s="20">
        <f t="shared" si="22"/>
        <v>1</v>
      </c>
      <c r="I51" s="20">
        <f t="shared" si="23"/>
        <v>1</v>
      </c>
      <c r="M51" s="96">
        <f>0.5*(Lecanemab!L51+Lecanemab!L52)</f>
        <v>0</v>
      </c>
      <c r="N51" s="96">
        <f>0.5*(Lecanemab!M51+Lecanemab!M52)</f>
        <v>0</v>
      </c>
      <c r="O51" s="96">
        <f>0.5*(Lecanemab!N51+Lecanemab!N52)</f>
        <v>0</v>
      </c>
      <c r="P51" s="96">
        <f>0.5*(Lecanemab!O51+Lecanemab!O52)</f>
        <v>0</v>
      </c>
      <c r="Q51" s="96">
        <f>0.5*(Lecanemab!P51+Lecanemab!P52)</f>
        <v>0</v>
      </c>
      <c r="R51" s="96">
        <f>0.5*(Lecanemab!Q51+Lecanemab!Q52)</f>
        <v>0</v>
      </c>
      <c r="S51" s="96">
        <f>0.5*(Lecanemab!R51+Lecanemab!R52)</f>
        <v>0</v>
      </c>
      <c r="T51" s="96">
        <f>0.5*(Lecanemab!S51+Lecanemab!S52)</f>
        <v>0</v>
      </c>
      <c r="U51" s="96">
        <f>0.5*(Lecanemab!T51+Lecanemab!T52)</f>
        <v>0</v>
      </c>
      <c r="V51" s="96">
        <f>0.5*(Lecanemab!U51+Lecanemab!U52)</f>
        <v>0</v>
      </c>
      <c r="W51" s="96">
        <f>0.5*(Lecanemab!V51+Lecanemab!V52)</f>
        <v>0</v>
      </c>
      <c r="X51" s="96">
        <f>0.5*(Lecanemab!W51+Lecanemab!W52)</f>
        <v>0</v>
      </c>
      <c r="Y51" s="96">
        <f>0.5*(Lecanemab!X51+Lecanemab!X52)</f>
        <v>0</v>
      </c>
      <c r="Z51" s="96">
        <f>0.5*(Lecanemab!Y51+Lecanemab!Y52)</f>
        <v>0</v>
      </c>
      <c r="AA51" s="96">
        <f>0.5*(Lecanemab!Z51+Lecanemab!Z52)</f>
        <v>0</v>
      </c>
      <c r="AB51" s="96">
        <f>0.5*(Lecanemab!AA51+Lecanemab!AA52)</f>
        <v>0</v>
      </c>
      <c r="AC51" s="96">
        <f>0.5*(Lecanemab!AB51+Lecanemab!AB52)</f>
        <v>0</v>
      </c>
      <c r="AD51" s="96">
        <f>0.5*(Lecanemab!AC51+Lecanemab!AC52)</f>
        <v>0</v>
      </c>
      <c r="AE51" s="96">
        <f>0.5*(Lecanemab!AD51+Lecanemab!AD52)</f>
        <v>0</v>
      </c>
      <c r="AF51" s="96">
        <f>0.5*(Lecanemab!AE51+Lecanemab!AE52)</f>
        <v>0</v>
      </c>
      <c r="AH51" s="83">
        <f t="shared" si="5"/>
        <v>0</v>
      </c>
      <c r="AK51" s="19">
        <f t="shared" si="28"/>
        <v>0</v>
      </c>
      <c r="AL51" s="22">
        <f t="shared" si="24"/>
        <v>0</v>
      </c>
      <c r="AM51" s="22">
        <v>0</v>
      </c>
      <c r="AN51" s="22">
        <v>0</v>
      </c>
      <c r="AO51" s="22">
        <f t="shared" si="29"/>
        <v>0</v>
      </c>
      <c r="AP51" s="22">
        <f t="shared" si="25"/>
        <v>0</v>
      </c>
      <c r="AQ51" s="22">
        <v>0</v>
      </c>
      <c r="AR51" s="22">
        <v>0</v>
      </c>
      <c r="AS51" s="22">
        <f t="shared" si="26"/>
        <v>0</v>
      </c>
      <c r="AT51" s="22">
        <v>0</v>
      </c>
      <c r="AU51" s="22">
        <v>0</v>
      </c>
      <c r="AV51" s="22">
        <f t="shared" si="27"/>
        <v>0</v>
      </c>
      <c r="AW51" s="22">
        <v>0</v>
      </c>
      <c r="AX51" s="22">
        <v>0</v>
      </c>
      <c r="AY51" s="22">
        <v>0</v>
      </c>
      <c r="AZ51" s="22">
        <f t="shared" si="8"/>
        <v>0</v>
      </c>
      <c r="BD51" s="23">
        <f t="shared" si="30"/>
        <v>0</v>
      </c>
      <c r="BE51" s="23">
        <f t="shared" si="31"/>
        <v>0</v>
      </c>
      <c r="BF51" s="23">
        <f t="shared" si="32"/>
        <v>0</v>
      </c>
      <c r="BG51" s="23">
        <f t="shared" si="33"/>
        <v>0</v>
      </c>
      <c r="BH51" s="23">
        <f t="shared" si="13"/>
        <v>0</v>
      </c>
    </row>
    <row r="52" spans="2:60" ht="11.1" customHeight="1" x14ac:dyDescent="0.3">
      <c r="B52" s="19">
        <v>44</v>
      </c>
      <c r="C52" s="19">
        <f t="shared" si="19"/>
        <v>115</v>
      </c>
      <c r="F52" s="20">
        <f t="shared" si="20"/>
        <v>1</v>
      </c>
      <c r="G52" s="20">
        <f t="shared" si="21"/>
        <v>1</v>
      </c>
      <c r="H52" s="20">
        <f t="shared" si="22"/>
        <v>1</v>
      </c>
      <c r="I52" s="20">
        <f t="shared" si="23"/>
        <v>1</v>
      </c>
      <c r="M52" s="96">
        <f>0.5*(Lecanemab!L52+Lecanemab!L53)</f>
        <v>0</v>
      </c>
      <c r="N52" s="96">
        <f>0.5*(Lecanemab!M52+Lecanemab!M53)</f>
        <v>0</v>
      </c>
      <c r="O52" s="96">
        <f>0.5*(Lecanemab!N52+Lecanemab!N53)</f>
        <v>0</v>
      </c>
      <c r="P52" s="96">
        <f>0.5*(Lecanemab!O52+Lecanemab!O53)</f>
        <v>0</v>
      </c>
      <c r="Q52" s="96">
        <f>0.5*(Lecanemab!P52+Lecanemab!P53)</f>
        <v>0</v>
      </c>
      <c r="R52" s="96">
        <f>0.5*(Lecanemab!Q52+Lecanemab!Q53)</f>
        <v>0</v>
      </c>
      <c r="S52" s="96">
        <f>0.5*(Lecanemab!R52+Lecanemab!R53)</f>
        <v>0</v>
      </c>
      <c r="T52" s="96">
        <f>0.5*(Lecanemab!S52+Lecanemab!S53)</f>
        <v>0</v>
      </c>
      <c r="U52" s="96">
        <f>0.5*(Lecanemab!T52+Lecanemab!T53)</f>
        <v>0</v>
      </c>
      <c r="V52" s="96">
        <f>0.5*(Lecanemab!U52+Lecanemab!U53)</f>
        <v>0</v>
      </c>
      <c r="W52" s="96">
        <f>0.5*(Lecanemab!V52+Lecanemab!V53)</f>
        <v>0</v>
      </c>
      <c r="X52" s="96">
        <f>0.5*(Lecanemab!W52+Lecanemab!W53)</f>
        <v>0</v>
      </c>
      <c r="Y52" s="96">
        <f>0.5*(Lecanemab!X52+Lecanemab!X53)</f>
        <v>0</v>
      </c>
      <c r="Z52" s="96">
        <f>0.5*(Lecanemab!Y52+Lecanemab!Y53)</f>
        <v>0</v>
      </c>
      <c r="AA52" s="96">
        <f>0.5*(Lecanemab!Z52+Lecanemab!Z53)</f>
        <v>0</v>
      </c>
      <c r="AB52" s="96">
        <f>0.5*(Lecanemab!AA52+Lecanemab!AA53)</f>
        <v>0</v>
      </c>
      <c r="AC52" s="96">
        <f>0.5*(Lecanemab!AB52+Lecanemab!AB53)</f>
        <v>0</v>
      </c>
      <c r="AD52" s="96">
        <f>0.5*(Lecanemab!AC52+Lecanemab!AC53)</f>
        <v>0</v>
      </c>
      <c r="AE52" s="96">
        <f>0.5*(Lecanemab!AD52+Lecanemab!AD53)</f>
        <v>0</v>
      </c>
      <c r="AF52" s="96">
        <f>0.5*(Lecanemab!AE52+Lecanemab!AE53)</f>
        <v>0</v>
      </c>
      <c r="AH52" s="83">
        <f t="shared" si="5"/>
        <v>0</v>
      </c>
      <c r="AK52" s="19">
        <f t="shared" si="28"/>
        <v>0</v>
      </c>
      <c r="AL52" s="22">
        <f t="shared" si="24"/>
        <v>0</v>
      </c>
      <c r="AM52" s="22">
        <v>0</v>
      </c>
      <c r="AN52" s="22">
        <v>0</v>
      </c>
      <c r="AO52" s="22">
        <f t="shared" si="29"/>
        <v>0</v>
      </c>
      <c r="AP52" s="22">
        <f t="shared" si="25"/>
        <v>0</v>
      </c>
      <c r="AQ52" s="22">
        <v>0</v>
      </c>
      <c r="AR52" s="22">
        <v>0</v>
      </c>
      <c r="AS52" s="22">
        <f t="shared" si="26"/>
        <v>0</v>
      </c>
      <c r="AT52" s="22">
        <v>0</v>
      </c>
      <c r="AU52" s="22">
        <v>0</v>
      </c>
      <c r="AV52" s="22">
        <f t="shared" si="27"/>
        <v>0</v>
      </c>
      <c r="AW52" s="22">
        <v>0</v>
      </c>
      <c r="AX52" s="22">
        <v>0</v>
      </c>
      <c r="AY52" s="22">
        <v>0</v>
      </c>
      <c r="AZ52" s="22">
        <f t="shared" si="8"/>
        <v>0</v>
      </c>
      <c r="BD52" s="23">
        <f t="shared" si="30"/>
        <v>0</v>
      </c>
      <c r="BE52" s="23">
        <f t="shared" si="31"/>
        <v>0</v>
      </c>
      <c r="BF52" s="23">
        <f t="shared" si="32"/>
        <v>0</v>
      </c>
      <c r="BG52" s="23">
        <f t="shared" si="33"/>
        <v>0</v>
      </c>
      <c r="BH52" s="23">
        <f t="shared" si="13"/>
        <v>0</v>
      </c>
    </row>
    <row r="53" spans="2:60" ht="11.1" customHeight="1" x14ac:dyDescent="0.3">
      <c r="B53" s="19">
        <v>45</v>
      </c>
      <c r="C53" s="19">
        <f t="shared" si="19"/>
        <v>116</v>
      </c>
      <c r="F53" s="20">
        <f t="shared" si="20"/>
        <v>1</v>
      </c>
      <c r="G53" s="20">
        <f t="shared" si="21"/>
        <v>1</v>
      </c>
      <c r="H53" s="20">
        <f t="shared" si="22"/>
        <v>1</v>
      </c>
      <c r="I53" s="20">
        <f t="shared" si="23"/>
        <v>1</v>
      </c>
      <c r="M53" s="96">
        <f>0.5*(Lecanemab!L53+Lecanemab!L54)</f>
        <v>0</v>
      </c>
      <c r="N53" s="96">
        <f>0.5*(Lecanemab!M53+Lecanemab!M54)</f>
        <v>0</v>
      </c>
      <c r="O53" s="96">
        <f>0.5*(Lecanemab!N53+Lecanemab!N54)</f>
        <v>0</v>
      </c>
      <c r="P53" s="96">
        <f>0.5*(Lecanemab!O53+Lecanemab!O54)</f>
        <v>0</v>
      </c>
      <c r="Q53" s="96">
        <f>0.5*(Lecanemab!P53+Lecanemab!P54)</f>
        <v>0</v>
      </c>
      <c r="R53" s="96">
        <f>0.5*(Lecanemab!Q53+Lecanemab!Q54)</f>
        <v>0</v>
      </c>
      <c r="S53" s="96">
        <f>0.5*(Lecanemab!R53+Lecanemab!R54)</f>
        <v>0</v>
      </c>
      <c r="T53" s="96">
        <f>0.5*(Lecanemab!S53+Lecanemab!S54)</f>
        <v>0</v>
      </c>
      <c r="U53" s="96">
        <f>0.5*(Lecanemab!T53+Lecanemab!T54)</f>
        <v>0</v>
      </c>
      <c r="V53" s="96">
        <f>0.5*(Lecanemab!U53+Lecanemab!U54)</f>
        <v>0</v>
      </c>
      <c r="W53" s="96">
        <f>0.5*(Lecanemab!V53+Lecanemab!V54)</f>
        <v>0</v>
      </c>
      <c r="X53" s="96">
        <f>0.5*(Lecanemab!W53+Lecanemab!W54)</f>
        <v>0</v>
      </c>
      <c r="Y53" s="96">
        <f>0.5*(Lecanemab!X53+Lecanemab!X54)</f>
        <v>0</v>
      </c>
      <c r="Z53" s="96">
        <f>0.5*(Lecanemab!Y53+Lecanemab!Y54)</f>
        <v>0</v>
      </c>
      <c r="AA53" s="96">
        <f>0.5*(Lecanemab!Z53+Lecanemab!Z54)</f>
        <v>0</v>
      </c>
      <c r="AB53" s="96">
        <f>0.5*(Lecanemab!AA53+Lecanemab!AA54)</f>
        <v>0</v>
      </c>
      <c r="AC53" s="96">
        <f>0.5*(Lecanemab!AB53+Lecanemab!AB54)</f>
        <v>0</v>
      </c>
      <c r="AD53" s="96">
        <f>0.5*(Lecanemab!AC53+Lecanemab!AC54)</f>
        <v>0</v>
      </c>
      <c r="AE53" s="96">
        <f>0.5*(Lecanemab!AD53+Lecanemab!AD54)</f>
        <v>0</v>
      </c>
      <c r="AF53" s="96">
        <f>0.5*(Lecanemab!AE53+Lecanemab!AE54)</f>
        <v>0</v>
      </c>
      <c r="AH53" s="83">
        <f t="shared" si="5"/>
        <v>0</v>
      </c>
      <c r="AK53" s="19">
        <f t="shared" si="28"/>
        <v>0</v>
      </c>
      <c r="AL53" s="22">
        <f t="shared" si="24"/>
        <v>0</v>
      </c>
      <c r="AM53" s="22">
        <v>0</v>
      </c>
      <c r="AN53" s="22">
        <v>0</v>
      </c>
      <c r="AO53" s="22">
        <f t="shared" si="29"/>
        <v>0</v>
      </c>
      <c r="AP53" s="22">
        <f t="shared" si="25"/>
        <v>0</v>
      </c>
      <c r="AQ53" s="22">
        <v>0</v>
      </c>
      <c r="AR53" s="22">
        <v>0</v>
      </c>
      <c r="AS53" s="22">
        <f t="shared" si="26"/>
        <v>0</v>
      </c>
      <c r="AT53" s="22">
        <v>0</v>
      </c>
      <c r="AU53" s="22">
        <v>0</v>
      </c>
      <c r="AV53" s="22">
        <f t="shared" si="27"/>
        <v>0</v>
      </c>
      <c r="AW53" s="22">
        <v>0</v>
      </c>
      <c r="AX53" s="22">
        <v>0</v>
      </c>
      <c r="AY53" s="22">
        <v>0</v>
      </c>
      <c r="AZ53" s="22">
        <f t="shared" si="8"/>
        <v>0</v>
      </c>
      <c r="BD53" s="23">
        <f t="shared" si="30"/>
        <v>0</v>
      </c>
      <c r="BE53" s="23">
        <f t="shared" si="31"/>
        <v>0</v>
      </c>
      <c r="BF53" s="23">
        <f t="shared" si="32"/>
        <v>0</v>
      </c>
      <c r="BG53" s="23">
        <f t="shared" si="33"/>
        <v>0</v>
      </c>
      <c r="BH53" s="23">
        <f t="shared" si="13"/>
        <v>0</v>
      </c>
    </row>
    <row r="54" spans="2:60" ht="11.1" customHeight="1" x14ac:dyDescent="0.3">
      <c r="B54" s="19">
        <v>46</v>
      </c>
      <c r="C54" s="19">
        <f t="shared" si="19"/>
        <v>117</v>
      </c>
      <c r="F54" s="20">
        <f t="shared" si="20"/>
        <v>1</v>
      </c>
      <c r="G54" s="20">
        <f t="shared" si="21"/>
        <v>1</v>
      </c>
      <c r="H54" s="20">
        <f t="shared" si="22"/>
        <v>1</v>
      </c>
      <c r="I54" s="20">
        <f t="shared" si="23"/>
        <v>1</v>
      </c>
      <c r="M54" s="96">
        <f>0.5*(Lecanemab!L54+Lecanemab!L55)</f>
        <v>0</v>
      </c>
      <c r="N54" s="96">
        <f>0.5*(Lecanemab!M54+Lecanemab!M55)</f>
        <v>0</v>
      </c>
      <c r="O54" s="96">
        <f>0.5*(Lecanemab!N54+Lecanemab!N55)</f>
        <v>0</v>
      </c>
      <c r="P54" s="96">
        <f>0.5*(Lecanemab!O54+Lecanemab!O55)</f>
        <v>0</v>
      </c>
      <c r="Q54" s="96">
        <f>0.5*(Lecanemab!P54+Lecanemab!P55)</f>
        <v>0</v>
      </c>
      <c r="R54" s="96">
        <f>0.5*(Lecanemab!Q54+Lecanemab!Q55)</f>
        <v>0</v>
      </c>
      <c r="S54" s="96">
        <f>0.5*(Lecanemab!R54+Lecanemab!R55)</f>
        <v>0</v>
      </c>
      <c r="T54" s="96">
        <f>0.5*(Lecanemab!S54+Lecanemab!S55)</f>
        <v>0</v>
      </c>
      <c r="U54" s="96">
        <f>0.5*(Lecanemab!T54+Lecanemab!T55)</f>
        <v>0</v>
      </c>
      <c r="V54" s="96">
        <f>0.5*(Lecanemab!U54+Lecanemab!U55)</f>
        <v>0</v>
      </c>
      <c r="W54" s="96">
        <f>0.5*(Lecanemab!V54+Lecanemab!V55)</f>
        <v>0</v>
      </c>
      <c r="X54" s="96">
        <f>0.5*(Lecanemab!W54+Lecanemab!W55)</f>
        <v>0</v>
      </c>
      <c r="Y54" s="96">
        <f>0.5*(Lecanemab!X54+Lecanemab!X55)</f>
        <v>0</v>
      </c>
      <c r="Z54" s="96">
        <f>0.5*(Lecanemab!Y54+Lecanemab!Y55)</f>
        <v>0</v>
      </c>
      <c r="AA54" s="96">
        <f>0.5*(Lecanemab!Z54+Lecanemab!Z55)</f>
        <v>0</v>
      </c>
      <c r="AB54" s="96">
        <f>0.5*(Lecanemab!AA54+Lecanemab!AA55)</f>
        <v>0</v>
      </c>
      <c r="AC54" s="96">
        <f>0.5*(Lecanemab!AB54+Lecanemab!AB55)</f>
        <v>0</v>
      </c>
      <c r="AD54" s="96">
        <f>0.5*(Lecanemab!AC54+Lecanemab!AC55)</f>
        <v>0</v>
      </c>
      <c r="AE54" s="96">
        <f>0.5*(Lecanemab!AD54+Lecanemab!AD55)</f>
        <v>0</v>
      </c>
      <c r="AF54" s="96">
        <f>0.5*(Lecanemab!AE54+Lecanemab!AE55)</f>
        <v>0</v>
      </c>
      <c r="AH54" s="83">
        <f t="shared" si="5"/>
        <v>0</v>
      </c>
      <c r="AK54" s="19">
        <f t="shared" si="28"/>
        <v>0</v>
      </c>
      <c r="AL54" s="22">
        <f t="shared" si="24"/>
        <v>0</v>
      </c>
      <c r="AM54" s="22">
        <v>0</v>
      </c>
      <c r="AN54" s="22">
        <v>0</v>
      </c>
      <c r="AO54" s="22">
        <f t="shared" si="29"/>
        <v>0</v>
      </c>
      <c r="AP54" s="22">
        <f t="shared" si="25"/>
        <v>0</v>
      </c>
      <c r="AQ54" s="22">
        <v>0</v>
      </c>
      <c r="AR54" s="22">
        <v>0</v>
      </c>
      <c r="AS54" s="22">
        <f t="shared" si="26"/>
        <v>0</v>
      </c>
      <c r="AT54" s="22">
        <v>0</v>
      </c>
      <c r="AU54" s="22">
        <v>0</v>
      </c>
      <c r="AV54" s="22">
        <f t="shared" si="27"/>
        <v>0</v>
      </c>
      <c r="AW54" s="22">
        <v>0</v>
      </c>
      <c r="AX54" s="22">
        <v>0</v>
      </c>
      <c r="AY54" s="22">
        <v>0</v>
      </c>
      <c r="AZ54" s="22">
        <f t="shared" si="8"/>
        <v>0</v>
      </c>
      <c r="BD54" s="23">
        <f t="shared" si="30"/>
        <v>0</v>
      </c>
      <c r="BE54" s="23">
        <f t="shared" si="31"/>
        <v>0</v>
      </c>
      <c r="BF54" s="23">
        <f t="shared" si="32"/>
        <v>0</v>
      </c>
      <c r="BG54" s="23">
        <f t="shared" si="33"/>
        <v>0</v>
      </c>
      <c r="BH54" s="23">
        <f t="shared" si="13"/>
        <v>0</v>
      </c>
    </row>
    <row r="55" spans="2:60" ht="11.1" customHeight="1" x14ac:dyDescent="0.3">
      <c r="B55" s="19">
        <v>47</v>
      </c>
      <c r="C55" s="19">
        <f t="shared" si="19"/>
        <v>118</v>
      </c>
      <c r="F55" s="20">
        <f t="shared" si="20"/>
        <v>1</v>
      </c>
      <c r="G55" s="20">
        <f t="shared" si="21"/>
        <v>1</v>
      </c>
      <c r="H55" s="20">
        <f t="shared" si="22"/>
        <v>1</v>
      </c>
      <c r="I55" s="20">
        <f t="shared" si="23"/>
        <v>1</v>
      </c>
      <c r="M55" s="96">
        <f>0.5*(Lecanemab!L55+Lecanemab!L56)</f>
        <v>0</v>
      </c>
      <c r="N55" s="96">
        <f>0.5*(Lecanemab!M55+Lecanemab!M56)</f>
        <v>0</v>
      </c>
      <c r="O55" s="96">
        <f>0.5*(Lecanemab!N55+Lecanemab!N56)</f>
        <v>0</v>
      </c>
      <c r="P55" s="96">
        <f>0.5*(Lecanemab!O55+Lecanemab!O56)</f>
        <v>0</v>
      </c>
      <c r="Q55" s="96">
        <f>0.5*(Lecanemab!P55+Lecanemab!P56)</f>
        <v>0</v>
      </c>
      <c r="R55" s="96">
        <f>0.5*(Lecanemab!Q55+Lecanemab!Q56)</f>
        <v>0</v>
      </c>
      <c r="S55" s="96">
        <f>0.5*(Lecanemab!R55+Lecanemab!R56)</f>
        <v>0</v>
      </c>
      <c r="T55" s="96">
        <f>0.5*(Lecanemab!S55+Lecanemab!S56)</f>
        <v>0</v>
      </c>
      <c r="U55" s="96">
        <f>0.5*(Lecanemab!T55+Lecanemab!T56)</f>
        <v>0</v>
      </c>
      <c r="V55" s="96">
        <f>0.5*(Lecanemab!U55+Lecanemab!U56)</f>
        <v>0</v>
      </c>
      <c r="W55" s="96">
        <f>0.5*(Lecanemab!V55+Lecanemab!V56)</f>
        <v>0</v>
      </c>
      <c r="X55" s="96">
        <f>0.5*(Lecanemab!W55+Lecanemab!W56)</f>
        <v>0</v>
      </c>
      <c r="Y55" s="96">
        <f>0.5*(Lecanemab!X55+Lecanemab!X56)</f>
        <v>0</v>
      </c>
      <c r="Z55" s="96">
        <f>0.5*(Lecanemab!Y55+Lecanemab!Y56)</f>
        <v>0</v>
      </c>
      <c r="AA55" s="96">
        <f>0.5*(Lecanemab!Z55+Lecanemab!Z56)</f>
        <v>0</v>
      </c>
      <c r="AB55" s="96">
        <f>0.5*(Lecanemab!AA55+Lecanemab!AA56)</f>
        <v>0</v>
      </c>
      <c r="AC55" s="96">
        <f>0.5*(Lecanemab!AB55+Lecanemab!AB56)</f>
        <v>0</v>
      </c>
      <c r="AD55" s="96">
        <f>0.5*(Lecanemab!AC55+Lecanemab!AC56)</f>
        <v>0</v>
      </c>
      <c r="AE55" s="96">
        <f>0.5*(Lecanemab!AD55+Lecanemab!AD56)</f>
        <v>0</v>
      </c>
      <c r="AF55" s="96">
        <f>0.5*(Lecanemab!AE55+Lecanemab!AE56)</f>
        <v>0</v>
      </c>
      <c r="AH55" s="83">
        <f t="shared" si="5"/>
        <v>0</v>
      </c>
      <c r="AK55" s="19">
        <f t="shared" si="28"/>
        <v>0</v>
      </c>
      <c r="AL55" s="22">
        <f t="shared" si="24"/>
        <v>0</v>
      </c>
      <c r="AM55" s="22">
        <v>0</v>
      </c>
      <c r="AN55" s="22">
        <v>0</v>
      </c>
      <c r="AO55" s="22">
        <f t="shared" si="29"/>
        <v>0</v>
      </c>
      <c r="AP55" s="22">
        <f t="shared" si="25"/>
        <v>0</v>
      </c>
      <c r="AQ55" s="22">
        <v>0</v>
      </c>
      <c r="AR55" s="22">
        <v>0</v>
      </c>
      <c r="AS55" s="22">
        <f t="shared" si="26"/>
        <v>0</v>
      </c>
      <c r="AT55" s="22">
        <v>0</v>
      </c>
      <c r="AU55" s="22">
        <v>0</v>
      </c>
      <c r="AV55" s="22">
        <f t="shared" si="27"/>
        <v>0</v>
      </c>
      <c r="AW55" s="22">
        <v>0</v>
      </c>
      <c r="AX55" s="22">
        <v>0</v>
      </c>
      <c r="AY55" s="22">
        <v>0</v>
      </c>
      <c r="AZ55" s="22">
        <f t="shared" si="8"/>
        <v>0</v>
      </c>
      <c r="BD55" s="23">
        <f t="shared" si="30"/>
        <v>0</v>
      </c>
      <c r="BE55" s="23">
        <f t="shared" si="31"/>
        <v>0</v>
      </c>
      <c r="BF55" s="23">
        <f t="shared" si="32"/>
        <v>0</v>
      </c>
      <c r="BG55" s="23">
        <f t="shared" si="33"/>
        <v>0</v>
      </c>
      <c r="BH55" s="23">
        <f t="shared" si="13"/>
        <v>0</v>
      </c>
    </row>
    <row r="56" spans="2:60" ht="11.1" customHeight="1" x14ac:dyDescent="0.3">
      <c r="B56" s="19">
        <v>48</v>
      </c>
      <c r="C56" s="19">
        <f t="shared" si="19"/>
        <v>119</v>
      </c>
      <c r="F56" s="20">
        <f t="shared" si="20"/>
        <v>1</v>
      </c>
      <c r="G56" s="20">
        <f t="shared" si="21"/>
        <v>1</v>
      </c>
      <c r="H56" s="20">
        <f t="shared" si="22"/>
        <v>1</v>
      </c>
      <c r="I56" s="20">
        <f t="shared" si="23"/>
        <v>1</v>
      </c>
      <c r="M56" s="96">
        <f>0.5*(Lecanemab!L56+Lecanemab!L57)</f>
        <v>0</v>
      </c>
      <c r="N56" s="96">
        <f>0.5*(Lecanemab!M56+Lecanemab!M57)</f>
        <v>0</v>
      </c>
      <c r="O56" s="96">
        <f>0.5*(Lecanemab!N56+Lecanemab!N57)</f>
        <v>0</v>
      </c>
      <c r="P56" s="96">
        <f>0.5*(Lecanemab!O56+Lecanemab!O57)</f>
        <v>0</v>
      </c>
      <c r="Q56" s="96">
        <f>0.5*(Lecanemab!P56+Lecanemab!P57)</f>
        <v>0</v>
      </c>
      <c r="R56" s="96">
        <f>0.5*(Lecanemab!Q56+Lecanemab!Q57)</f>
        <v>0</v>
      </c>
      <c r="S56" s="96">
        <f>0.5*(Lecanemab!R56+Lecanemab!R57)</f>
        <v>0</v>
      </c>
      <c r="T56" s="96">
        <f>0.5*(Lecanemab!S56+Lecanemab!S57)</f>
        <v>0</v>
      </c>
      <c r="U56" s="96">
        <f>0.5*(Lecanemab!T56+Lecanemab!T57)</f>
        <v>0</v>
      </c>
      <c r="V56" s="96">
        <f>0.5*(Lecanemab!U56+Lecanemab!U57)</f>
        <v>0</v>
      </c>
      <c r="W56" s="96">
        <f>0.5*(Lecanemab!V56+Lecanemab!V57)</f>
        <v>0</v>
      </c>
      <c r="X56" s="96">
        <f>0.5*(Lecanemab!W56+Lecanemab!W57)</f>
        <v>0</v>
      </c>
      <c r="Y56" s="96">
        <f>0.5*(Lecanemab!X56+Lecanemab!X57)</f>
        <v>0</v>
      </c>
      <c r="Z56" s="96">
        <f>0.5*(Lecanemab!Y56+Lecanemab!Y57)</f>
        <v>0</v>
      </c>
      <c r="AA56" s="96">
        <f>0.5*(Lecanemab!Z56+Lecanemab!Z57)</f>
        <v>0</v>
      </c>
      <c r="AB56" s="96">
        <f>0.5*(Lecanemab!AA56+Lecanemab!AA57)</f>
        <v>0</v>
      </c>
      <c r="AC56" s="96">
        <f>0.5*(Lecanemab!AB56+Lecanemab!AB57)</f>
        <v>0</v>
      </c>
      <c r="AD56" s="96">
        <f>0.5*(Lecanemab!AC56+Lecanemab!AC57)</f>
        <v>0</v>
      </c>
      <c r="AE56" s="96">
        <f>0.5*(Lecanemab!AD56+Lecanemab!AD57)</f>
        <v>0</v>
      </c>
      <c r="AF56" s="96">
        <f>0.5*(Lecanemab!AE56+Lecanemab!AE57)</f>
        <v>0</v>
      </c>
      <c r="AH56" s="83">
        <f t="shared" si="5"/>
        <v>0</v>
      </c>
      <c r="AK56" s="19">
        <f t="shared" si="28"/>
        <v>0</v>
      </c>
      <c r="AL56" s="22">
        <f t="shared" si="24"/>
        <v>0</v>
      </c>
      <c r="AM56" s="22">
        <v>0</v>
      </c>
      <c r="AN56" s="22">
        <v>0</v>
      </c>
      <c r="AO56" s="22">
        <f t="shared" si="29"/>
        <v>0</v>
      </c>
      <c r="AP56" s="22">
        <f t="shared" si="25"/>
        <v>0</v>
      </c>
      <c r="AQ56" s="22">
        <v>0</v>
      </c>
      <c r="AR56" s="22">
        <v>0</v>
      </c>
      <c r="AS56" s="22">
        <f t="shared" si="26"/>
        <v>0</v>
      </c>
      <c r="AT56" s="22">
        <v>0</v>
      </c>
      <c r="AU56" s="22">
        <v>0</v>
      </c>
      <c r="AV56" s="22">
        <f t="shared" si="27"/>
        <v>0</v>
      </c>
      <c r="AW56" s="22">
        <v>0</v>
      </c>
      <c r="AX56" s="22">
        <v>0</v>
      </c>
      <c r="AY56" s="22">
        <v>0</v>
      </c>
      <c r="AZ56" s="22">
        <f t="shared" si="8"/>
        <v>0</v>
      </c>
      <c r="BD56" s="23">
        <f t="shared" si="30"/>
        <v>0</v>
      </c>
      <c r="BE56" s="23">
        <f t="shared" si="31"/>
        <v>0</v>
      </c>
      <c r="BF56" s="23">
        <f t="shared" si="32"/>
        <v>0</v>
      </c>
      <c r="BG56" s="23">
        <f t="shared" si="33"/>
        <v>0</v>
      </c>
      <c r="BH56" s="23">
        <f t="shared" si="13"/>
        <v>0</v>
      </c>
    </row>
    <row r="57" spans="2:60" ht="11.1" customHeight="1" x14ac:dyDescent="0.3">
      <c r="B57" s="19">
        <v>49</v>
      </c>
      <c r="C57" s="19">
        <f t="shared" si="19"/>
        <v>120</v>
      </c>
      <c r="F57" s="20">
        <f t="shared" si="20"/>
        <v>1</v>
      </c>
      <c r="G57" s="20">
        <f t="shared" si="21"/>
        <v>1</v>
      </c>
      <c r="H57" s="20">
        <f t="shared" si="22"/>
        <v>1</v>
      </c>
      <c r="I57" s="20">
        <f t="shared" si="23"/>
        <v>1</v>
      </c>
      <c r="M57" s="96">
        <f>0.5*(Lecanemab!L57+Lecanemab!L58)</f>
        <v>0</v>
      </c>
      <c r="N57" s="96">
        <f>0.5*(Lecanemab!M57+Lecanemab!M58)</f>
        <v>0</v>
      </c>
      <c r="O57" s="96">
        <f>0.5*(Lecanemab!N57+Lecanemab!N58)</f>
        <v>0</v>
      </c>
      <c r="P57" s="96">
        <f>0.5*(Lecanemab!O57+Lecanemab!O58)</f>
        <v>0</v>
      </c>
      <c r="Q57" s="96">
        <f>0.5*(Lecanemab!P57+Lecanemab!P58)</f>
        <v>0</v>
      </c>
      <c r="R57" s="96">
        <f>0.5*(Lecanemab!Q57+Lecanemab!Q58)</f>
        <v>0</v>
      </c>
      <c r="S57" s="96">
        <f>0.5*(Lecanemab!R57+Lecanemab!R58)</f>
        <v>0</v>
      </c>
      <c r="T57" s="96">
        <f>0.5*(Lecanemab!S57+Lecanemab!S58)</f>
        <v>0</v>
      </c>
      <c r="U57" s="96">
        <f>0.5*(Lecanemab!T57+Lecanemab!T58)</f>
        <v>0</v>
      </c>
      <c r="V57" s="96">
        <f>0.5*(Lecanemab!U57+Lecanemab!U58)</f>
        <v>0</v>
      </c>
      <c r="W57" s="96">
        <f>0.5*(Lecanemab!V57+Lecanemab!V58)</f>
        <v>0</v>
      </c>
      <c r="X57" s="96">
        <f>0.5*(Lecanemab!W57+Lecanemab!W58)</f>
        <v>0</v>
      </c>
      <c r="Y57" s="96">
        <f>0.5*(Lecanemab!X57+Lecanemab!X58)</f>
        <v>0</v>
      </c>
      <c r="Z57" s="96">
        <f>0.5*(Lecanemab!Y57+Lecanemab!Y58)</f>
        <v>0</v>
      </c>
      <c r="AA57" s="96">
        <f>0.5*(Lecanemab!Z57+Lecanemab!Z58)</f>
        <v>0</v>
      </c>
      <c r="AB57" s="96">
        <f>0.5*(Lecanemab!AA57+Lecanemab!AA58)</f>
        <v>0</v>
      </c>
      <c r="AC57" s="96">
        <f>0.5*(Lecanemab!AB57+Lecanemab!AB58)</f>
        <v>0</v>
      </c>
      <c r="AD57" s="96">
        <f>0.5*(Lecanemab!AC57+Lecanemab!AC58)</f>
        <v>0</v>
      </c>
      <c r="AE57" s="96">
        <f>0.5*(Lecanemab!AD57+Lecanemab!AD58)</f>
        <v>0</v>
      </c>
      <c r="AF57" s="96">
        <f>0.5*(Lecanemab!AE57+Lecanemab!AE58)</f>
        <v>0</v>
      </c>
      <c r="AH57" s="83">
        <f t="shared" si="5"/>
        <v>0</v>
      </c>
      <c r="AK57" s="19">
        <f t="shared" si="28"/>
        <v>0</v>
      </c>
      <c r="AL57" s="22">
        <f t="shared" si="24"/>
        <v>0</v>
      </c>
      <c r="AM57" s="22">
        <v>0</v>
      </c>
      <c r="AN57" s="22">
        <v>0</v>
      </c>
      <c r="AO57" s="22">
        <f t="shared" si="29"/>
        <v>0</v>
      </c>
      <c r="AP57" s="22">
        <f t="shared" si="25"/>
        <v>0</v>
      </c>
      <c r="AQ57" s="22">
        <v>0</v>
      </c>
      <c r="AR57" s="22">
        <v>0</v>
      </c>
      <c r="AS57" s="22">
        <f t="shared" si="26"/>
        <v>0</v>
      </c>
      <c r="AT57" s="22">
        <v>0</v>
      </c>
      <c r="AU57" s="22">
        <v>0</v>
      </c>
      <c r="AV57" s="22">
        <f t="shared" si="27"/>
        <v>0</v>
      </c>
      <c r="AW57" s="22">
        <v>0</v>
      </c>
      <c r="AX57" s="22">
        <v>0</v>
      </c>
      <c r="AY57" s="22">
        <v>0</v>
      </c>
      <c r="AZ57" s="22">
        <f t="shared" si="8"/>
        <v>0</v>
      </c>
      <c r="BD57" s="23">
        <f t="shared" si="30"/>
        <v>0</v>
      </c>
      <c r="BE57" s="23">
        <f t="shared" si="31"/>
        <v>0</v>
      </c>
      <c r="BF57" s="23">
        <f t="shared" si="32"/>
        <v>0</v>
      </c>
      <c r="BG57" s="23">
        <f t="shared" si="33"/>
        <v>0</v>
      </c>
      <c r="BH57" s="23">
        <f t="shared" si="13"/>
        <v>0</v>
      </c>
    </row>
    <row r="58" spans="2:60" ht="11.1" customHeight="1" x14ac:dyDescent="0.3">
      <c r="B58" s="19">
        <v>50</v>
      </c>
      <c r="C58" s="19">
        <f t="shared" si="19"/>
        <v>121</v>
      </c>
      <c r="F58" s="20">
        <f t="shared" si="20"/>
        <v>1</v>
      </c>
      <c r="G58" s="20">
        <f t="shared" si="21"/>
        <v>1</v>
      </c>
      <c r="H58" s="20">
        <f t="shared" si="22"/>
        <v>1</v>
      </c>
      <c r="I58" s="20">
        <f t="shared" si="23"/>
        <v>1</v>
      </c>
      <c r="M58" s="96">
        <f>0.5*(Lecanemab!L58+Lecanemab!L59)</f>
        <v>0</v>
      </c>
      <c r="N58" s="96">
        <f>0.5*(Lecanemab!M58+Lecanemab!M59)</f>
        <v>0</v>
      </c>
      <c r="O58" s="96">
        <f>0.5*(Lecanemab!N58+Lecanemab!N59)</f>
        <v>0</v>
      </c>
      <c r="P58" s="96">
        <f>0.5*(Lecanemab!O58+Lecanemab!O59)</f>
        <v>0</v>
      </c>
      <c r="Q58" s="96">
        <f>0.5*(Lecanemab!P58+Lecanemab!P59)</f>
        <v>0</v>
      </c>
      <c r="R58" s="96">
        <f>0.5*(Lecanemab!Q58+Lecanemab!Q59)</f>
        <v>0</v>
      </c>
      <c r="S58" s="96">
        <f>0.5*(Lecanemab!R58+Lecanemab!R59)</f>
        <v>0</v>
      </c>
      <c r="T58" s="96">
        <f>0.5*(Lecanemab!S58+Lecanemab!S59)</f>
        <v>0</v>
      </c>
      <c r="U58" s="96">
        <f>0.5*(Lecanemab!T58+Lecanemab!T59)</f>
        <v>0</v>
      </c>
      <c r="V58" s="96">
        <f>0.5*(Lecanemab!U58+Lecanemab!U59)</f>
        <v>0</v>
      </c>
      <c r="W58" s="96">
        <f>0.5*(Lecanemab!V58+Lecanemab!V59)</f>
        <v>0</v>
      </c>
      <c r="X58" s="96">
        <f>0.5*(Lecanemab!W58+Lecanemab!W59)</f>
        <v>0</v>
      </c>
      <c r="Y58" s="96">
        <f>0.5*(Lecanemab!X58+Lecanemab!X59)</f>
        <v>0</v>
      </c>
      <c r="Z58" s="96">
        <f>0.5*(Lecanemab!Y58+Lecanemab!Y59)</f>
        <v>0</v>
      </c>
      <c r="AA58" s="96">
        <f>0.5*(Lecanemab!Z58+Lecanemab!Z59)</f>
        <v>0</v>
      </c>
      <c r="AB58" s="96">
        <f>0.5*(Lecanemab!AA58+Lecanemab!AA59)</f>
        <v>0</v>
      </c>
      <c r="AC58" s="96">
        <f>0.5*(Lecanemab!AB58+Lecanemab!AB59)</f>
        <v>0</v>
      </c>
      <c r="AD58" s="96">
        <f>0.5*(Lecanemab!AC58+Lecanemab!AC59)</f>
        <v>0</v>
      </c>
      <c r="AE58" s="96">
        <f>0.5*(Lecanemab!AD58+Lecanemab!AD59)</f>
        <v>0</v>
      </c>
      <c r="AF58" s="96">
        <f>0.5*(Lecanemab!AE58+Lecanemab!AE59)</f>
        <v>0</v>
      </c>
      <c r="AH58" s="83">
        <f t="shared" si="5"/>
        <v>0</v>
      </c>
      <c r="AK58" s="19">
        <f t="shared" si="28"/>
        <v>0</v>
      </c>
      <c r="AL58" s="22">
        <f t="shared" si="24"/>
        <v>0</v>
      </c>
      <c r="AM58" s="22">
        <v>0</v>
      </c>
      <c r="AN58" s="22">
        <v>0</v>
      </c>
      <c r="AO58" s="22">
        <f t="shared" si="29"/>
        <v>0</v>
      </c>
      <c r="AP58" s="22">
        <f t="shared" si="25"/>
        <v>0</v>
      </c>
      <c r="AQ58" s="22">
        <v>0</v>
      </c>
      <c r="AR58" s="22">
        <v>0</v>
      </c>
      <c r="AS58" s="22">
        <f t="shared" si="26"/>
        <v>0</v>
      </c>
      <c r="AT58" s="22">
        <v>0</v>
      </c>
      <c r="AU58" s="22">
        <v>0</v>
      </c>
      <c r="AV58" s="22">
        <f t="shared" si="27"/>
        <v>0</v>
      </c>
      <c r="AW58" s="22">
        <v>0</v>
      </c>
      <c r="AX58" s="22">
        <v>0</v>
      </c>
      <c r="AY58" s="22">
        <v>0</v>
      </c>
      <c r="AZ58" s="22">
        <f t="shared" si="8"/>
        <v>0</v>
      </c>
      <c r="BD58" s="23">
        <f t="shared" si="30"/>
        <v>0</v>
      </c>
      <c r="BE58" s="23">
        <f t="shared" si="31"/>
        <v>0</v>
      </c>
      <c r="BF58" s="23">
        <f t="shared" si="32"/>
        <v>0</v>
      </c>
      <c r="BG58" s="23">
        <f t="shared" si="33"/>
        <v>0</v>
      </c>
      <c r="BH58" s="23">
        <f t="shared" si="13"/>
        <v>0</v>
      </c>
    </row>
    <row r="59" spans="2:60" ht="11.1" customHeight="1" x14ac:dyDescent="0.3">
      <c r="B59" s="19">
        <v>51</v>
      </c>
      <c r="C59" s="19">
        <f t="shared" si="19"/>
        <v>122</v>
      </c>
      <c r="F59" s="20">
        <f t="shared" si="20"/>
        <v>1</v>
      </c>
      <c r="G59" s="20">
        <f t="shared" si="21"/>
        <v>1</v>
      </c>
      <c r="H59" s="20">
        <f t="shared" si="22"/>
        <v>1</v>
      </c>
      <c r="I59" s="20">
        <f t="shared" si="23"/>
        <v>1</v>
      </c>
      <c r="M59" s="96">
        <f>0.5*(Lecanemab!L59+Lecanemab!L60)</f>
        <v>0</v>
      </c>
      <c r="N59" s="96">
        <f>0.5*(Lecanemab!M59+Lecanemab!M60)</f>
        <v>0</v>
      </c>
      <c r="O59" s="96">
        <f>0.5*(Lecanemab!N59+Lecanemab!N60)</f>
        <v>0</v>
      </c>
      <c r="P59" s="96">
        <f>0.5*(Lecanemab!O59+Lecanemab!O60)</f>
        <v>0</v>
      </c>
      <c r="Q59" s="96">
        <f>0.5*(Lecanemab!P59+Lecanemab!P60)</f>
        <v>0</v>
      </c>
      <c r="R59" s="96">
        <f>0.5*(Lecanemab!Q59+Lecanemab!Q60)</f>
        <v>0</v>
      </c>
      <c r="S59" s="96">
        <f>0.5*(Lecanemab!R59+Lecanemab!R60)</f>
        <v>0</v>
      </c>
      <c r="T59" s="96">
        <f>0.5*(Lecanemab!S59+Lecanemab!S60)</f>
        <v>0</v>
      </c>
      <c r="U59" s="96">
        <f>0.5*(Lecanemab!T59+Lecanemab!T60)</f>
        <v>0</v>
      </c>
      <c r="V59" s="96">
        <f>0.5*(Lecanemab!U59+Lecanemab!U60)</f>
        <v>0</v>
      </c>
      <c r="W59" s="96">
        <f>0.5*(Lecanemab!V59+Lecanemab!V60)</f>
        <v>0</v>
      </c>
      <c r="X59" s="96">
        <f>0.5*(Lecanemab!W59+Lecanemab!W60)</f>
        <v>0</v>
      </c>
      <c r="Y59" s="96">
        <f>0.5*(Lecanemab!X59+Lecanemab!X60)</f>
        <v>0</v>
      </c>
      <c r="Z59" s="96">
        <f>0.5*(Lecanemab!Y59+Lecanemab!Y60)</f>
        <v>0</v>
      </c>
      <c r="AA59" s="96">
        <f>0.5*(Lecanemab!Z59+Lecanemab!Z60)</f>
        <v>0</v>
      </c>
      <c r="AB59" s="96">
        <f>0.5*(Lecanemab!AA59+Lecanemab!AA60)</f>
        <v>0</v>
      </c>
      <c r="AC59" s="96">
        <f>0.5*(Lecanemab!AB59+Lecanemab!AB60)</f>
        <v>0</v>
      </c>
      <c r="AD59" s="96">
        <f>0.5*(Lecanemab!AC59+Lecanemab!AC60)</f>
        <v>0</v>
      </c>
      <c r="AE59" s="96">
        <f>0.5*(Lecanemab!AD59+Lecanemab!AD60)</f>
        <v>0</v>
      </c>
      <c r="AF59" s="96">
        <f>0.5*(Lecanemab!AE59+Lecanemab!AE60)</f>
        <v>0</v>
      </c>
      <c r="AH59" s="83">
        <f t="shared" si="5"/>
        <v>0</v>
      </c>
      <c r="AK59" s="19">
        <f t="shared" si="28"/>
        <v>0</v>
      </c>
      <c r="AL59" s="22">
        <f t="shared" si="24"/>
        <v>0</v>
      </c>
      <c r="AM59" s="22">
        <v>0</v>
      </c>
      <c r="AN59" s="22">
        <v>0</v>
      </c>
      <c r="AO59" s="22">
        <f t="shared" si="29"/>
        <v>0</v>
      </c>
      <c r="AP59" s="22">
        <f t="shared" si="25"/>
        <v>0</v>
      </c>
      <c r="AQ59" s="22">
        <v>0</v>
      </c>
      <c r="AR59" s="22">
        <v>0</v>
      </c>
      <c r="AS59" s="22">
        <f t="shared" si="26"/>
        <v>0</v>
      </c>
      <c r="AT59" s="22">
        <v>0</v>
      </c>
      <c r="AU59" s="22">
        <v>0</v>
      </c>
      <c r="AV59" s="22">
        <f t="shared" si="27"/>
        <v>0</v>
      </c>
      <c r="AW59" s="22">
        <v>0</v>
      </c>
      <c r="AX59" s="22">
        <v>0</v>
      </c>
      <c r="AY59" s="22">
        <v>0</v>
      </c>
      <c r="AZ59" s="22">
        <f t="shared" si="8"/>
        <v>0</v>
      </c>
      <c r="BD59" s="23">
        <f t="shared" si="30"/>
        <v>0</v>
      </c>
      <c r="BE59" s="23">
        <f t="shared" si="31"/>
        <v>0</v>
      </c>
      <c r="BF59" s="23">
        <f t="shared" si="32"/>
        <v>0</v>
      </c>
      <c r="BG59" s="23">
        <f t="shared" si="33"/>
        <v>0</v>
      </c>
      <c r="BH59" s="23">
        <f t="shared" si="13"/>
        <v>0</v>
      </c>
    </row>
    <row r="60" spans="2:60" ht="11.1" customHeight="1" x14ac:dyDescent="0.3">
      <c r="B60" s="19">
        <v>52</v>
      </c>
      <c r="C60" s="19">
        <f t="shared" si="19"/>
        <v>123</v>
      </c>
      <c r="F60" s="20">
        <f t="shared" si="20"/>
        <v>1</v>
      </c>
      <c r="G60" s="20">
        <f t="shared" si="21"/>
        <v>1</v>
      </c>
      <c r="H60" s="20">
        <f t="shared" si="22"/>
        <v>1</v>
      </c>
      <c r="I60" s="20">
        <f t="shared" si="23"/>
        <v>1</v>
      </c>
      <c r="M60" s="96">
        <f>0.5*(Lecanemab!L60+Lecanemab!L61)</f>
        <v>0</v>
      </c>
      <c r="N60" s="96">
        <f>0.5*(Lecanemab!M60+Lecanemab!M61)</f>
        <v>0</v>
      </c>
      <c r="O60" s="96">
        <f>0.5*(Lecanemab!N60+Lecanemab!N61)</f>
        <v>0</v>
      </c>
      <c r="P60" s="96">
        <f>0.5*(Lecanemab!O60+Lecanemab!O61)</f>
        <v>0</v>
      </c>
      <c r="Q60" s="96">
        <f>0.5*(Lecanemab!P60+Lecanemab!P61)</f>
        <v>0</v>
      </c>
      <c r="R60" s="96">
        <f>0.5*(Lecanemab!Q60+Lecanemab!Q61)</f>
        <v>0</v>
      </c>
      <c r="S60" s="96">
        <f>0.5*(Lecanemab!R60+Lecanemab!R61)</f>
        <v>0</v>
      </c>
      <c r="T60" s="96">
        <f>0.5*(Lecanemab!S60+Lecanemab!S61)</f>
        <v>0</v>
      </c>
      <c r="U60" s="96">
        <f>0.5*(Lecanemab!T60+Lecanemab!T61)</f>
        <v>0</v>
      </c>
      <c r="V60" s="96">
        <f>0.5*(Lecanemab!U60+Lecanemab!U61)</f>
        <v>0</v>
      </c>
      <c r="W60" s="96">
        <f>0.5*(Lecanemab!V60+Lecanemab!V61)</f>
        <v>0</v>
      </c>
      <c r="X60" s="96">
        <f>0.5*(Lecanemab!W60+Lecanemab!W61)</f>
        <v>0</v>
      </c>
      <c r="Y60" s="96">
        <f>0.5*(Lecanemab!X60+Lecanemab!X61)</f>
        <v>0</v>
      </c>
      <c r="Z60" s="96">
        <f>0.5*(Lecanemab!Y60+Lecanemab!Y61)</f>
        <v>0</v>
      </c>
      <c r="AA60" s="96">
        <f>0.5*(Lecanemab!Z60+Lecanemab!Z61)</f>
        <v>0</v>
      </c>
      <c r="AB60" s="96">
        <f>0.5*(Lecanemab!AA60+Lecanemab!AA61)</f>
        <v>0</v>
      </c>
      <c r="AC60" s="96">
        <f>0.5*(Lecanemab!AB60+Lecanemab!AB61)</f>
        <v>0</v>
      </c>
      <c r="AD60" s="96">
        <f>0.5*(Lecanemab!AC60+Lecanemab!AC61)</f>
        <v>0</v>
      </c>
      <c r="AE60" s="96">
        <f>0.5*(Lecanemab!AD60+Lecanemab!AD61)</f>
        <v>0</v>
      </c>
      <c r="AF60" s="96">
        <f>0.5*(Lecanemab!AE60+Lecanemab!AE61)</f>
        <v>0</v>
      </c>
      <c r="AH60" s="83">
        <f t="shared" si="5"/>
        <v>0</v>
      </c>
      <c r="AK60" s="19">
        <f t="shared" si="28"/>
        <v>0</v>
      </c>
      <c r="AL60" s="22">
        <f t="shared" si="24"/>
        <v>0</v>
      </c>
      <c r="AM60" s="22">
        <v>0</v>
      </c>
      <c r="AN60" s="22">
        <v>0</v>
      </c>
      <c r="AO60" s="22">
        <f t="shared" si="29"/>
        <v>0</v>
      </c>
      <c r="AP60" s="22">
        <f t="shared" si="25"/>
        <v>0</v>
      </c>
      <c r="AQ60" s="22">
        <v>0</v>
      </c>
      <c r="AR60" s="22">
        <v>0</v>
      </c>
      <c r="AS60" s="22">
        <f t="shared" si="26"/>
        <v>0</v>
      </c>
      <c r="AT60" s="22">
        <v>0</v>
      </c>
      <c r="AU60" s="22">
        <v>0</v>
      </c>
      <c r="AV60" s="22">
        <f t="shared" si="27"/>
        <v>0</v>
      </c>
      <c r="AW60" s="22">
        <v>0</v>
      </c>
      <c r="AX60" s="22">
        <v>0</v>
      </c>
      <c r="AY60" s="22">
        <v>0</v>
      </c>
      <c r="AZ60" s="22">
        <f t="shared" si="8"/>
        <v>0</v>
      </c>
      <c r="BD60" s="23">
        <f t="shared" si="30"/>
        <v>0</v>
      </c>
      <c r="BE60" s="23">
        <f t="shared" si="31"/>
        <v>0</v>
      </c>
      <c r="BF60" s="23">
        <f t="shared" si="32"/>
        <v>0</v>
      </c>
      <c r="BG60" s="23">
        <f t="shared" si="33"/>
        <v>0</v>
      </c>
      <c r="BH60" s="23">
        <f t="shared" si="13"/>
        <v>0</v>
      </c>
    </row>
    <row r="61" spans="2:60" ht="11.1" customHeight="1" x14ac:dyDescent="0.3">
      <c r="B61" s="19">
        <v>53</v>
      </c>
      <c r="C61" s="19">
        <f t="shared" si="19"/>
        <v>124</v>
      </c>
      <c r="F61" s="20">
        <f t="shared" si="20"/>
        <v>1</v>
      </c>
      <c r="G61" s="20">
        <f t="shared" si="21"/>
        <v>1</v>
      </c>
      <c r="H61" s="20">
        <f t="shared" si="22"/>
        <v>1</v>
      </c>
      <c r="I61" s="20">
        <f t="shared" si="23"/>
        <v>1</v>
      </c>
      <c r="M61" s="96">
        <f>0.5*(Lecanemab!L61+Lecanemab!L62)</f>
        <v>0</v>
      </c>
      <c r="N61" s="96">
        <f>0.5*(Lecanemab!M61+Lecanemab!M62)</f>
        <v>0</v>
      </c>
      <c r="O61" s="96">
        <f>0.5*(Lecanemab!N61+Lecanemab!N62)</f>
        <v>0</v>
      </c>
      <c r="P61" s="96">
        <f>0.5*(Lecanemab!O61+Lecanemab!O62)</f>
        <v>0</v>
      </c>
      <c r="Q61" s="96">
        <f>0.5*(Lecanemab!P61+Lecanemab!P62)</f>
        <v>0</v>
      </c>
      <c r="R61" s="96">
        <f>0.5*(Lecanemab!Q61+Lecanemab!Q62)</f>
        <v>0</v>
      </c>
      <c r="S61" s="96">
        <f>0.5*(Lecanemab!R61+Lecanemab!R62)</f>
        <v>0</v>
      </c>
      <c r="T61" s="96">
        <f>0.5*(Lecanemab!S61+Lecanemab!S62)</f>
        <v>0</v>
      </c>
      <c r="U61" s="96">
        <f>0.5*(Lecanemab!T61+Lecanemab!T62)</f>
        <v>0</v>
      </c>
      <c r="V61" s="96">
        <f>0.5*(Lecanemab!U61+Lecanemab!U62)</f>
        <v>0</v>
      </c>
      <c r="W61" s="96">
        <f>0.5*(Lecanemab!V61+Lecanemab!V62)</f>
        <v>0</v>
      </c>
      <c r="X61" s="96">
        <f>0.5*(Lecanemab!W61+Lecanemab!W62)</f>
        <v>0</v>
      </c>
      <c r="Y61" s="96">
        <f>0.5*(Lecanemab!X61+Lecanemab!X62)</f>
        <v>0</v>
      </c>
      <c r="Z61" s="96">
        <f>0.5*(Lecanemab!Y61+Lecanemab!Y62)</f>
        <v>0</v>
      </c>
      <c r="AA61" s="96">
        <f>0.5*(Lecanemab!Z61+Lecanemab!Z62)</f>
        <v>0</v>
      </c>
      <c r="AB61" s="96">
        <f>0.5*(Lecanemab!AA61+Lecanemab!AA62)</f>
        <v>0</v>
      </c>
      <c r="AC61" s="96">
        <f>0.5*(Lecanemab!AB61+Lecanemab!AB62)</f>
        <v>0</v>
      </c>
      <c r="AD61" s="96">
        <f>0.5*(Lecanemab!AC61+Lecanemab!AC62)</f>
        <v>0</v>
      </c>
      <c r="AE61" s="96">
        <f>0.5*(Lecanemab!AD61+Lecanemab!AD62)</f>
        <v>0</v>
      </c>
      <c r="AF61" s="96">
        <f>0.5*(Lecanemab!AE61+Lecanemab!AE62)</f>
        <v>0</v>
      </c>
      <c r="AH61" s="83">
        <f t="shared" si="5"/>
        <v>0</v>
      </c>
      <c r="AK61" s="19">
        <f t="shared" si="28"/>
        <v>0</v>
      </c>
      <c r="AL61" s="22">
        <f t="shared" si="24"/>
        <v>0</v>
      </c>
      <c r="AM61" s="22">
        <v>0</v>
      </c>
      <c r="AN61" s="22">
        <v>0</v>
      </c>
      <c r="AO61" s="22">
        <f t="shared" si="29"/>
        <v>0</v>
      </c>
      <c r="AP61" s="22">
        <f t="shared" si="25"/>
        <v>0</v>
      </c>
      <c r="AQ61" s="22">
        <v>0</v>
      </c>
      <c r="AR61" s="22">
        <v>0</v>
      </c>
      <c r="AS61" s="22">
        <f t="shared" si="26"/>
        <v>0</v>
      </c>
      <c r="AT61" s="22">
        <v>0</v>
      </c>
      <c r="AU61" s="22">
        <v>0</v>
      </c>
      <c r="AV61" s="22">
        <f t="shared" si="27"/>
        <v>0</v>
      </c>
      <c r="AW61" s="22">
        <v>0</v>
      </c>
      <c r="AX61" s="22">
        <v>0</v>
      </c>
      <c r="AY61" s="22">
        <v>0</v>
      </c>
      <c r="AZ61" s="22">
        <f t="shared" si="8"/>
        <v>0</v>
      </c>
      <c r="BD61" s="23">
        <f t="shared" si="30"/>
        <v>0</v>
      </c>
      <c r="BE61" s="23">
        <f t="shared" si="31"/>
        <v>0</v>
      </c>
      <c r="BF61" s="23">
        <f t="shared" si="32"/>
        <v>0</v>
      </c>
      <c r="BG61" s="23">
        <f t="shared" si="33"/>
        <v>0</v>
      </c>
      <c r="BH61" s="23">
        <f t="shared" si="13"/>
        <v>0</v>
      </c>
    </row>
    <row r="62" spans="2:60" ht="11.1" customHeight="1" x14ac:dyDescent="0.3">
      <c r="B62" s="19">
        <v>54</v>
      </c>
      <c r="C62" s="19">
        <f t="shared" si="19"/>
        <v>125</v>
      </c>
      <c r="F62" s="20">
        <f t="shared" si="20"/>
        <v>1</v>
      </c>
      <c r="G62" s="20">
        <f t="shared" si="21"/>
        <v>1</v>
      </c>
      <c r="H62" s="20">
        <f t="shared" si="22"/>
        <v>1</v>
      </c>
      <c r="I62" s="20">
        <f t="shared" si="23"/>
        <v>1</v>
      </c>
      <c r="M62" s="96">
        <f>0.5*(Lecanemab!L62+Lecanemab!L63)</f>
        <v>0</v>
      </c>
      <c r="N62" s="96">
        <f>0.5*(Lecanemab!M62+Lecanemab!M63)</f>
        <v>0</v>
      </c>
      <c r="O62" s="96">
        <f>0.5*(Lecanemab!N62+Lecanemab!N63)</f>
        <v>0</v>
      </c>
      <c r="P62" s="96">
        <f>0.5*(Lecanemab!O62+Lecanemab!O63)</f>
        <v>0</v>
      </c>
      <c r="Q62" s="96">
        <f>0.5*(Lecanemab!P62+Lecanemab!P63)</f>
        <v>0</v>
      </c>
      <c r="R62" s="96">
        <f>0.5*(Lecanemab!Q62+Lecanemab!Q63)</f>
        <v>0</v>
      </c>
      <c r="S62" s="96">
        <f>0.5*(Lecanemab!R62+Lecanemab!R63)</f>
        <v>0</v>
      </c>
      <c r="T62" s="96">
        <f>0.5*(Lecanemab!S62+Lecanemab!S63)</f>
        <v>0</v>
      </c>
      <c r="U62" s="96">
        <f>0.5*(Lecanemab!T62+Lecanemab!T63)</f>
        <v>0</v>
      </c>
      <c r="V62" s="96">
        <f>0.5*(Lecanemab!U62+Lecanemab!U63)</f>
        <v>0</v>
      </c>
      <c r="W62" s="96">
        <f>0.5*(Lecanemab!V62+Lecanemab!V63)</f>
        <v>0</v>
      </c>
      <c r="X62" s="96">
        <f>0.5*(Lecanemab!W62+Lecanemab!W63)</f>
        <v>0</v>
      </c>
      <c r="Y62" s="96">
        <f>0.5*(Lecanemab!X62+Lecanemab!X63)</f>
        <v>0</v>
      </c>
      <c r="Z62" s="96">
        <f>0.5*(Lecanemab!Y62+Lecanemab!Y63)</f>
        <v>0</v>
      </c>
      <c r="AA62" s="96">
        <f>0.5*(Lecanemab!Z62+Lecanemab!Z63)</f>
        <v>0</v>
      </c>
      <c r="AB62" s="96">
        <f>0.5*(Lecanemab!AA62+Lecanemab!AA63)</f>
        <v>0</v>
      </c>
      <c r="AC62" s="96">
        <f>0.5*(Lecanemab!AB62+Lecanemab!AB63)</f>
        <v>0</v>
      </c>
      <c r="AD62" s="96">
        <f>0.5*(Lecanemab!AC62+Lecanemab!AC63)</f>
        <v>0</v>
      </c>
      <c r="AE62" s="96">
        <f>0.5*(Lecanemab!AD62+Lecanemab!AD63)</f>
        <v>0</v>
      </c>
      <c r="AF62" s="96">
        <f>0.5*(Lecanemab!AE62+Lecanemab!AE63)</f>
        <v>0</v>
      </c>
      <c r="AH62" s="83">
        <f t="shared" si="5"/>
        <v>0</v>
      </c>
      <c r="AK62" s="19">
        <f t="shared" si="28"/>
        <v>0</v>
      </c>
      <c r="AL62" s="22">
        <f t="shared" si="24"/>
        <v>0</v>
      </c>
      <c r="AM62" s="22">
        <v>0</v>
      </c>
      <c r="AN62" s="22">
        <v>0</v>
      </c>
      <c r="AO62" s="22">
        <f t="shared" si="29"/>
        <v>0</v>
      </c>
      <c r="AP62" s="22">
        <f t="shared" si="25"/>
        <v>0</v>
      </c>
      <c r="AQ62" s="22">
        <v>0</v>
      </c>
      <c r="AR62" s="22">
        <v>0</v>
      </c>
      <c r="AS62" s="22">
        <f t="shared" si="26"/>
        <v>0</v>
      </c>
      <c r="AT62" s="22">
        <v>0</v>
      </c>
      <c r="AU62" s="22">
        <v>0</v>
      </c>
      <c r="AV62" s="22">
        <f t="shared" si="27"/>
        <v>0</v>
      </c>
      <c r="AW62" s="22">
        <v>0</v>
      </c>
      <c r="AX62" s="22">
        <v>0</v>
      </c>
      <c r="AY62" s="22">
        <v>0</v>
      </c>
      <c r="AZ62" s="22">
        <f t="shared" si="8"/>
        <v>0</v>
      </c>
      <c r="BD62" s="23">
        <f t="shared" si="30"/>
        <v>0</v>
      </c>
      <c r="BE62" s="23">
        <f t="shared" si="31"/>
        <v>0</v>
      </c>
      <c r="BF62" s="23">
        <f t="shared" si="32"/>
        <v>0</v>
      </c>
      <c r="BG62" s="23">
        <f t="shared" si="33"/>
        <v>0</v>
      </c>
      <c r="BH62" s="23">
        <f t="shared" si="13"/>
        <v>0</v>
      </c>
    </row>
    <row r="63" spans="2:60" ht="11.1" customHeight="1" x14ac:dyDescent="0.3">
      <c r="B63" s="19">
        <v>55</v>
      </c>
      <c r="C63" s="19">
        <f t="shared" si="19"/>
        <v>126</v>
      </c>
      <c r="F63" s="20">
        <f t="shared" si="20"/>
        <v>1</v>
      </c>
      <c r="G63" s="20">
        <f t="shared" si="21"/>
        <v>1</v>
      </c>
      <c r="H63" s="20">
        <f t="shared" si="22"/>
        <v>1</v>
      </c>
      <c r="I63" s="20">
        <f t="shared" si="23"/>
        <v>1</v>
      </c>
      <c r="M63" s="96">
        <f>0.5*(Lecanemab!L63+Lecanemab!L64)</f>
        <v>0</v>
      </c>
      <c r="N63" s="96">
        <f>0.5*(Lecanemab!M63+Lecanemab!M64)</f>
        <v>0</v>
      </c>
      <c r="O63" s="96">
        <f>0.5*(Lecanemab!N63+Lecanemab!N64)</f>
        <v>0</v>
      </c>
      <c r="P63" s="96">
        <f>0.5*(Lecanemab!O63+Lecanemab!O64)</f>
        <v>0</v>
      </c>
      <c r="Q63" s="96">
        <f>0.5*(Lecanemab!P63+Lecanemab!P64)</f>
        <v>0</v>
      </c>
      <c r="R63" s="96">
        <f>0.5*(Lecanemab!Q63+Lecanemab!Q64)</f>
        <v>0</v>
      </c>
      <c r="S63" s="96">
        <f>0.5*(Lecanemab!R63+Lecanemab!R64)</f>
        <v>0</v>
      </c>
      <c r="T63" s="96">
        <f>0.5*(Lecanemab!S63+Lecanemab!S64)</f>
        <v>0</v>
      </c>
      <c r="U63" s="96">
        <f>0.5*(Lecanemab!T63+Lecanemab!T64)</f>
        <v>0</v>
      </c>
      <c r="V63" s="96">
        <f>0.5*(Lecanemab!U63+Lecanemab!U64)</f>
        <v>0</v>
      </c>
      <c r="W63" s="96">
        <f>0.5*(Lecanemab!V63+Lecanemab!V64)</f>
        <v>0</v>
      </c>
      <c r="X63" s="96">
        <f>0.5*(Lecanemab!W63+Lecanemab!W64)</f>
        <v>0</v>
      </c>
      <c r="Y63" s="96">
        <f>0.5*(Lecanemab!X63+Lecanemab!X64)</f>
        <v>0</v>
      </c>
      <c r="Z63" s="96">
        <f>0.5*(Lecanemab!Y63+Lecanemab!Y64)</f>
        <v>0</v>
      </c>
      <c r="AA63" s="96">
        <f>0.5*(Lecanemab!Z63+Lecanemab!Z64)</f>
        <v>0</v>
      </c>
      <c r="AB63" s="96">
        <f>0.5*(Lecanemab!AA63+Lecanemab!AA64)</f>
        <v>0</v>
      </c>
      <c r="AC63" s="96">
        <f>0.5*(Lecanemab!AB63+Lecanemab!AB64)</f>
        <v>0</v>
      </c>
      <c r="AD63" s="96">
        <f>0.5*(Lecanemab!AC63+Lecanemab!AC64)</f>
        <v>0</v>
      </c>
      <c r="AE63" s="96">
        <f>0.5*(Lecanemab!AD63+Lecanemab!AD64)</f>
        <v>0</v>
      </c>
      <c r="AF63" s="96">
        <f>0.5*(Lecanemab!AE63+Lecanemab!AE64)</f>
        <v>0</v>
      </c>
      <c r="AH63" s="83">
        <f t="shared" si="5"/>
        <v>0</v>
      </c>
      <c r="AK63" s="19">
        <f t="shared" si="28"/>
        <v>0</v>
      </c>
      <c r="AL63" s="22">
        <f t="shared" si="24"/>
        <v>0</v>
      </c>
      <c r="AM63" s="22">
        <v>0</v>
      </c>
      <c r="AN63" s="22">
        <v>0</v>
      </c>
      <c r="AO63" s="22">
        <f t="shared" si="29"/>
        <v>0</v>
      </c>
      <c r="AP63" s="22">
        <f t="shared" si="25"/>
        <v>0</v>
      </c>
      <c r="AQ63" s="22">
        <v>0</v>
      </c>
      <c r="AR63" s="22">
        <v>0</v>
      </c>
      <c r="AS63" s="22">
        <f t="shared" si="26"/>
        <v>0</v>
      </c>
      <c r="AT63" s="22">
        <v>0</v>
      </c>
      <c r="AU63" s="22">
        <v>0</v>
      </c>
      <c r="AV63" s="22">
        <f t="shared" si="27"/>
        <v>0</v>
      </c>
      <c r="AW63" s="22">
        <v>0</v>
      </c>
      <c r="AX63" s="22">
        <v>0</v>
      </c>
      <c r="AY63" s="22">
        <v>0</v>
      </c>
      <c r="AZ63" s="22">
        <f t="shared" si="8"/>
        <v>0</v>
      </c>
      <c r="BD63" s="23">
        <f t="shared" si="30"/>
        <v>0</v>
      </c>
      <c r="BE63" s="23">
        <f t="shared" si="31"/>
        <v>0</v>
      </c>
      <c r="BF63" s="23">
        <f t="shared" si="32"/>
        <v>0</v>
      </c>
      <c r="BG63" s="23">
        <f t="shared" si="33"/>
        <v>0</v>
      </c>
      <c r="BH63" s="23">
        <f t="shared" si="13"/>
        <v>0</v>
      </c>
    </row>
    <row r="64" spans="2:60" ht="11.1" customHeight="1" x14ac:dyDescent="0.3">
      <c r="B64" s="19">
        <v>56</v>
      </c>
      <c r="C64" s="19">
        <f t="shared" si="19"/>
        <v>127</v>
      </c>
      <c r="F64" s="20">
        <f t="shared" si="20"/>
        <v>1</v>
      </c>
      <c r="G64" s="20">
        <f t="shared" si="21"/>
        <v>1</v>
      </c>
      <c r="H64" s="20">
        <f t="shared" si="22"/>
        <v>1</v>
      </c>
      <c r="I64" s="20">
        <f t="shared" si="23"/>
        <v>1</v>
      </c>
      <c r="M64" s="96">
        <f>0.5*(Lecanemab!L64+Lecanemab!L65)</f>
        <v>0</v>
      </c>
      <c r="N64" s="96">
        <f>0.5*(Lecanemab!M64+Lecanemab!M65)</f>
        <v>0</v>
      </c>
      <c r="O64" s="96">
        <f>0.5*(Lecanemab!N64+Lecanemab!N65)</f>
        <v>0</v>
      </c>
      <c r="P64" s="96">
        <f>0.5*(Lecanemab!O64+Lecanemab!O65)</f>
        <v>0</v>
      </c>
      <c r="Q64" s="96">
        <f>0.5*(Lecanemab!P64+Lecanemab!P65)</f>
        <v>0</v>
      </c>
      <c r="R64" s="96">
        <f>0.5*(Lecanemab!Q64+Lecanemab!Q65)</f>
        <v>0</v>
      </c>
      <c r="S64" s="96">
        <f>0.5*(Lecanemab!R64+Lecanemab!R65)</f>
        <v>0</v>
      </c>
      <c r="T64" s="96">
        <f>0.5*(Lecanemab!S64+Lecanemab!S65)</f>
        <v>0</v>
      </c>
      <c r="U64" s="96">
        <f>0.5*(Lecanemab!T64+Lecanemab!T65)</f>
        <v>0</v>
      </c>
      <c r="V64" s="96">
        <f>0.5*(Lecanemab!U64+Lecanemab!U65)</f>
        <v>0</v>
      </c>
      <c r="W64" s="96">
        <f>0.5*(Lecanemab!V64+Lecanemab!V65)</f>
        <v>0</v>
      </c>
      <c r="X64" s="96">
        <f>0.5*(Lecanemab!W64+Lecanemab!W65)</f>
        <v>0</v>
      </c>
      <c r="Y64" s="96">
        <f>0.5*(Lecanemab!X64+Lecanemab!X65)</f>
        <v>0</v>
      </c>
      <c r="Z64" s="96">
        <f>0.5*(Lecanemab!Y64+Lecanemab!Y65)</f>
        <v>0</v>
      </c>
      <c r="AA64" s="96">
        <f>0.5*(Lecanemab!Z64+Lecanemab!Z65)</f>
        <v>0</v>
      </c>
      <c r="AB64" s="96">
        <f>0.5*(Lecanemab!AA64+Lecanemab!AA65)</f>
        <v>0</v>
      </c>
      <c r="AC64" s="96">
        <f>0.5*(Lecanemab!AB64+Lecanemab!AB65)</f>
        <v>0</v>
      </c>
      <c r="AD64" s="96">
        <f>0.5*(Lecanemab!AC64+Lecanemab!AC65)</f>
        <v>0</v>
      </c>
      <c r="AE64" s="96">
        <f>0.5*(Lecanemab!AD64+Lecanemab!AD65)</f>
        <v>0</v>
      </c>
      <c r="AF64" s="96">
        <f>0.5*(Lecanemab!AE64+Lecanemab!AE65)</f>
        <v>0</v>
      </c>
      <c r="AH64" s="83">
        <f t="shared" si="5"/>
        <v>0</v>
      </c>
      <c r="AK64" s="19">
        <f t="shared" si="28"/>
        <v>0</v>
      </c>
      <c r="AL64" s="22">
        <f t="shared" si="24"/>
        <v>0</v>
      </c>
      <c r="AM64" s="22">
        <v>0</v>
      </c>
      <c r="AN64" s="22">
        <v>0</v>
      </c>
      <c r="AO64" s="22">
        <f t="shared" si="29"/>
        <v>0</v>
      </c>
      <c r="AP64" s="22">
        <f t="shared" si="25"/>
        <v>0</v>
      </c>
      <c r="AQ64" s="22">
        <v>0</v>
      </c>
      <c r="AR64" s="22">
        <v>0</v>
      </c>
      <c r="AS64" s="22">
        <f t="shared" si="26"/>
        <v>0</v>
      </c>
      <c r="AT64" s="22">
        <v>0</v>
      </c>
      <c r="AU64" s="22">
        <v>0</v>
      </c>
      <c r="AV64" s="22">
        <f t="shared" si="27"/>
        <v>0</v>
      </c>
      <c r="AW64" s="22">
        <v>0</v>
      </c>
      <c r="AX64" s="22">
        <v>0</v>
      </c>
      <c r="AY64" s="22">
        <v>0</v>
      </c>
      <c r="AZ64" s="22">
        <f t="shared" si="8"/>
        <v>0</v>
      </c>
      <c r="BD64" s="23">
        <f t="shared" si="30"/>
        <v>0</v>
      </c>
      <c r="BE64" s="23">
        <f t="shared" si="31"/>
        <v>0</v>
      </c>
      <c r="BF64" s="23">
        <f t="shared" si="32"/>
        <v>0</v>
      </c>
      <c r="BG64" s="23">
        <f t="shared" si="33"/>
        <v>0</v>
      </c>
      <c r="BH64" s="23">
        <f t="shared" si="13"/>
        <v>0</v>
      </c>
    </row>
    <row r="65" spans="2:60" ht="11.1" customHeight="1" x14ac:dyDescent="0.3">
      <c r="B65" s="19">
        <v>57</v>
      </c>
      <c r="C65" s="19">
        <f t="shared" si="19"/>
        <v>128</v>
      </c>
      <c r="F65" s="20">
        <f t="shared" si="20"/>
        <v>1</v>
      </c>
      <c r="G65" s="20">
        <f t="shared" si="21"/>
        <v>1</v>
      </c>
      <c r="H65" s="20">
        <f t="shared" si="22"/>
        <v>1</v>
      </c>
      <c r="I65" s="20">
        <f t="shared" si="23"/>
        <v>1</v>
      </c>
      <c r="M65" s="96">
        <f>0.5*(Lecanemab!L65+Lecanemab!L66)</f>
        <v>0</v>
      </c>
      <c r="N65" s="96">
        <f>0.5*(Lecanemab!M65+Lecanemab!M66)</f>
        <v>0</v>
      </c>
      <c r="O65" s="96">
        <f>0.5*(Lecanemab!N65+Lecanemab!N66)</f>
        <v>0</v>
      </c>
      <c r="P65" s="96">
        <f>0.5*(Lecanemab!O65+Lecanemab!O66)</f>
        <v>0</v>
      </c>
      <c r="Q65" s="96">
        <f>0.5*(Lecanemab!P65+Lecanemab!P66)</f>
        <v>0</v>
      </c>
      <c r="R65" s="96">
        <f>0.5*(Lecanemab!Q65+Lecanemab!Q66)</f>
        <v>0</v>
      </c>
      <c r="S65" s="96">
        <f>0.5*(Lecanemab!R65+Lecanemab!R66)</f>
        <v>0</v>
      </c>
      <c r="T65" s="96">
        <f>0.5*(Lecanemab!S65+Lecanemab!S66)</f>
        <v>0</v>
      </c>
      <c r="U65" s="96">
        <f>0.5*(Lecanemab!T65+Lecanemab!T66)</f>
        <v>0</v>
      </c>
      <c r="V65" s="96">
        <f>0.5*(Lecanemab!U65+Lecanemab!U66)</f>
        <v>0</v>
      </c>
      <c r="W65" s="96">
        <f>0.5*(Lecanemab!V65+Lecanemab!V66)</f>
        <v>0</v>
      </c>
      <c r="X65" s="96">
        <f>0.5*(Lecanemab!W65+Lecanemab!W66)</f>
        <v>0</v>
      </c>
      <c r="Y65" s="96">
        <f>0.5*(Lecanemab!X65+Lecanemab!X66)</f>
        <v>0</v>
      </c>
      <c r="Z65" s="96">
        <f>0.5*(Lecanemab!Y65+Lecanemab!Y66)</f>
        <v>0</v>
      </c>
      <c r="AA65" s="96">
        <f>0.5*(Lecanemab!Z65+Lecanemab!Z66)</f>
        <v>0</v>
      </c>
      <c r="AB65" s="96">
        <f>0.5*(Lecanemab!AA65+Lecanemab!AA66)</f>
        <v>0</v>
      </c>
      <c r="AC65" s="96">
        <f>0.5*(Lecanemab!AB65+Lecanemab!AB66)</f>
        <v>0</v>
      </c>
      <c r="AD65" s="96">
        <f>0.5*(Lecanemab!AC65+Lecanemab!AC66)</f>
        <v>0</v>
      </c>
      <c r="AE65" s="96">
        <f>0.5*(Lecanemab!AD65+Lecanemab!AD66)</f>
        <v>0</v>
      </c>
      <c r="AF65" s="96">
        <f>0.5*(Lecanemab!AE65+Lecanemab!AE66)</f>
        <v>0</v>
      </c>
      <c r="AH65" s="83">
        <f t="shared" si="5"/>
        <v>0</v>
      </c>
      <c r="AK65" s="19">
        <f t="shared" si="28"/>
        <v>0</v>
      </c>
      <c r="AL65" s="22">
        <f t="shared" si="24"/>
        <v>0</v>
      </c>
      <c r="AM65" s="22">
        <v>0</v>
      </c>
      <c r="AN65" s="22">
        <v>0</v>
      </c>
      <c r="AO65" s="22">
        <f t="shared" si="29"/>
        <v>0</v>
      </c>
      <c r="AP65" s="22">
        <f t="shared" si="25"/>
        <v>0</v>
      </c>
      <c r="AQ65" s="22">
        <v>0</v>
      </c>
      <c r="AR65" s="22">
        <v>0</v>
      </c>
      <c r="AS65" s="22">
        <f t="shared" si="26"/>
        <v>0</v>
      </c>
      <c r="AT65" s="22">
        <v>0</v>
      </c>
      <c r="AU65" s="22">
        <v>0</v>
      </c>
      <c r="AV65" s="22">
        <f t="shared" si="27"/>
        <v>0</v>
      </c>
      <c r="AW65" s="22">
        <v>0</v>
      </c>
      <c r="AX65" s="22">
        <v>0</v>
      </c>
      <c r="AY65" s="22">
        <v>0</v>
      </c>
      <c r="AZ65" s="22">
        <f t="shared" si="8"/>
        <v>0</v>
      </c>
      <c r="BD65" s="23">
        <f t="shared" si="30"/>
        <v>0</v>
      </c>
      <c r="BE65" s="23">
        <f t="shared" si="31"/>
        <v>0</v>
      </c>
      <c r="BF65" s="23">
        <f t="shared" si="32"/>
        <v>0</v>
      </c>
      <c r="BG65" s="23">
        <f t="shared" si="33"/>
        <v>0</v>
      </c>
      <c r="BH65" s="23">
        <f t="shared" si="13"/>
        <v>0</v>
      </c>
    </row>
    <row r="66" spans="2:60" ht="11.1" customHeight="1" x14ac:dyDescent="0.3">
      <c r="B66" s="19">
        <v>58</v>
      </c>
      <c r="C66" s="19">
        <f t="shared" si="19"/>
        <v>129</v>
      </c>
      <c r="F66" s="20">
        <f t="shared" si="20"/>
        <v>1</v>
      </c>
      <c r="G66" s="20">
        <f t="shared" si="21"/>
        <v>1</v>
      </c>
      <c r="H66" s="20">
        <f t="shared" si="22"/>
        <v>1</v>
      </c>
      <c r="I66" s="20">
        <f t="shared" si="23"/>
        <v>1</v>
      </c>
      <c r="M66" s="96">
        <f>0.5*(Lecanemab!L66+Lecanemab!L67)</f>
        <v>0</v>
      </c>
      <c r="N66" s="96">
        <f>0.5*(Lecanemab!M66+Lecanemab!M67)</f>
        <v>0</v>
      </c>
      <c r="O66" s="96">
        <f>0.5*(Lecanemab!N66+Lecanemab!N67)</f>
        <v>0</v>
      </c>
      <c r="P66" s="96">
        <f>0.5*(Lecanemab!O66+Lecanemab!O67)</f>
        <v>0</v>
      </c>
      <c r="Q66" s="96">
        <f>0.5*(Lecanemab!P66+Lecanemab!P67)</f>
        <v>0</v>
      </c>
      <c r="R66" s="96">
        <f>0.5*(Lecanemab!Q66+Lecanemab!Q67)</f>
        <v>0</v>
      </c>
      <c r="S66" s="96">
        <f>0.5*(Lecanemab!R66+Lecanemab!R67)</f>
        <v>0</v>
      </c>
      <c r="T66" s="96">
        <f>0.5*(Lecanemab!S66+Lecanemab!S67)</f>
        <v>0</v>
      </c>
      <c r="U66" s="96">
        <f>0.5*(Lecanemab!T66+Lecanemab!T67)</f>
        <v>0</v>
      </c>
      <c r="V66" s="96">
        <f>0.5*(Lecanemab!U66+Lecanemab!U67)</f>
        <v>0</v>
      </c>
      <c r="W66" s="96">
        <f>0.5*(Lecanemab!V66+Lecanemab!V67)</f>
        <v>0</v>
      </c>
      <c r="X66" s="96">
        <f>0.5*(Lecanemab!W66+Lecanemab!W67)</f>
        <v>0</v>
      </c>
      <c r="Y66" s="96">
        <f>0.5*(Lecanemab!X66+Lecanemab!X67)</f>
        <v>0</v>
      </c>
      <c r="Z66" s="96">
        <f>0.5*(Lecanemab!Y66+Lecanemab!Y67)</f>
        <v>0</v>
      </c>
      <c r="AA66" s="96">
        <f>0.5*(Lecanemab!Z66+Lecanemab!Z67)</f>
        <v>0</v>
      </c>
      <c r="AB66" s="96">
        <f>0.5*(Lecanemab!AA66+Lecanemab!AA67)</f>
        <v>0</v>
      </c>
      <c r="AC66" s="96">
        <f>0.5*(Lecanemab!AB66+Lecanemab!AB67)</f>
        <v>0</v>
      </c>
      <c r="AD66" s="96">
        <f>0.5*(Lecanemab!AC66+Lecanemab!AC67)</f>
        <v>0</v>
      </c>
      <c r="AE66" s="96">
        <f>0.5*(Lecanemab!AD66+Lecanemab!AD67)</f>
        <v>0</v>
      </c>
      <c r="AF66" s="96">
        <f>0.5*(Lecanemab!AE66+Lecanemab!AE67)</f>
        <v>0</v>
      </c>
      <c r="AH66" s="83">
        <f t="shared" si="5"/>
        <v>0</v>
      </c>
      <c r="AK66" s="19">
        <f t="shared" si="28"/>
        <v>0</v>
      </c>
      <c r="AL66" s="22">
        <f t="shared" si="24"/>
        <v>0</v>
      </c>
      <c r="AM66" s="22">
        <v>0</v>
      </c>
      <c r="AN66" s="22">
        <v>0</v>
      </c>
      <c r="AO66" s="22">
        <f t="shared" si="29"/>
        <v>0</v>
      </c>
      <c r="AP66" s="22">
        <f t="shared" si="25"/>
        <v>0</v>
      </c>
      <c r="AQ66" s="22">
        <v>0</v>
      </c>
      <c r="AR66" s="22">
        <v>0</v>
      </c>
      <c r="AS66" s="22">
        <f t="shared" si="26"/>
        <v>0</v>
      </c>
      <c r="AT66" s="22">
        <v>0</v>
      </c>
      <c r="AU66" s="22">
        <v>0</v>
      </c>
      <c r="AV66" s="22">
        <f t="shared" si="27"/>
        <v>0</v>
      </c>
      <c r="AW66" s="22">
        <v>0</v>
      </c>
      <c r="AX66" s="22">
        <v>0</v>
      </c>
      <c r="AY66" s="22">
        <v>0</v>
      </c>
      <c r="AZ66" s="22">
        <f t="shared" si="8"/>
        <v>0</v>
      </c>
      <c r="BD66" s="23">
        <f t="shared" si="30"/>
        <v>0</v>
      </c>
      <c r="BE66" s="23">
        <f t="shared" si="31"/>
        <v>0</v>
      </c>
      <c r="BF66" s="23">
        <f t="shared" si="32"/>
        <v>0</v>
      </c>
      <c r="BG66" s="23">
        <f t="shared" si="33"/>
        <v>0</v>
      </c>
      <c r="BH66" s="23">
        <f t="shared" si="13"/>
        <v>0</v>
      </c>
    </row>
    <row r="67" spans="2:60" ht="11.1" customHeight="1" x14ac:dyDescent="0.3">
      <c r="B67" s="19">
        <v>59</v>
      </c>
      <c r="C67" s="19">
        <f t="shared" si="19"/>
        <v>130</v>
      </c>
      <c r="F67" s="20">
        <f t="shared" si="20"/>
        <v>1</v>
      </c>
      <c r="G67" s="20">
        <f t="shared" si="21"/>
        <v>1</v>
      </c>
      <c r="H67" s="20">
        <f t="shared" si="22"/>
        <v>1</v>
      </c>
      <c r="I67" s="20">
        <f t="shared" si="23"/>
        <v>1</v>
      </c>
      <c r="M67" s="96">
        <f>0.5*(Lecanemab!L67+Lecanemab!L68)</f>
        <v>0</v>
      </c>
      <c r="N67" s="96">
        <f>0.5*(Lecanemab!M67+Lecanemab!M68)</f>
        <v>0</v>
      </c>
      <c r="O67" s="96">
        <f>0.5*(Lecanemab!N67+Lecanemab!N68)</f>
        <v>0</v>
      </c>
      <c r="P67" s="96">
        <f>0.5*(Lecanemab!O67+Lecanemab!O68)</f>
        <v>0</v>
      </c>
      <c r="Q67" s="96">
        <f>0.5*(Lecanemab!P67+Lecanemab!P68)</f>
        <v>0</v>
      </c>
      <c r="R67" s="96">
        <f>0.5*(Lecanemab!Q67+Lecanemab!Q68)</f>
        <v>0</v>
      </c>
      <c r="S67" s="96">
        <f>0.5*(Lecanemab!R67+Lecanemab!R68)</f>
        <v>0</v>
      </c>
      <c r="T67" s="96">
        <f>0.5*(Lecanemab!S67+Lecanemab!S68)</f>
        <v>0</v>
      </c>
      <c r="U67" s="96">
        <f>0.5*(Lecanemab!T67+Lecanemab!T68)</f>
        <v>0</v>
      </c>
      <c r="V67" s="96">
        <f>0.5*(Lecanemab!U67+Lecanemab!U68)</f>
        <v>0</v>
      </c>
      <c r="W67" s="96">
        <f>0.5*(Lecanemab!V67+Lecanemab!V68)</f>
        <v>0</v>
      </c>
      <c r="X67" s="96">
        <f>0.5*(Lecanemab!W67+Lecanemab!W68)</f>
        <v>0</v>
      </c>
      <c r="Y67" s="96">
        <f>0.5*(Lecanemab!X67+Lecanemab!X68)</f>
        <v>0</v>
      </c>
      <c r="Z67" s="96">
        <f>0.5*(Lecanemab!Y67+Lecanemab!Y68)</f>
        <v>0</v>
      </c>
      <c r="AA67" s="96">
        <f>0.5*(Lecanemab!Z67+Lecanemab!Z68)</f>
        <v>0</v>
      </c>
      <c r="AB67" s="96">
        <f>0.5*(Lecanemab!AA67+Lecanemab!AA68)</f>
        <v>0</v>
      </c>
      <c r="AC67" s="96">
        <f>0.5*(Lecanemab!AB67+Lecanemab!AB68)</f>
        <v>0</v>
      </c>
      <c r="AD67" s="96">
        <f>0.5*(Lecanemab!AC67+Lecanemab!AC68)</f>
        <v>0</v>
      </c>
      <c r="AE67" s="96">
        <f>0.5*(Lecanemab!AD67+Lecanemab!AD68)</f>
        <v>0</v>
      </c>
      <c r="AF67" s="96">
        <f>0.5*(Lecanemab!AE67+Lecanemab!AE68)</f>
        <v>0</v>
      </c>
      <c r="AH67" s="83">
        <f t="shared" si="5"/>
        <v>0</v>
      </c>
      <c r="AK67" s="19">
        <f t="shared" si="28"/>
        <v>0</v>
      </c>
      <c r="AL67" s="22">
        <f t="shared" si="24"/>
        <v>0</v>
      </c>
      <c r="AM67" s="22">
        <v>0</v>
      </c>
      <c r="AN67" s="22">
        <v>0</v>
      </c>
      <c r="AO67" s="22">
        <f t="shared" si="29"/>
        <v>0</v>
      </c>
      <c r="AP67" s="22">
        <f t="shared" si="25"/>
        <v>0</v>
      </c>
      <c r="AQ67" s="22">
        <v>0</v>
      </c>
      <c r="AR67" s="22">
        <v>0</v>
      </c>
      <c r="AS67" s="22">
        <f t="shared" si="26"/>
        <v>0</v>
      </c>
      <c r="AT67" s="22">
        <v>0</v>
      </c>
      <c r="AU67" s="22">
        <v>0</v>
      </c>
      <c r="AV67" s="22">
        <f t="shared" si="27"/>
        <v>0</v>
      </c>
      <c r="AW67" s="22">
        <v>0</v>
      </c>
      <c r="AX67" s="22">
        <v>0</v>
      </c>
      <c r="AY67" s="22">
        <v>0</v>
      </c>
      <c r="AZ67" s="22">
        <f t="shared" si="8"/>
        <v>0</v>
      </c>
      <c r="BD67" s="23">
        <f t="shared" si="30"/>
        <v>0</v>
      </c>
      <c r="BE67" s="23">
        <f t="shared" si="31"/>
        <v>0</v>
      </c>
      <c r="BF67" s="23">
        <f t="shared" si="32"/>
        <v>0</v>
      </c>
      <c r="BG67" s="23">
        <f t="shared" si="33"/>
        <v>0</v>
      </c>
      <c r="BH67" s="23">
        <f t="shared" si="13"/>
        <v>0</v>
      </c>
    </row>
    <row r="68" spans="2:60" ht="11.1" customHeight="1" x14ac:dyDescent="0.3">
      <c r="B68" s="19">
        <v>60</v>
      </c>
      <c r="C68" s="19">
        <f t="shared" si="19"/>
        <v>131</v>
      </c>
      <c r="F68" s="20">
        <f t="shared" si="20"/>
        <v>1</v>
      </c>
      <c r="G68" s="20">
        <f t="shared" si="21"/>
        <v>1</v>
      </c>
      <c r="H68" s="20">
        <f t="shared" si="22"/>
        <v>1</v>
      </c>
      <c r="I68" s="20">
        <f t="shared" si="23"/>
        <v>1</v>
      </c>
      <c r="M68" s="96">
        <f>0.5*(Lecanemab!L68+Lecanemab!L69)</f>
        <v>0</v>
      </c>
      <c r="N68" s="96">
        <f>0.5*(Lecanemab!M68+Lecanemab!M69)</f>
        <v>0</v>
      </c>
      <c r="O68" s="96">
        <f>0.5*(Lecanemab!N68+Lecanemab!N69)</f>
        <v>0</v>
      </c>
      <c r="P68" s="96">
        <f>0.5*(Lecanemab!O68+Lecanemab!O69)</f>
        <v>0</v>
      </c>
      <c r="Q68" s="96">
        <f>0.5*(Lecanemab!P68+Lecanemab!P69)</f>
        <v>0</v>
      </c>
      <c r="R68" s="96">
        <f>0.5*(Lecanemab!Q68+Lecanemab!Q69)</f>
        <v>0</v>
      </c>
      <c r="S68" s="96">
        <f>0.5*(Lecanemab!R68+Lecanemab!R69)</f>
        <v>0</v>
      </c>
      <c r="T68" s="96">
        <f>0.5*(Lecanemab!S68+Lecanemab!S69)</f>
        <v>0</v>
      </c>
      <c r="U68" s="96">
        <f>0.5*(Lecanemab!T68+Lecanemab!T69)</f>
        <v>0</v>
      </c>
      <c r="V68" s="96">
        <f>0.5*(Lecanemab!U68+Lecanemab!U69)</f>
        <v>0</v>
      </c>
      <c r="W68" s="96">
        <f>0.5*(Lecanemab!V68+Lecanemab!V69)</f>
        <v>0</v>
      </c>
      <c r="X68" s="96">
        <f>0.5*(Lecanemab!W68+Lecanemab!W69)</f>
        <v>0</v>
      </c>
      <c r="Y68" s="96">
        <f>0.5*(Lecanemab!X68+Lecanemab!X69)</f>
        <v>0</v>
      </c>
      <c r="Z68" s="96">
        <f>0.5*(Lecanemab!Y68+Lecanemab!Y69)</f>
        <v>0</v>
      </c>
      <c r="AA68" s="96">
        <f>0.5*(Lecanemab!Z68+Lecanemab!Z69)</f>
        <v>0</v>
      </c>
      <c r="AB68" s="96">
        <f>0.5*(Lecanemab!AA68+Lecanemab!AA69)</f>
        <v>0</v>
      </c>
      <c r="AC68" s="96">
        <f>0.5*(Lecanemab!AB68+Lecanemab!AB69)</f>
        <v>0</v>
      </c>
      <c r="AD68" s="96">
        <f>0.5*(Lecanemab!AC68+Lecanemab!AC69)</f>
        <v>0</v>
      </c>
      <c r="AE68" s="96">
        <f>0.5*(Lecanemab!AD68+Lecanemab!AD69)</f>
        <v>0</v>
      </c>
      <c r="AF68" s="96">
        <f>0.5*(Lecanemab!AE68+Lecanemab!AE69)</f>
        <v>0</v>
      </c>
      <c r="AH68" s="83">
        <f t="shared" si="5"/>
        <v>0</v>
      </c>
      <c r="AK68" s="19">
        <f t="shared" si="28"/>
        <v>0</v>
      </c>
      <c r="AL68" s="22">
        <f t="shared" si="24"/>
        <v>0</v>
      </c>
      <c r="AM68" s="22">
        <v>0</v>
      </c>
      <c r="AN68" s="22">
        <v>0</v>
      </c>
      <c r="AO68" s="22">
        <f t="shared" si="29"/>
        <v>0</v>
      </c>
      <c r="AP68" s="22">
        <f t="shared" si="25"/>
        <v>0</v>
      </c>
      <c r="AQ68" s="22">
        <v>0</v>
      </c>
      <c r="AR68" s="22">
        <v>0</v>
      </c>
      <c r="AS68" s="22">
        <f t="shared" si="26"/>
        <v>0</v>
      </c>
      <c r="AT68" s="22">
        <v>0</v>
      </c>
      <c r="AU68" s="22">
        <v>0</v>
      </c>
      <c r="AV68" s="22">
        <f t="shared" si="27"/>
        <v>0</v>
      </c>
      <c r="AW68" s="22">
        <v>0</v>
      </c>
      <c r="AX68" s="22">
        <v>0</v>
      </c>
      <c r="AY68" s="22">
        <v>0</v>
      </c>
      <c r="AZ68" s="22">
        <f t="shared" si="8"/>
        <v>0</v>
      </c>
      <c r="BD68" s="23">
        <f t="shared" si="30"/>
        <v>0</v>
      </c>
      <c r="BE68" s="23">
        <f t="shared" si="31"/>
        <v>0</v>
      </c>
      <c r="BF68" s="23">
        <f t="shared" si="32"/>
        <v>0</v>
      </c>
      <c r="BG68" s="23">
        <f t="shared" si="33"/>
        <v>0</v>
      </c>
      <c r="BH68" s="23">
        <f t="shared" si="13"/>
        <v>0</v>
      </c>
    </row>
    <row r="69" spans="2:60" ht="11.1" customHeight="1" x14ac:dyDescent="0.3">
      <c r="B69" s="19">
        <v>61</v>
      </c>
      <c r="C69" s="19">
        <f t="shared" si="19"/>
        <v>132</v>
      </c>
      <c r="F69" s="20">
        <f t="shared" si="20"/>
        <v>1</v>
      </c>
      <c r="G69" s="20">
        <f t="shared" si="21"/>
        <v>1</v>
      </c>
      <c r="H69" s="20">
        <f t="shared" si="22"/>
        <v>1</v>
      </c>
      <c r="I69" s="20">
        <f t="shared" si="23"/>
        <v>1</v>
      </c>
      <c r="M69" s="96">
        <f>0.5*(Lecanemab!L69+Lecanemab!L70)</f>
        <v>0</v>
      </c>
      <c r="N69" s="96">
        <f>0.5*(Lecanemab!M69+Lecanemab!M70)</f>
        <v>0</v>
      </c>
      <c r="O69" s="96">
        <f>0.5*(Lecanemab!N69+Lecanemab!N70)</f>
        <v>0</v>
      </c>
      <c r="P69" s="96">
        <f>0.5*(Lecanemab!O69+Lecanemab!O70)</f>
        <v>0</v>
      </c>
      <c r="Q69" s="96">
        <f>0.5*(Lecanemab!P69+Lecanemab!P70)</f>
        <v>0</v>
      </c>
      <c r="R69" s="96">
        <f>0.5*(Lecanemab!Q69+Lecanemab!Q70)</f>
        <v>0</v>
      </c>
      <c r="S69" s="96">
        <f>0.5*(Lecanemab!R69+Lecanemab!R70)</f>
        <v>0</v>
      </c>
      <c r="T69" s="96">
        <f>0.5*(Lecanemab!S69+Lecanemab!S70)</f>
        <v>0</v>
      </c>
      <c r="U69" s="96">
        <f>0.5*(Lecanemab!T69+Lecanemab!T70)</f>
        <v>0</v>
      </c>
      <c r="V69" s="96">
        <f>0.5*(Lecanemab!U69+Lecanemab!U70)</f>
        <v>0</v>
      </c>
      <c r="W69" s="96">
        <f>0.5*(Lecanemab!V69+Lecanemab!V70)</f>
        <v>0</v>
      </c>
      <c r="X69" s="96">
        <f>0.5*(Lecanemab!W69+Lecanemab!W70)</f>
        <v>0</v>
      </c>
      <c r="Y69" s="96">
        <f>0.5*(Lecanemab!X69+Lecanemab!X70)</f>
        <v>0</v>
      </c>
      <c r="Z69" s="96">
        <f>0.5*(Lecanemab!Y69+Lecanemab!Y70)</f>
        <v>0</v>
      </c>
      <c r="AA69" s="96">
        <f>0.5*(Lecanemab!Z69+Lecanemab!Z70)</f>
        <v>0</v>
      </c>
      <c r="AB69" s="96">
        <f>0.5*(Lecanemab!AA69+Lecanemab!AA70)</f>
        <v>0</v>
      </c>
      <c r="AC69" s="96">
        <f>0.5*(Lecanemab!AB69+Lecanemab!AB70)</f>
        <v>0</v>
      </c>
      <c r="AD69" s="96">
        <f>0.5*(Lecanemab!AC69+Lecanemab!AC70)</f>
        <v>0</v>
      </c>
      <c r="AE69" s="96">
        <f>0.5*(Lecanemab!AD69+Lecanemab!AD70)</f>
        <v>0</v>
      </c>
      <c r="AF69" s="96">
        <f>0.5*(Lecanemab!AE69+Lecanemab!AE70)</f>
        <v>0</v>
      </c>
      <c r="AH69" s="83">
        <f t="shared" si="5"/>
        <v>0</v>
      </c>
      <c r="AK69" s="19">
        <f t="shared" si="28"/>
        <v>0</v>
      </c>
      <c r="AL69" s="22">
        <f t="shared" si="24"/>
        <v>0</v>
      </c>
      <c r="AM69" s="22">
        <v>0</v>
      </c>
      <c r="AN69" s="22">
        <v>0</v>
      </c>
      <c r="AO69" s="22">
        <f t="shared" si="29"/>
        <v>0</v>
      </c>
      <c r="AP69" s="22">
        <f t="shared" si="25"/>
        <v>0</v>
      </c>
      <c r="AQ69" s="22">
        <v>0</v>
      </c>
      <c r="AR69" s="22">
        <v>0</v>
      </c>
      <c r="AS69" s="22">
        <f t="shared" si="26"/>
        <v>0</v>
      </c>
      <c r="AT69" s="22">
        <v>0</v>
      </c>
      <c r="AU69" s="22">
        <v>0</v>
      </c>
      <c r="AV69" s="22">
        <f t="shared" si="27"/>
        <v>0</v>
      </c>
      <c r="AW69" s="22">
        <v>0</v>
      </c>
      <c r="AX69" s="22">
        <v>0</v>
      </c>
      <c r="AY69" s="22">
        <v>0</v>
      </c>
      <c r="AZ69" s="22">
        <f t="shared" si="8"/>
        <v>0</v>
      </c>
      <c r="BD69" s="23">
        <f t="shared" si="30"/>
        <v>0</v>
      </c>
      <c r="BE69" s="23">
        <f t="shared" si="31"/>
        <v>0</v>
      </c>
      <c r="BF69" s="23">
        <f t="shared" si="32"/>
        <v>0</v>
      </c>
      <c r="BG69" s="23">
        <f t="shared" si="33"/>
        <v>0</v>
      </c>
      <c r="BH69" s="23">
        <f t="shared" si="13"/>
        <v>0</v>
      </c>
    </row>
    <row r="70" spans="2:60" ht="11.1" customHeight="1" x14ac:dyDescent="0.3">
      <c r="B70" s="19">
        <v>62</v>
      </c>
      <c r="C70" s="19">
        <f t="shared" si="19"/>
        <v>133</v>
      </c>
      <c r="F70" s="20">
        <f t="shared" si="20"/>
        <v>1</v>
      </c>
      <c r="G70" s="20">
        <f t="shared" si="21"/>
        <v>1</v>
      </c>
      <c r="H70" s="20">
        <f t="shared" si="22"/>
        <v>1</v>
      </c>
      <c r="I70" s="20">
        <f t="shared" si="23"/>
        <v>1</v>
      </c>
      <c r="M70" s="96">
        <f>0.5*(Lecanemab!L70+Lecanemab!L71)</f>
        <v>0</v>
      </c>
      <c r="N70" s="96">
        <f>0.5*(Lecanemab!M70+Lecanemab!M71)</f>
        <v>0</v>
      </c>
      <c r="O70" s="96">
        <f>0.5*(Lecanemab!N70+Lecanemab!N71)</f>
        <v>0</v>
      </c>
      <c r="P70" s="96">
        <f>0.5*(Lecanemab!O70+Lecanemab!O71)</f>
        <v>0</v>
      </c>
      <c r="Q70" s="96">
        <f>0.5*(Lecanemab!P70+Lecanemab!P71)</f>
        <v>0</v>
      </c>
      <c r="R70" s="96">
        <f>0.5*(Lecanemab!Q70+Lecanemab!Q71)</f>
        <v>0</v>
      </c>
      <c r="S70" s="96">
        <f>0.5*(Lecanemab!R70+Lecanemab!R71)</f>
        <v>0</v>
      </c>
      <c r="T70" s="96">
        <f>0.5*(Lecanemab!S70+Lecanemab!S71)</f>
        <v>0</v>
      </c>
      <c r="U70" s="96">
        <f>0.5*(Lecanemab!T70+Lecanemab!T71)</f>
        <v>0</v>
      </c>
      <c r="V70" s="96">
        <f>0.5*(Lecanemab!U70+Lecanemab!U71)</f>
        <v>0</v>
      </c>
      <c r="W70" s="96">
        <f>0.5*(Lecanemab!V70+Lecanemab!V71)</f>
        <v>0</v>
      </c>
      <c r="X70" s="96">
        <f>0.5*(Lecanemab!W70+Lecanemab!W71)</f>
        <v>0</v>
      </c>
      <c r="Y70" s="96">
        <f>0.5*(Lecanemab!X70+Lecanemab!X71)</f>
        <v>0</v>
      </c>
      <c r="Z70" s="96">
        <f>0.5*(Lecanemab!Y70+Lecanemab!Y71)</f>
        <v>0</v>
      </c>
      <c r="AA70" s="96">
        <f>0.5*(Lecanemab!Z70+Lecanemab!Z71)</f>
        <v>0</v>
      </c>
      <c r="AB70" s="96">
        <f>0.5*(Lecanemab!AA70+Lecanemab!AA71)</f>
        <v>0</v>
      </c>
      <c r="AC70" s="96">
        <f>0.5*(Lecanemab!AB70+Lecanemab!AB71)</f>
        <v>0</v>
      </c>
      <c r="AD70" s="96">
        <f>0.5*(Lecanemab!AC70+Lecanemab!AC71)</f>
        <v>0</v>
      </c>
      <c r="AE70" s="96">
        <f>0.5*(Lecanemab!AD70+Lecanemab!AD71)</f>
        <v>0</v>
      </c>
      <c r="AF70" s="96">
        <f>0.5*(Lecanemab!AE70+Lecanemab!AE71)</f>
        <v>0</v>
      </c>
      <c r="AH70" s="83">
        <f t="shared" si="5"/>
        <v>0</v>
      </c>
      <c r="AK70" s="19">
        <f t="shared" si="28"/>
        <v>0</v>
      </c>
      <c r="AL70" s="22">
        <f t="shared" si="24"/>
        <v>0</v>
      </c>
      <c r="AM70" s="22">
        <v>0</v>
      </c>
      <c r="AN70" s="22">
        <v>0</v>
      </c>
      <c r="AO70" s="22">
        <f t="shared" si="29"/>
        <v>0</v>
      </c>
      <c r="AP70" s="22">
        <f t="shared" si="25"/>
        <v>0</v>
      </c>
      <c r="AQ70" s="22">
        <v>0</v>
      </c>
      <c r="AR70" s="22">
        <v>0</v>
      </c>
      <c r="AS70" s="22">
        <f t="shared" si="26"/>
        <v>0</v>
      </c>
      <c r="AT70" s="22">
        <v>0</v>
      </c>
      <c r="AU70" s="22">
        <v>0</v>
      </c>
      <c r="AV70" s="22">
        <f t="shared" si="27"/>
        <v>0</v>
      </c>
      <c r="AW70" s="22">
        <v>0</v>
      </c>
      <c r="AX70" s="22">
        <v>0</v>
      </c>
      <c r="AY70" s="22">
        <v>0</v>
      </c>
      <c r="AZ70" s="22">
        <f t="shared" si="8"/>
        <v>0</v>
      </c>
      <c r="BD70" s="23">
        <f t="shared" si="30"/>
        <v>0</v>
      </c>
      <c r="BE70" s="23">
        <f t="shared" si="31"/>
        <v>0</v>
      </c>
      <c r="BF70" s="23">
        <f t="shared" si="32"/>
        <v>0</v>
      </c>
      <c r="BG70" s="23">
        <f t="shared" si="33"/>
        <v>0</v>
      </c>
      <c r="BH70" s="23">
        <f t="shared" si="13"/>
        <v>0</v>
      </c>
    </row>
    <row r="71" spans="2:60" ht="11.1" customHeight="1" x14ac:dyDescent="0.3">
      <c r="B71" s="19">
        <v>63</v>
      </c>
      <c r="C71" s="19">
        <f t="shared" si="19"/>
        <v>134</v>
      </c>
      <c r="F71" s="20">
        <f t="shared" si="20"/>
        <v>1</v>
      </c>
      <c r="G71" s="20">
        <f t="shared" si="21"/>
        <v>1</v>
      </c>
      <c r="H71" s="20">
        <f t="shared" si="22"/>
        <v>1</v>
      </c>
      <c r="I71" s="20">
        <f t="shared" si="23"/>
        <v>1</v>
      </c>
      <c r="M71" s="96">
        <f>0.5*(Lecanemab!L71+Lecanemab!L72)</f>
        <v>0</v>
      </c>
      <c r="N71" s="96">
        <f>0.5*(Lecanemab!M71+Lecanemab!M72)</f>
        <v>0</v>
      </c>
      <c r="O71" s="96">
        <f>0.5*(Lecanemab!N71+Lecanemab!N72)</f>
        <v>0</v>
      </c>
      <c r="P71" s="96">
        <f>0.5*(Lecanemab!O71+Lecanemab!O72)</f>
        <v>0</v>
      </c>
      <c r="Q71" s="96">
        <f>0.5*(Lecanemab!P71+Lecanemab!P72)</f>
        <v>0</v>
      </c>
      <c r="R71" s="96">
        <f>0.5*(Lecanemab!Q71+Lecanemab!Q72)</f>
        <v>0</v>
      </c>
      <c r="S71" s="96">
        <f>0.5*(Lecanemab!R71+Lecanemab!R72)</f>
        <v>0</v>
      </c>
      <c r="T71" s="96">
        <f>0.5*(Lecanemab!S71+Lecanemab!S72)</f>
        <v>0</v>
      </c>
      <c r="U71" s="96">
        <f>0.5*(Lecanemab!T71+Lecanemab!T72)</f>
        <v>0</v>
      </c>
      <c r="V71" s="96">
        <f>0.5*(Lecanemab!U71+Lecanemab!U72)</f>
        <v>0</v>
      </c>
      <c r="W71" s="96">
        <f>0.5*(Lecanemab!V71+Lecanemab!V72)</f>
        <v>0</v>
      </c>
      <c r="X71" s="96">
        <f>0.5*(Lecanemab!W71+Lecanemab!W72)</f>
        <v>0</v>
      </c>
      <c r="Y71" s="96">
        <f>0.5*(Lecanemab!X71+Lecanemab!X72)</f>
        <v>0</v>
      </c>
      <c r="Z71" s="96">
        <f>0.5*(Lecanemab!Y71+Lecanemab!Y72)</f>
        <v>0</v>
      </c>
      <c r="AA71" s="96">
        <f>0.5*(Lecanemab!Z71+Lecanemab!Z72)</f>
        <v>0</v>
      </c>
      <c r="AB71" s="96">
        <f>0.5*(Lecanemab!AA71+Lecanemab!AA72)</f>
        <v>0</v>
      </c>
      <c r="AC71" s="96">
        <f>0.5*(Lecanemab!AB71+Lecanemab!AB72)</f>
        <v>0</v>
      </c>
      <c r="AD71" s="96">
        <f>0.5*(Lecanemab!AC71+Lecanemab!AC72)</f>
        <v>0</v>
      </c>
      <c r="AE71" s="96">
        <f>0.5*(Lecanemab!AD71+Lecanemab!AD72)</f>
        <v>0</v>
      </c>
      <c r="AF71" s="96">
        <f>0.5*(Lecanemab!AE71+Lecanemab!AE72)</f>
        <v>0</v>
      </c>
      <c r="AH71" s="83">
        <f t="shared" si="5"/>
        <v>0</v>
      </c>
      <c r="AK71" s="19">
        <f t="shared" si="28"/>
        <v>0</v>
      </c>
      <c r="AL71" s="22">
        <f t="shared" si="24"/>
        <v>0</v>
      </c>
      <c r="AM71" s="22">
        <v>0</v>
      </c>
      <c r="AN71" s="22">
        <v>0</v>
      </c>
      <c r="AO71" s="22">
        <f t="shared" si="29"/>
        <v>0</v>
      </c>
      <c r="AP71" s="22">
        <f t="shared" si="25"/>
        <v>0</v>
      </c>
      <c r="AQ71" s="22">
        <v>0</v>
      </c>
      <c r="AR71" s="22">
        <v>0</v>
      </c>
      <c r="AS71" s="22">
        <f t="shared" si="26"/>
        <v>0</v>
      </c>
      <c r="AT71" s="22">
        <v>0</v>
      </c>
      <c r="AU71" s="22">
        <v>0</v>
      </c>
      <c r="AV71" s="22">
        <f t="shared" si="27"/>
        <v>0</v>
      </c>
      <c r="AW71" s="22">
        <v>0</v>
      </c>
      <c r="AX71" s="22">
        <v>0</v>
      </c>
      <c r="AY71" s="22">
        <v>0</v>
      </c>
      <c r="AZ71" s="22">
        <f t="shared" si="8"/>
        <v>0</v>
      </c>
      <c r="BD71" s="23">
        <f t="shared" si="30"/>
        <v>0</v>
      </c>
      <c r="BE71" s="23">
        <f t="shared" si="31"/>
        <v>0</v>
      </c>
      <c r="BF71" s="23">
        <f t="shared" si="32"/>
        <v>0</v>
      </c>
      <c r="BG71" s="23">
        <f t="shared" si="33"/>
        <v>0</v>
      </c>
      <c r="BH71" s="23">
        <f t="shared" si="13"/>
        <v>0</v>
      </c>
    </row>
    <row r="72" spans="2:60" ht="11.1" customHeight="1" x14ac:dyDescent="0.3">
      <c r="B72" s="19">
        <v>64</v>
      </c>
      <c r="C72" s="19">
        <f t="shared" ref="C72:C77" si="34">start_age+Alz_cycle</f>
        <v>135</v>
      </c>
      <c r="F72" s="20">
        <f t="shared" ref="F72:F77" si="35">VLOOKUP(Alz_age,table_mort_MCI,2)</f>
        <v>1</v>
      </c>
      <c r="G72" s="20">
        <f t="shared" ref="G72:G77" si="36">VLOOKUP(Alz_age,table_mort_Mild,2)</f>
        <v>1</v>
      </c>
      <c r="H72" s="20">
        <f t="shared" ref="H72:H77" si="37">VLOOKUP(Alz_age,table_mort_Moderate,2)</f>
        <v>1</v>
      </c>
      <c r="I72" s="20">
        <f t="shared" ref="I72:I77" si="38">VLOOKUP(Alz_age,table_mort_Severe,2)</f>
        <v>1</v>
      </c>
      <c r="M72" s="96">
        <f>0.5*(Lecanemab!L72+Lecanemab!L73)</f>
        <v>0</v>
      </c>
      <c r="N72" s="96">
        <f>0.5*(Lecanemab!M72+Lecanemab!M73)</f>
        <v>0</v>
      </c>
      <c r="O72" s="96">
        <f>0.5*(Lecanemab!N72+Lecanemab!N73)</f>
        <v>0</v>
      </c>
      <c r="P72" s="96">
        <f>0.5*(Lecanemab!O72+Lecanemab!O73)</f>
        <v>0</v>
      </c>
      <c r="Q72" s="96">
        <f>0.5*(Lecanemab!P72+Lecanemab!P73)</f>
        <v>0</v>
      </c>
      <c r="R72" s="96">
        <f>0.5*(Lecanemab!Q72+Lecanemab!Q73)</f>
        <v>0</v>
      </c>
      <c r="S72" s="96">
        <f>0.5*(Lecanemab!R72+Lecanemab!R73)</f>
        <v>0</v>
      </c>
      <c r="T72" s="96">
        <f>0.5*(Lecanemab!S72+Lecanemab!S73)</f>
        <v>0</v>
      </c>
      <c r="U72" s="96">
        <f>0.5*(Lecanemab!T72+Lecanemab!T73)</f>
        <v>0</v>
      </c>
      <c r="V72" s="96">
        <f>0.5*(Lecanemab!U72+Lecanemab!U73)</f>
        <v>0</v>
      </c>
      <c r="W72" s="96">
        <f>0.5*(Lecanemab!V72+Lecanemab!V73)</f>
        <v>0</v>
      </c>
      <c r="X72" s="96">
        <f>0.5*(Lecanemab!W72+Lecanemab!W73)</f>
        <v>0</v>
      </c>
      <c r="Y72" s="96">
        <f>0.5*(Lecanemab!X72+Lecanemab!X73)</f>
        <v>0</v>
      </c>
      <c r="Z72" s="96">
        <f>0.5*(Lecanemab!Y72+Lecanemab!Y73)</f>
        <v>0</v>
      </c>
      <c r="AA72" s="96">
        <f>0.5*(Lecanemab!Z72+Lecanemab!Z73)</f>
        <v>0</v>
      </c>
      <c r="AB72" s="96">
        <f>0.5*(Lecanemab!AA72+Lecanemab!AA73)</f>
        <v>0</v>
      </c>
      <c r="AC72" s="96">
        <f>0.5*(Lecanemab!AB72+Lecanemab!AB73)</f>
        <v>0</v>
      </c>
      <c r="AD72" s="96">
        <f>0.5*(Lecanemab!AC72+Lecanemab!AC73)</f>
        <v>0</v>
      </c>
      <c r="AE72" s="96">
        <f>0.5*(Lecanemab!AD72+Lecanemab!AD73)</f>
        <v>0</v>
      </c>
      <c r="AF72" s="96">
        <f>0.5*(Lecanemab!AE72+Lecanemab!AE73)</f>
        <v>0</v>
      </c>
      <c r="AH72" s="83">
        <f t="shared" si="5"/>
        <v>0</v>
      </c>
      <c r="AK72" s="19">
        <f t="shared" si="28"/>
        <v>0</v>
      </c>
      <c r="AL72" s="22">
        <f t="shared" ref="AL72:AL77" si="39">((M72+W72)*c_Com_MCI+(N72+X72)*c_LTC_MCI)/(1+disc_rate_costs)^Alz_cycle</f>
        <v>0</v>
      </c>
      <c r="AM72" s="22">
        <v>0</v>
      </c>
      <c r="AN72" s="22">
        <v>0</v>
      </c>
      <c r="AO72" s="22">
        <f t="shared" si="29"/>
        <v>0</v>
      </c>
      <c r="AP72" s="22">
        <f t="shared" ref="AP72:AP77" si="40">((O72+Y72)*c_Com_Mild+(P72+Z72)*c_LTC_Mild)/(1+disc_rate_costs)^Alz_cycle</f>
        <v>0</v>
      </c>
      <c r="AQ72" s="22">
        <v>0</v>
      </c>
      <c r="AR72" s="22">
        <v>0</v>
      </c>
      <c r="AS72" s="22">
        <f t="shared" ref="AS72:AS77" si="41">((Q72+AA72)*c_Com_Moderate+(R72+AB72)*c_LTC_Moderate)/(1+disc_rate_costs)^Alz_cycle</f>
        <v>0</v>
      </c>
      <c r="AT72" s="22">
        <v>0</v>
      </c>
      <c r="AU72" s="22">
        <v>0</v>
      </c>
      <c r="AV72" s="22">
        <f t="shared" ref="AV72:AV77" si="42">((S72+AC72)*c_Com_Severe+(T72+AD72)*c_LTC_Severe)/(1+disc_rate_costs)^Alz_cycle</f>
        <v>0</v>
      </c>
      <c r="AW72" s="22">
        <v>0</v>
      </c>
      <c r="AX72" s="22">
        <v>0</v>
      </c>
      <c r="AY72" s="22">
        <v>0</v>
      </c>
      <c r="AZ72" s="22">
        <f t="shared" si="8"/>
        <v>0</v>
      </c>
      <c r="BD72" s="23">
        <f t="shared" si="30"/>
        <v>0</v>
      </c>
      <c r="BE72" s="23">
        <f t="shared" si="31"/>
        <v>0</v>
      </c>
      <c r="BF72" s="23">
        <f t="shared" si="32"/>
        <v>0</v>
      </c>
      <c r="BG72" s="23">
        <f t="shared" si="33"/>
        <v>0</v>
      </c>
      <c r="BH72" s="23">
        <f t="shared" si="13"/>
        <v>0</v>
      </c>
    </row>
    <row r="73" spans="2:60" ht="11.1" customHeight="1" x14ac:dyDescent="0.3">
      <c r="B73" s="19">
        <v>65</v>
      </c>
      <c r="C73" s="19">
        <f t="shared" si="34"/>
        <v>136</v>
      </c>
      <c r="F73" s="20">
        <f t="shared" si="35"/>
        <v>1</v>
      </c>
      <c r="G73" s="20">
        <f t="shared" si="36"/>
        <v>1</v>
      </c>
      <c r="H73" s="20">
        <f t="shared" si="37"/>
        <v>1</v>
      </c>
      <c r="I73" s="20">
        <f t="shared" si="38"/>
        <v>1</v>
      </c>
      <c r="M73" s="96">
        <f>0.5*(Lecanemab!L73+Lecanemab!L74)</f>
        <v>0</v>
      </c>
      <c r="N73" s="96">
        <f>0.5*(Lecanemab!M73+Lecanemab!M74)</f>
        <v>0</v>
      </c>
      <c r="O73" s="96">
        <f>0.5*(Lecanemab!N73+Lecanemab!N74)</f>
        <v>0</v>
      </c>
      <c r="P73" s="96">
        <f>0.5*(Lecanemab!O73+Lecanemab!O74)</f>
        <v>0</v>
      </c>
      <c r="Q73" s="96">
        <f>0.5*(Lecanemab!P73+Lecanemab!P74)</f>
        <v>0</v>
      </c>
      <c r="R73" s="96">
        <f>0.5*(Lecanemab!Q73+Lecanemab!Q74)</f>
        <v>0</v>
      </c>
      <c r="S73" s="96">
        <f>0.5*(Lecanemab!R73+Lecanemab!R74)</f>
        <v>0</v>
      </c>
      <c r="T73" s="96">
        <f>0.5*(Lecanemab!S73+Lecanemab!S74)</f>
        <v>0</v>
      </c>
      <c r="U73" s="96">
        <f>0.5*(Lecanemab!T73+Lecanemab!T74)</f>
        <v>0</v>
      </c>
      <c r="V73" s="96">
        <f>0.5*(Lecanemab!U73+Lecanemab!U74)</f>
        <v>0</v>
      </c>
      <c r="W73" s="96">
        <f>0.5*(Lecanemab!V73+Lecanemab!V74)</f>
        <v>0</v>
      </c>
      <c r="X73" s="96">
        <f>0.5*(Lecanemab!W73+Lecanemab!W74)</f>
        <v>0</v>
      </c>
      <c r="Y73" s="96">
        <f>0.5*(Lecanemab!X73+Lecanemab!X74)</f>
        <v>0</v>
      </c>
      <c r="Z73" s="96">
        <f>0.5*(Lecanemab!Y73+Lecanemab!Y74)</f>
        <v>0</v>
      </c>
      <c r="AA73" s="96">
        <f>0.5*(Lecanemab!Z73+Lecanemab!Z74)</f>
        <v>0</v>
      </c>
      <c r="AB73" s="96">
        <f>0.5*(Lecanemab!AA73+Lecanemab!AA74)</f>
        <v>0</v>
      </c>
      <c r="AC73" s="96">
        <f>0.5*(Lecanemab!AB73+Lecanemab!AB74)</f>
        <v>0</v>
      </c>
      <c r="AD73" s="96">
        <f>0.5*(Lecanemab!AC73+Lecanemab!AC74)</f>
        <v>0</v>
      </c>
      <c r="AE73" s="96">
        <f>0.5*(Lecanemab!AD73+Lecanemab!AD74)</f>
        <v>0</v>
      </c>
      <c r="AF73" s="96">
        <f>0.5*(Lecanemab!AE73+Lecanemab!AE74)</f>
        <v>0</v>
      </c>
      <c r="AH73" s="83">
        <f>SUM(M73:AF73)</f>
        <v>0</v>
      </c>
      <c r="AK73" s="19">
        <f>((M73+N73)*(c_lecanemab+c_administration))/(1+disc_rate_costs)^Alz_cycle</f>
        <v>0</v>
      </c>
      <c r="AL73" s="22">
        <f t="shared" si="39"/>
        <v>0</v>
      </c>
      <c r="AM73" s="22">
        <v>0</v>
      </c>
      <c r="AN73" s="22">
        <v>0</v>
      </c>
      <c r="AO73" s="22">
        <f>((O73+P73)*(c_lecanemab+c_administration))/(1+disc_rate_costs)^Alz_cycle</f>
        <v>0</v>
      </c>
      <c r="AP73" s="22">
        <f t="shared" si="40"/>
        <v>0</v>
      </c>
      <c r="AQ73" s="22">
        <v>0</v>
      </c>
      <c r="AR73" s="22">
        <v>0</v>
      </c>
      <c r="AS73" s="22">
        <f t="shared" si="41"/>
        <v>0</v>
      </c>
      <c r="AT73" s="22">
        <v>0</v>
      </c>
      <c r="AU73" s="22">
        <v>0</v>
      </c>
      <c r="AV73" s="22">
        <f t="shared" si="42"/>
        <v>0</v>
      </c>
      <c r="AW73" s="22">
        <v>0</v>
      </c>
      <c r="AX73" s="22">
        <v>0</v>
      </c>
      <c r="AY73" s="22">
        <v>0</v>
      </c>
      <c r="AZ73" s="22">
        <f>SUM(AK73:AY73)</f>
        <v>0</v>
      </c>
      <c r="BD73" s="23">
        <f t="shared" si="30"/>
        <v>0</v>
      </c>
      <c r="BE73" s="23">
        <f t="shared" si="31"/>
        <v>0</v>
      </c>
      <c r="BF73" s="23">
        <f t="shared" si="32"/>
        <v>0</v>
      </c>
      <c r="BG73" s="23">
        <f t="shared" si="33"/>
        <v>0</v>
      </c>
      <c r="BH73" s="23">
        <f>SUM(BD73:BG73)</f>
        <v>0</v>
      </c>
    </row>
    <row r="74" spans="2:60" ht="11.1" customHeight="1" x14ac:dyDescent="0.3">
      <c r="B74" s="19">
        <v>66</v>
      </c>
      <c r="C74" s="19">
        <f t="shared" si="34"/>
        <v>137</v>
      </c>
      <c r="F74" s="20">
        <f t="shared" si="35"/>
        <v>1</v>
      </c>
      <c r="G74" s="20">
        <f t="shared" si="36"/>
        <v>1</v>
      </c>
      <c r="H74" s="20">
        <f t="shared" si="37"/>
        <v>1</v>
      </c>
      <c r="I74" s="20">
        <f t="shared" si="38"/>
        <v>1</v>
      </c>
      <c r="M74" s="96">
        <f>0.5*(Lecanemab!L74+Lecanemab!L75)</f>
        <v>0</v>
      </c>
      <c r="N74" s="96">
        <f>0.5*(Lecanemab!M74+Lecanemab!M75)</f>
        <v>0</v>
      </c>
      <c r="O74" s="96">
        <f>0.5*(Lecanemab!N74+Lecanemab!N75)</f>
        <v>0</v>
      </c>
      <c r="P74" s="96">
        <f>0.5*(Lecanemab!O74+Lecanemab!O75)</f>
        <v>0</v>
      </c>
      <c r="Q74" s="96">
        <f>0.5*(Lecanemab!P74+Lecanemab!P75)</f>
        <v>0</v>
      </c>
      <c r="R74" s="96">
        <f>0.5*(Lecanemab!Q74+Lecanemab!Q75)</f>
        <v>0</v>
      </c>
      <c r="S74" s="96">
        <f>0.5*(Lecanemab!R74+Lecanemab!R75)</f>
        <v>0</v>
      </c>
      <c r="T74" s="96">
        <f>0.5*(Lecanemab!S74+Lecanemab!S75)</f>
        <v>0</v>
      </c>
      <c r="U74" s="96">
        <f>0.5*(Lecanemab!T74+Lecanemab!T75)</f>
        <v>0</v>
      </c>
      <c r="V74" s="96">
        <f>0.5*(Lecanemab!U74+Lecanemab!U75)</f>
        <v>0</v>
      </c>
      <c r="W74" s="96">
        <f>0.5*(Lecanemab!V74+Lecanemab!V75)</f>
        <v>0</v>
      </c>
      <c r="X74" s="96">
        <f>0.5*(Lecanemab!W74+Lecanemab!W75)</f>
        <v>0</v>
      </c>
      <c r="Y74" s="96">
        <f>0.5*(Lecanemab!X74+Lecanemab!X75)</f>
        <v>0</v>
      </c>
      <c r="Z74" s="96">
        <f>0.5*(Lecanemab!Y74+Lecanemab!Y75)</f>
        <v>0</v>
      </c>
      <c r="AA74" s="96">
        <f>0.5*(Lecanemab!Z74+Lecanemab!Z75)</f>
        <v>0</v>
      </c>
      <c r="AB74" s="96">
        <f>0.5*(Lecanemab!AA74+Lecanemab!AA75)</f>
        <v>0</v>
      </c>
      <c r="AC74" s="96">
        <f>0.5*(Lecanemab!AB74+Lecanemab!AB75)</f>
        <v>0</v>
      </c>
      <c r="AD74" s="96">
        <f>0.5*(Lecanemab!AC74+Lecanemab!AC75)</f>
        <v>0</v>
      </c>
      <c r="AE74" s="96">
        <f>0.5*(Lecanemab!AD74+Lecanemab!AD75)</f>
        <v>0</v>
      </c>
      <c r="AF74" s="96">
        <f>0.5*(Lecanemab!AE74+Lecanemab!AE75)</f>
        <v>0</v>
      </c>
      <c r="AH74" s="83">
        <f>SUM(M74:AF74)</f>
        <v>0</v>
      </c>
      <c r="AK74" s="19">
        <f>((M74+N74)*(c_lecanemab+c_administration))/(1+disc_rate_costs)^Alz_cycle</f>
        <v>0</v>
      </c>
      <c r="AL74" s="22">
        <f t="shared" si="39"/>
        <v>0</v>
      </c>
      <c r="AM74" s="22">
        <v>0</v>
      </c>
      <c r="AN74" s="22">
        <v>0</v>
      </c>
      <c r="AO74" s="22">
        <f>((O74+P74)*(c_lecanemab+c_administration))/(1+disc_rate_costs)^Alz_cycle</f>
        <v>0</v>
      </c>
      <c r="AP74" s="22">
        <f t="shared" si="40"/>
        <v>0</v>
      </c>
      <c r="AQ74" s="22">
        <v>0</v>
      </c>
      <c r="AR74" s="22">
        <v>0</v>
      </c>
      <c r="AS74" s="22">
        <f t="shared" si="41"/>
        <v>0</v>
      </c>
      <c r="AT74" s="22">
        <v>0</v>
      </c>
      <c r="AU74" s="22">
        <v>0</v>
      </c>
      <c r="AV74" s="22">
        <f t="shared" si="42"/>
        <v>0</v>
      </c>
      <c r="AW74" s="22">
        <v>0</v>
      </c>
      <c r="AX74" s="22">
        <v>0</v>
      </c>
      <c r="AY74" s="22">
        <v>0</v>
      </c>
      <c r="AZ74" s="22">
        <f>SUM(AK74:AY74)</f>
        <v>0</v>
      </c>
      <c r="BD74" s="23">
        <f t="shared" si="30"/>
        <v>0</v>
      </c>
      <c r="BE74" s="23">
        <f t="shared" si="31"/>
        <v>0</v>
      </c>
      <c r="BF74" s="23">
        <f t="shared" si="32"/>
        <v>0</v>
      </c>
      <c r="BG74" s="23">
        <f t="shared" si="33"/>
        <v>0</v>
      </c>
      <c r="BH74" s="23">
        <f>SUM(BD74:BG74)</f>
        <v>0</v>
      </c>
    </row>
    <row r="75" spans="2:60" ht="11.1" customHeight="1" x14ac:dyDescent="0.3">
      <c r="B75" s="19">
        <v>67</v>
      </c>
      <c r="C75" s="19">
        <f t="shared" si="34"/>
        <v>138</v>
      </c>
      <c r="F75" s="20">
        <f t="shared" si="35"/>
        <v>1</v>
      </c>
      <c r="G75" s="20">
        <f t="shared" si="36"/>
        <v>1</v>
      </c>
      <c r="H75" s="20">
        <f t="shared" si="37"/>
        <v>1</v>
      </c>
      <c r="I75" s="20">
        <f t="shared" si="38"/>
        <v>1</v>
      </c>
      <c r="M75" s="96">
        <f>0.5*(Lecanemab!L75+Lecanemab!L76)</f>
        <v>0</v>
      </c>
      <c r="N75" s="96">
        <f>0.5*(Lecanemab!M75+Lecanemab!M76)</f>
        <v>0</v>
      </c>
      <c r="O75" s="96">
        <f>0.5*(Lecanemab!N75+Lecanemab!N76)</f>
        <v>0</v>
      </c>
      <c r="P75" s="96">
        <f>0.5*(Lecanemab!O75+Lecanemab!O76)</f>
        <v>0</v>
      </c>
      <c r="Q75" s="96">
        <f>0.5*(Lecanemab!P75+Lecanemab!P76)</f>
        <v>0</v>
      </c>
      <c r="R75" s="96">
        <f>0.5*(Lecanemab!Q75+Lecanemab!Q76)</f>
        <v>0</v>
      </c>
      <c r="S75" s="96">
        <f>0.5*(Lecanemab!R75+Lecanemab!R76)</f>
        <v>0</v>
      </c>
      <c r="T75" s="96">
        <f>0.5*(Lecanemab!S75+Lecanemab!S76)</f>
        <v>0</v>
      </c>
      <c r="U75" s="96">
        <f>0.5*(Lecanemab!T75+Lecanemab!T76)</f>
        <v>0</v>
      </c>
      <c r="V75" s="96">
        <f>0.5*(Lecanemab!U75+Lecanemab!U76)</f>
        <v>0</v>
      </c>
      <c r="W75" s="96">
        <f>0.5*(Lecanemab!V75+Lecanemab!V76)</f>
        <v>0</v>
      </c>
      <c r="X75" s="96">
        <f>0.5*(Lecanemab!W75+Lecanemab!W76)</f>
        <v>0</v>
      </c>
      <c r="Y75" s="96">
        <f>0.5*(Lecanemab!X75+Lecanemab!X76)</f>
        <v>0</v>
      </c>
      <c r="Z75" s="96">
        <f>0.5*(Lecanemab!Y75+Lecanemab!Y76)</f>
        <v>0</v>
      </c>
      <c r="AA75" s="96">
        <f>0.5*(Lecanemab!Z75+Lecanemab!Z76)</f>
        <v>0</v>
      </c>
      <c r="AB75" s="96">
        <f>0.5*(Lecanemab!AA75+Lecanemab!AA76)</f>
        <v>0</v>
      </c>
      <c r="AC75" s="96">
        <f>0.5*(Lecanemab!AB75+Lecanemab!AB76)</f>
        <v>0</v>
      </c>
      <c r="AD75" s="96">
        <f>0.5*(Lecanemab!AC75+Lecanemab!AC76)</f>
        <v>0</v>
      </c>
      <c r="AE75" s="96">
        <f>0.5*(Lecanemab!AD75+Lecanemab!AD76)</f>
        <v>0</v>
      </c>
      <c r="AF75" s="96">
        <f>0.5*(Lecanemab!AE75+Lecanemab!AE76)</f>
        <v>0</v>
      </c>
      <c r="AH75" s="83">
        <f>SUM(M75:AF75)</f>
        <v>0</v>
      </c>
      <c r="AK75" s="19">
        <f>((M75+N75)*(c_lecanemab+c_administration))/(1+disc_rate_costs)^Alz_cycle</f>
        <v>0</v>
      </c>
      <c r="AL75" s="22">
        <f t="shared" si="39"/>
        <v>0</v>
      </c>
      <c r="AM75" s="22">
        <v>0</v>
      </c>
      <c r="AN75" s="22">
        <v>0</v>
      </c>
      <c r="AO75" s="22">
        <f>((O75+P75)*(c_lecanemab+c_administration))/(1+disc_rate_costs)^Alz_cycle</f>
        <v>0</v>
      </c>
      <c r="AP75" s="22">
        <f t="shared" si="40"/>
        <v>0</v>
      </c>
      <c r="AQ75" s="22">
        <v>0</v>
      </c>
      <c r="AR75" s="22">
        <v>0</v>
      </c>
      <c r="AS75" s="22">
        <f t="shared" si="41"/>
        <v>0</v>
      </c>
      <c r="AT75" s="22">
        <v>0</v>
      </c>
      <c r="AU75" s="22">
        <v>0</v>
      </c>
      <c r="AV75" s="22">
        <f t="shared" si="42"/>
        <v>0</v>
      </c>
      <c r="AW75" s="22">
        <v>0</v>
      </c>
      <c r="AX75" s="22">
        <v>0</v>
      </c>
      <c r="AY75" s="22">
        <v>0</v>
      </c>
      <c r="AZ75" s="22">
        <f>SUM(AK75:AY75)</f>
        <v>0</v>
      </c>
      <c r="BD75" s="23">
        <f t="shared" si="30"/>
        <v>0</v>
      </c>
      <c r="BE75" s="23">
        <f t="shared" si="31"/>
        <v>0</v>
      </c>
      <c r="BF75" s="23">
        <f t="shared" si="32"/>
        <v>0</v>
      </c>
      <c r="BG75" s="23">
        <f t="shared" si="33"/>
        <v>0</v>
      </c>
      <c r="BH75" s="23">
        <f>SUM(BD75:BG75)</f>
        <v>0</v>
      </c>
    </row>
    <row r="76" spans="2:60" ht="11.1" customHeight="1" x14ac:dyDescent="0.3">
      <c r="B76" s="19">
        <v>68</v>
      </c>
      <c r="C76" s="19">
        <f t="shared" si="34"/>
        <v>139</v>
      </c>
      <c r="F76" s="20">
        <f t="shared" si="35"/>
        <v>1</v>
      </c>
      <c r="G76" s="20">
        <f t="shared" si="36"/>
        <v>1</v>
      </c>
      <c r="H76" s="20">
        <f t="shared" si="37"/>
        <v>1</v>
      </c>
      <c r="I76" s="20">
        <f t="shared" si="38"/>
        <v>1</v>
      </c>
      <c r="M76" s="96">
        <f>0.5*(Lecanemab!L76+Lecanemab!L77)</f>
        <v>0</v>
      </c>
      <c r="N76" s="96">
        <f>0.5*(Lecanemab!M76+Lecanemab!M77)</f>
        <v>0</v>
      </c>
      <c r="O76" s="96">
        <f>0.5*(Lecanemab!N76+Lecanemab!N77)</f>
        <v>0</v>
      </c>
      <c r="P76" s="96">
        <f>0.5*(Lecanemab!O76+Lecanemab!O77)</f>
        <v>0</v>
      </c>
      <c r="Q76" s="96">
        <f>0.5*(Lecanemab!P76+Lecanemab!P77)</f>
        <v>0</v>
      </c>
      <c r="R76" s="96">
        <f>0.5*(Lecanemab!Q76+Lecanemab!Q77)</f>
        <v>0</v>
      </c>
      <c r="S76" s="96">
        <f>0.5*(Lecanemab!R76+Lecanemab!R77)</f>
        <v>0</v>
      </c>
      <c r="T76" s="96">
        <f>0.5*(Lecanemab!S76+Lecanemab!S77)</f>
        <v>0</v>
      </c>
      <c r="U76" s="96">
        <f>0.5*(Lecanemab!T76+Lecanemab!T77)</f>
        <v>0</v>
      </c>
      <c r="V76" s="96">
        <f>0.5*(Lecanemab!U76+Lecanemab!U77)</f>
        <v>0</v>
      </c>
      <c r="W76" s="96">
        <f>0.5*(Lecanemab!V76+Lecanemab!V77)</f>
        <v>0</v>
      </c>
      <c r="X76" s="96">
        <f>0.5*(Lecanemab!W76+Lecanemab!W77)</f>
        <v>0</v>
      </c>
      <c r="Y76" s="96">
        <f>0.5*(Lecanemab!X76+Lecanemab!X77)</f>
        <v>0</v>
      </c>
      <c r="Z76" s="96">
        <f>0.5*(Lecanemab!Y76+Lecanemab!Y77)</f>
        <v>0</v>
      </c>
      <c r="AA76" s="96">
        <f>0.5*(Lecanemab!Z76+Lecanemab!Z77)</f>
        <v>0</v>
      </c>
      <c r="AB76" s="96">
        <f>0.5*(Lecanemab!AA76+Lecanemab!AA77)</f>
        <v>0</v>
      </c>
      <c r="AC76" s="96">
        <f>0.5*(Lecanemab!AB76+Lecanemab!AB77)</f>
        <v>0</v>
      </c>
      <c r="AD76" s="96">
        <f>0.5*(Lecanemab!AC76+Lecanemab!AC77)</f>
        <v>0</v>
      </c>
      <c r="AE76" s="96">
        <f>0.5*(Lecanemab!AD76+Lecanemab!AD77)</f>
        <v>0</v>
      </c>
      <c r="AF76" s="96">
        <f>0.5*(Lecanemab!AE76+Lecanemab!AE77)</f>
        <v>0</v>
      </c>
      <c r="AH76" s="83">
        <f>SUM(M76:AF76)</f>
        <v>0</v>
      </c>
      <c r="AK76" s="19">
        <f>((M76+N76)*(c_lecanemab+c_administration))/(1+disc_rate_costs)^Alz_cycle</f>
        <v>0</v>
      </c>
      <c r="AL76" s="22">
        <f t="shared" si="39"/>
        <v>0</v>
      </c>
      <c r="AM76" s="22">
        <v>0</v>
      </c>
      <c r="AN76" s="22">
        <v>0</v>
      </c>
      <c r="AO76" s="22">
        <f>((O76+P76)*(c_lecanemab+c_administration))/(1+disc_rate_costs)^Alz_cycle</f>
        <v>0</v>
      </c>
      <c r="AP76" s="22">
        <f t="shared" si="40"/>
        <v>0</v>
      </c>
      <c r="AQ76" s="22">
        <v>0</v>
      </c>
      <c r="AR76" s="22">
        <v>0</v>
      </c>
      <c r="AS76" s="22">
        <f t="shared" si="41"/>
        <v>0</v>
      </c>
      <c r="AT76" s="22">
        <v>0</v>
      </c>
      <c r="AU76" s="22">
        <v>0</v>
      </c>
      <c r="AV76" s="22">
        <f t="shared" si="42"/>
        <v>0</v>
      </c>
      <c r="AW76" s="22">
        <v>0</v>
      </c>
      <c r="AX76" s="22">
        <v>0</v>
      </c>
      <c r="AY76" s="22">
        <v>0</v>
      </c>
      <c r="AZ76" s="22">
        <f>SUM(AK76:AY76)</f>
        <v>0</v>
      </c>
      <c r="BD76" s="23">
        <f t="shared" si="30"/>
        <v>0</v>
      </c>
      <c r="BE76" s="23">
        <f t="shared" si="31"/>
        <v>0</v>
      </c>
      <c r="BF76" s="23">
        <f t="shared" si="32"/>
        <v>0</v>
      </c>
      <c r="BG76" s="23">
        <f t="shared" si="33"/>
        <v>0</v>
      </c>
      <c r="BH76" s="23">
        <f>SUM(BD76:BG76)</f>
        <v>0</v>
      </c>
    </row>
    <row r="77" spans="2:60" ht="11.1" customHeight="1" x14ac:dyDescent="0.3">
      <c r="B77" s="19">
        <v>69</v>
      </c>
      <c r="C77" s="19">
        <f t="shared" si="34"/>
        <v>140</v>
      </c>
      <c r="F77" s="20">
        <f t="shared" si="35"/>
        <v>1</v>
      </c>
      <c r="G77" s="20">
        <f t="shared" si="36"/>
        <v>1</v>
      </c>
      <c r="H77" s="20">
        <f t="shared" si="37"/>
        <v>1</v>
      </c>
      <c r="I77" s="20">
        <f t="shared" si="38"/>
        <v>1</v>
      </c>
      <c r="M77" s="96">
        <f>0.5*(Lecanemab!L77+Lecanemab!L78)</f>
        <v>0</v>
      </c>
      <c r="N77" s="96">
        <f>0.5*(Lecanemab!M77+Lecanemab!M78)</f>
        <v>0</v>
      </c>
      <c r="O77" s="96">
        <f>0.5*(Lecanemab!N77+Lecanemab!N78)</f>
        <v>0</v>
      </c>
      <c r="P77" s="96">
        <f>0.5*(Lecanemab!O77+Lecanemab!O78)</f>
        <v>0</v>
      </c>
      <c r="Q77" s="96">
        <f>0.5*(Lecanemab!P77+Lecanemab!P78)</f>
        <v>0</v>
      </c>
      <c r="R77" s="96">
        <f>0.5*(Lecanemab!Q77+Lecanemab!Q78)</f>
        <v>0</v>
      </c>
      <c r="S77" s="96">
        <f>0.5*(Lecanemab!R77+Lecanemab!R78)</f>
        <v>0</v>
      </c>
      <c r="T77" s="96">
        <f>0.5*(Lecanemab!S77+Lecanemab!S78)</f>
        <v>0</v>
      </c>
      <c r="U77" s="96">
        <f>0.5*(Lecanemab!T77+Lecanemab!T78)</f>
        <v>0</v>
      </c>
      <c r="V77" s="96">
        <f>0.5*(Lecanemab!U77+Lecanemab!U78)</f>
        <v>0</v>
      </c>
      <c r="W77" s="96">
        <f>0.5*(Lecanemab!V77+Lecanemab!V78)</f>
        <v>0</v>
      </c>
      <c r="X77" s="96">
        <f>0.5*(Lecanemab!W77+Lecanemab!W78)</f>
        <v>0</v>
      </c>
      <c r="Y77" s="96">
        <f>0.5*(Lecanemab!X77+Lecanemab!X78)</f>
        <v>0</v>
      </c>
      <c r="Z77" s="96">
        <f>0.5*(Lecanemab!Y77+Lecanemab!Y78)</f>
        <v>0</v>
      </c>
      <c r="AA77" s="96">
        <f>0.5*(Lecanemab!Z77+Lecanemab!Z78)</f>
        <v>0</v>
      </c>
      <c r="AB77" s="96">
        <f>0.5*(Lecanemab!AA77+Lecanemab!AA78)</f>
        <v>0</v>
      </c>
      <c r="AC77" s="96">
        <f>0.5*(Lecanemab!AB77+Lecanemab!AB78)</f>
        <v>0</v>
      </c>
      <c r="AD77" s="96">
        <f>0.5*(Lecanemab!AC77+Lecanemab!AC78)</f>
        <v>0</v>
      </c>
      <c r="AE77" s="96">
        <f>0.5*(Lecanemab!AD77+Lecanemab!AD78)</f>
        <v>0</v>
      </c>
      <c r="AF77" s="96">
        <f>0.5*(Lecanemab!AE77+Lecanemab!AE78)</f>
        <v>0</v>
      </c>
      <c r="AH77" s="83">
        <f>SUM(M77:AF77)</f>
        <v>0</v>
      </c>
      <c r="AK77" s="19">
        <f>((M77+N77)*(c_lecanemab+c_administration))/(1+disc_rate_costs)^Alz_cycle</f>
        <v>0</v>
      </c>
      <c r="AL77" s="22">
        <f t="shared" si="39"/>
        <v>0</v>
      </c>
      <c r="AM77" s="22">
        <v>0</v>
      </c>
      <c r="AN77" s="22">
        <v>0</v>
      </c>
      <c r="AO77" s="22">
        <f>((O77+P77)*(c_lecanemab+c_administration))/(1+disc_rate_costs)^Alz_cycle</f>
        <v>0</v>
      </c>
      <c r="AP77" s="22">
        <f t="shared" si="40"/>
        <v>0</v>
      </c>
      <c r="AQ77" s="22">
        <v>0</v>
      </c>
      <c r="AR77" s="22">
        <v>0</v>
      </c>
      <c r="AS77" s="22">
        <f t="shared" si="41"/>
        <v>0</v>
      </c>
      <c r="AT77" s="22">
        <v>0</v>
      </c>
      <c r="AU77" s="22">
        <v>0</v>
      </c>
      <c r="AV77" s="22">
        <f t="shared" si="42"/>
        <v>0</v>
      </c>
      <c r="AW77" s="22">
        <v>0</v>
      </c>
      <c r="AX77" s="22">
        <v>0</v>
      </c>
      <c r="AY77" s="22">
        <v>0</v>
      </c>
      <c r="AZ77" s="22">
        <f>SUM(AK77:AY77)</f>
        <v>0</v>
      </c>
      <c r="BD77" s="23">
        <f t="shared" si="30"/>
        <v>0</v>
      </c>
      <c r="BE77" s="23">
        <f t="shared" si="31"/>
        <v>0</v>
      </c>
      <c r="BF77" s="23">
        <f t="shared" si="32"/>
        <v>0</v>
      </c>
      <c r="BG77" s="23">
        <f t="shared" si="33"/>
        <v>0</v>
      </c>
      <c r="BH77" s="23">
        <f>SUM(BD77:BG77)</f>
        <v>0</v>
      </c>
    </row>
    <row r="83" spans="29:29" ht="11.1" customHeight="1" x14ac:dyDescent="0.4">
      <c r="AC83" s="83"/>
    </row>
    <row r="84" spans="29:29" ht="11.1" customHeight="1" x14ac:dyDescent="0.4">
      <c r="AC84" s="83"/>
    </row>
  </sheetData>
  <mergeCells count="17">
    <mergeCell ref="S5:T5"/>
    <mergeCell ref="U5:V5"/>
    <mergeCell ref="W5:X5"/>
    <mergeCell ref="AS4:AU4"/>
    <mergeCell ref="AV4:AX4"/>
    <mergeCell ref="F5:I5"/>
    <mergeCell ref="M4:V4"/>
    <mergeCell ref="W4:AF4"/>
    <mergeCell ref="AK4:AN4"/>
    <mergeCell ref="AO4:AR4"/>
    <mergeCell ref="Y5:Z5"/>
    <mergeCell ref="AA5:AB5"/>
    <mergeCell ref="AC5:AD5"/>
    <mergeCell ref="AE5:AF5"/>
    <mergeCell ref="M5:N5"/>
    <mergeCell ref="O5:P5"/>
    <mergeCell ref="Q5:R5"/>
  </mergeCells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9"/>
  <dimension ref="A1:O1007"/>
  <sheetViews>
    <sheetView topLeftCell="A2" zoomScale="70" zoomScaleNormal="70" workbookViewId="0">
      <selection activeCell="U86" sqref="U86:U87"/>
    </sheetView>
  </sheetViews>
  <sheetFormatPr defaultColWidth="9.09765625" defaultRowHeight="11.1" customHeight="1" x14ac:dyDescent="0.3"/>
  <cols>
    <col min="1" max="8" width="9.09765625" style="4"/>
    <col min="9" max="9" width="10.59765625" style="4" bestFit="1" customWidth="1"/>
    <col min="10" max="11" width="9.09765625" style="4"/>
    <col min="12" max="12" width="14" style="4" bestFit="1" customWidth="1"/>
    <col min="13" max="13" width="10.09765625" style="4" bestFit="1" customWidth="1"/>
    <col min="14" max="16384" width="9.09765625" style="4"/>
  </cols>
  <sheetData>
    <row r="1" spans="1:15" s="1" customFormat="1" ht="11.1" customHeight="1" x14ac:dyDescent="0.3">
      <c r="A1" s="12">
        <v>1</v>
      </c>
      <c r="B1" s="12">
        <v>2</v>
      </c>
      <c r="C1" s="12">
        <v>3</v>
      </c>
      <c r="D1" s="12">
        <v>4</v>
      </c>
      <c r="E1" s="12">
        <v>5</v>
      </c>
      <c r="F1" s="12">
        <v>6</v>
      </c>
      <c r="G1" s="12">
        <v>7</v>
      </c>
      <c r="H1" s="12">
        <v>8</v>
      </c>
      <c r="I1" s="12"/>
      <c r="J1" s="12">
        <v>9</v>
      </c>
      <c r="K1" s="12"/>
      <c r="L1" s="12">
        <v>10</v>
      </c>
      <c r="M1" s="12">
        <v>11</v>
      </c>
      <c r="N1" s="12">
        <v>12</v>
      </c>
      <c r="O1" s="12">
        <v>13</v>
      </c>
    </row>
    <row r="2" spans="1:15" s="1" customFormat="1" ht="11.1" customHeight="1" x14ac:dyDescent="0.3"/>
    <row r="3" spans="1:15" s="1" customFormat="1" ht="11.1" customHeight="1" x14ac:dyDescent="0.3">
      <c r="N3" s="71" t="s">
        <v>77</v>
      </c>
      <c r="O3" s="72">
        <v>1</v>
      </c>
    </row>
    <row r="4" spans="1:15" s="1" customFormat="1" ht="11.1" customHeight="1" x14ac:dyDescent="0.3"/>
    <row r="5" spans="1:15" s="1" customFormat="1" ht="11.1" customHeight="1" x14ac:dyDescent="0.3">
      <c r="C5" s="292" t="s">
        <v>307</v>
      </c>
      <c r="D5" s="292"/>
      <c r="E5" s="292" t="s">
        <v>308</v>
      </c>
      <c r="F5" s="292"/>
      <c r="G5" s="292" t="s">
        <v>78</v>
      </c>
      <c r="H5" s="292"/>
      <c r="I5" s="3"/>
      <c r="L5" s="135"/>
      <c r="M5" s="293" t="s">
        <v>344</v>
      </c>
      <c r="N5" s="294"/>
    </row>
    <row r="6" spans="1:15" s="1" customFormat="1" ht="11.1" customHeight="1" x14ac:dyDescent="0.3">
      <c r="B6" s="74" t="s">
        <v>79</v>
      </c>
      <c r="C6" s="73" t="s">
        <v>80</v>
      </c>
      <c r="D6" s="73" t="s">
        <v>28</v>
      </c>
      <c r="E6" s="73" t="s">
        <v>80</v>
      </c>
      <c r="F6" s="73" t="s">
        <v>28</v>
      </c>
      <c r="G6" s="73" t="s">
        <v>80</v>
      </c>
      <c r="H6" s="73" t="s">
        <v>28</v>
      </c>
      <c r="I6" s="73" t="s">
        <v>343</v>
      </c>
      <c r="J6" s="73" t="s">
        <v>336</v>
      </c>
      <c r="L6" s="73" t="s">
        <v>340</v>
      </c>
      <c r="M6" s="73" t="s">
        <v>341</v>
      </c>
      <c r="N6" s="73" t="s">
        <v>342</v>
      </c>
    </row>
    <row r="8" spans="1:15" ht="11.1" customHeight="1" x14ac:dyDescent="0.3">
      <c r="B8" s="19">
        <v>1</v>
      </c>
      <c r="C8" s="22">
        <v>201216923.58869237</v>
      </c>
      <c r="D8" s="23">
        <v>2.1292499144992689</v>
      </c>
      <c r="E8" s="22">
        <v>118279883.95855841</v>
      </c>
      <c r="F8" s="23">
        <v>1.6692495956459159</v>
      </c>
      <c r="G8" s="22">
        <v>82937039.630133957</v>
      </c>
      <c r="H8" s="23">
        <v>0.46000031885335302</v>
      </c>
      <c r="I8" s="23">
        <f>G8/H8</f>
        <v>180297787.26430422</v>
      </c>
      <c r="J8" s="4">
        <f t="shared" ref="J8:J71" si="0">threshold*H8</f>
        <v>13800009.565600591</v>
      </c>
      <c r="L8" s="22">
        <v>10000000</v>
      </c>
      <c r="M8" s="134">
        <f>COUNTIF($I$8:$I$1007,"&lt;"&amp;L8)/1000</f>
        <v>0</v>
      </c>
      <c r="N8" s="134">
        <f>1-M8</f>
        <v>1</v>
      </c>
    </row>
    <row r="9" spans="1:15" ht="11.1" customHeight="1" x14ac:dyDescent="0.3">
      <c r="B9" s="19">
        <v>2</v>
      </c>
      <c r="C9" s="22">
        <v>199982483.79932916</v>
      </c>
      <c r="D9" s="23">
        <v>2.3003162097914887</v>
      </c>
      <c r="E9" s="22">
        <v>117082291.16628619</v>
      </c>
      <c r="F9" s="23">
        <v>1.8207992764149379</v>
      </c>
      <c r="G9" s="22">
        <v>82900192.633042976</v>
      </c>
      <c r="H9" s="23">
        <v>0.47951693337655077</v>
      </c>
      <c r="I9" s="23">
        <f t="shared" ref="I9:I72" si="1">G9/H9</f>
        <v>172882721.88699508</v>
      </c>
      <c r="J9" s="4">
        <f t="shared" si="0"/>
        <v>14385508.001296524</v>
      </c>
      <c r="L9" s="22">
        <v>15000000</v>
      </c>
      <c r="M9" s="134">
        <f t="shared" ref="M9:M72" si="2">COUNTIF($I$8:$I$1007,"&lt;"&amp;L9)/1000</f>
        <v>0</v>
      </c>
      <c r="N9" s="134">
        <f t="shared" ref="N9:N72" si="3">1-M9</f>
        <v>1</v>
      </c>
    </row>
    <row r="10" spans="1:15" ht="11.1" customHeight="1" x14ac:dyDescent="0.3">
      <c r="B10" s="19">
        <v>3</v>
      </c>
      <c r="C10" s="22">
        <v>201139536.76721233</v>
      </c>
      <c r="D10" s="23">
        <v>2.3547182089393788</v>
      </c>
      <c r="E10" s="22">
        <v>118225054.89707887</v>
      </c>
      <c r="F10" s="23">
        <v>1.879479245876569</v>
      </c>
      <c r="G10" s="22">
        <v>82914481.87013346</v>
      </c>
      <c r="H10" s="23">
        <v>0.47523896306280977</v>
      </c>
      <c r="I10" s="23">
        <f t="shared" si="1"/>
        <v>174469032.03341746</v>
      </c>
      <c r="J10" s="4">
        <f t="shared" si="0"/>
        <v>14257168.891884293</v>
      </c>
      <c r="L10" s="22">
        <v>20000000</v>
      </c>
      <c r="M10" s="134">
        <f t="shared" si="2"/>
        <v>0</v>
      </c>
      <c r="N10" s="134">
        <f t="shared" si="3"/>
        <v>1</v>
      </c>
    </row>
    <row r="11" spans="1:15" ht="11.1" customHeight="1" x14ac:dyDescent="0.3">
      <c r="B11" s="19">
        <v>4</v>
      </c>
      <c r="C11" s="22">
        <v>201109718.20344061</v>
      </c>
      <c r="D11" s="23">
        <v>1.9173715372124944</v>
      </c>
      <c r="E11" s="22">
        <v>117166239.77754405</v>
      </c>
      <c r="F11" s="23">
        <v>1.4676798469842889</v>
      </c>
      <c r="G11" s="22">
        <v>83943478.425896555</v>
      </c>
      <c r="H11" s="23">
        <v>0.44969169022820554</v>
      </c>
      <c r="I11" s="23">
        <f t="shared" si="1"/>
        <v>186668956.19818473</v>
      </c>
      <c r="J11" s="4">
        <f t="shared" si="0"/>
        <v>13490750.706846166</v>
      </c>
      <c r="L11" s="22">
        <v>25000000</v>
      </c>
      <c r="M11" s="134">
        <f t="shared" si="2"/>
        <v>0</v>
      </c>
      <c r="N11" s="134">
        <f t="shared" si="3"/>
        <v>1</v>
      </c>
    </row>
    <row r="12" spans="1:15" ht="11.1" customHeight="1" x14ac:dyDescent="0.3">
      <c r="B12" s="19">
        <v>5</v>
      </c>
      <c r="C12" s="22">
        <v>204401571.27060917</v>
      </c>
      <c r="D12" s="23">
        <v>1.8923034138460815</v>
      </c>
      <c r="E12" s="22">
        <v>121370345.83541556</v>
      </c>
      <c r="F12" s="23">
        <v>1.4464155141073269</v>
      </c>
      <c r="G12" s="22">
        <v>83031225.435193613</v>
      </c>
      <c r="H12" s="23">
        <v>0.44588789973875453</v>
      </c>
      <c r="I12" s="23">
        <f t="shared" si="1"/>
        <v>186215471.38606265</v>
      </c>
      <c r="J12" s="4">
        <f t="shared" si="0"/>
        <v>13376636.992162636</v>
      </c>
      <c r="L12" s="22">
        <v>30000000</v>
      </c>
      <c r="M12" s="134">
        <f t="shared" si="2"/>
        <v>0</v>
      </c>
      <c r="N12" s="134">
        <f t="shared" si="3"/>
        <v>1</v>
      </c>
    </row>
    <row r="13" spans="1:15" ht="11.1" customHeight="1" x14ac:dyDescent="0.3">
      <c r="B13" s="19">
        <v>6</v>
      </c>
      <c r="C13" s="22">
        <v>199670245.01179823</v>
      </c>
      <c r="D13" s="23">
        <v>2.2996448722354876</v>
      </c>
      <c r="E13" s="22">
        <v>116444762.96788473</v>
      </c>
      <c r="F13" s="23">
        <v>1.8205800217515051</v>
      </c>
      <c r="G13" s="22">
        <v>83225482.043913499</v>
      </c>
      <c r="H13" s="23">
        <v>0.47906485048398251</v>
      </c>
      <c r="I13" s="23">
        <f t="shared" si="1"/>
        <v>173724876.62126264</v>
      </c>
      <c r="J13" s="4">
        <f t="shared" si="0"/>
        <v>14371945.514519475</v>
      </c>
      <c r="L13" s="22">
        <v>35000000</v>
      </c>
      <c r="M13" s="134">
        <f t="shared" si="2"/>
        <v>0</v>
      </c>
      <c r="N13" s="134">
        <f t="shared" si="3"/>
        <v>1</v>
      </c>
    </row>
    <row r="14" spans="1:15" ht="11.1" customHeight="1" x14ac:dyDescent="0.3">
      <c r="B14" s="19">
        <v>7</v>
      </c>
      <c r="C14" s="22">
        <v>201951685.05302399</v>
      </c>
      <c r="D14" s="23">
        <v>2.1129299871152174</v>
      </c>
      <c r="E14" s="22">
        <v>118755596.876545</v>
      </c>
      <c r="F14" s="23">
        <v>1.6238242493383508</v>
      </c>
      <c r="G14" s="22">
        <v>83196088.176478997</v>
      </c>
      <c r="H14" s="23">
        <v>0.48910573777686661</v>
      </c>
      <c r="I14" s="23">
        <f t="shared" si="1"/>
        <v>170098368.82026851</v>
      </c>
      <c r="J14" s="4">
        <f t="shared" si="0"/>
        <v>14673172.133305999</v>
      </c>
      <c r="L14" s="22">
        <v>40000000</v>
      </c>
      <c r="M14" s="134">
        <f t="shared" si="2"/>
        <v>0</v>
      </c>
      <c r="N14" s="134">
        <f t="shared" si="3"/>
        <v>1</v>
      </c>
    </row>
    <row r="15" spans="1:15" ht="11.1" customHeight="1" x14ac:dyDescent="0.3">
      <c r="B15" s="19">
        <v>8</v>
      </c>
      <c r="C15" s="22">
        <v>202231343.86612695</v>
      </c>
      <c r="D15" s="23">
        <v>1.6701314206937758</v>
      </c>
      <c r="E15" s="22">
        <v>119491741.13409418</v>
      </c>
      <c r="F15" s="23">
        <v>1.248370647122435</v>
      </c>
      <c r="G15" s="22">
        <v>82739602.732032776</v>
      </c>
      <c r="H15" s="23">
        <v>0.4217607735713409</v>
      </c>
      <c r="I15" s="23">
        <f t="shared" si="1"/>
        <v>196176619.34612647</v>
      </c>
      <c r="J15" s="4">
        <f t="shared" si="0"/>
        <v>12652823.207140228</v>
      </c>
      <c r="L15" s="22">
        <v>45000000</v>
      </c>
      <c r="M15" s="134">
        <f t="shared" si="2"/>
        <v>0</v>
      </c>
      <c r="N15" s="134">
        <f t="shared" si="3"/>
        <v>1</v>
      </c>
    </row>
    <row r="16" spans="1:15" ht="11.1" customHeight="1" x14ac:dyDescent="0.3">
      <c r="B16" s="19">
        <v>9</v>
      </c>
      <c r="C16" s="22">
        <v>204011940.47441751</v>
      </c>
      <c r="D16" s="23">
        <v>2.1717469381616104</v>
      </c>
      <c r="E16" s="22">
        <v>120840879.21680111</v>
      </c>
      <c r="F16" s="23">
        <v>1.6774298435029851</v>
      </c>
      <c r="G16" s="22">
        <v>83171061.257616401</v>
      </c>
      <c r="H16" s="23">
        <v>0.49431709465862528</v>
      </c>
      <c r="I16" s="23">
        <f t="shared" si="1"/>
        <v>168254470.9789052</v>
      </c>
      <c r="J16" s="4">
        <f t="shared" si="0"/>
        <v>14829512.839758758</v>
      </c>
      <c r="L16" s="22">
        <v>50000000</v>
      </c>
      <c r="M16" s="134">
        <f t="shared" si="2"/>
        <v>0</v>
      </c>
      <c r="N16" s="134">
        <f t="shared" si="3"/>
        <v>1</v>
      </c>
    </row>
    <row r="17" spans="2:14" ht="11.1" customHeight="1" x14ac:dyDescent="0.3">
      <c r="B17" s="19">
        <v>10</v>
      </c>
      <c r="C17" s="22">
        <v>199837338.41850448</v>
      </c>
      <c r="D17" s="23">
        <v>2.3810260168726276</v>
      </c>
      <c r="E17" s="22">
        <v>117138888.10308495</v>
      </c>
      <c r="F17" s="23">
        <v>1.9485111145294702</v>
      </c>
      <c r="G17" s="22">
        <v>82698450.315419525</v>
      </c>
      <c r="H17" s="23">
        <v>0.43251490234315737</v>
      </c>
      <c r="I17" s="23">
        <f t="shared" si="1"/>
        <v>191203701.57744661</v>
      </c>
      <c r="J17" s="4">
        <f t="shared" si="0"/>
        <v>12975447.070294721</v>
      </c>
      <c r="L17" s="22">
        <v>55000000</v>
      </c>
      <c r="M17" s="134">
        <f t="shared" si="2"/>
        <v>0</v>
      </c>
      <c r="N17" s="134">
        <f t="shared" si="3"/>
        <v>1</v>
      </c>
    </row>
    <row r="18" spans="2:14" ht="11.1" customHeight="1" x14ac:dyDescent="0.3">
      <c r="B18" s="19">
        <v>11</v>
      </c>
      <c r="C18" s="22">
        <v>197566047.43121481</v>
      </c>
      <c r="D18" s="23">
        <v>2.1358677015568981</v>
      </c>
      <c r="E18" s="22">
        <v>114762281.20598111</v>
      </c>
      <c r="F18" s="23">
        <v>1.7071326842984789</v>
      </c>
      <c r="G18" s="22">
        <v>82803766.225233704</v>
      </c>
      <c r="H18" s="23">
        <v>0.42873501725841923</v>
      </c>
      <c r="I18" s="23">
        <f t="shared" si="1"/>
        <v>193135066.86421159</v>
      </c>
      <c r="J18" s="4">
        <f t="shared" si="0"/>
        <v>12862050.517752577</v>
      </c>
      <c r="L18" s="22">
        <v>60000000</v>
      </c>
      <c r="M18" s="134">
        <f t="shared" si="2"/>
        <v>0</v>
      </c>
      <c r="N18" s="134">
        <f t="shared" si="3"/>
        <v>1</v>
      </c>
    </row>
    <row r="19" spans="2:14" ht="11.1" customHeight="1" x14ac:dyDescent="0.3">
      <c r="B19" s="19">
        <v>12</v>
      </c>
      <c r="C19" s="22">
        <v>202416631.63847205</v>
      </c>
      <c r="D19" s="23">
        <v>2.1516613168524978</v>
      </c>
      <c r="E19" s="22">
        <v>119124016.5990461</v>
      </c>
      <c r="F19" s="23">
        <v>1.7058410084390587</v>
      </c>
      <c r="G19" s="22">
        <v>83292615.039425954</v>
      </c>
      <c r="H19" s="23">
        <v>0.44582030841343911</v>
      </c>
      <c r="I19" s="23">
        <f t="shared" si="1"/>
        <v>186830015.29437533</v>
      </c>
      <c r="J19" s="4">
        <f t="shared" si="0"/>
        <v>13374609.252403174</v>
      </c>
      <c r="L19" s="22">
        <v>65000000</v>
      </c>
      <c r="M19" s="134">
        <f t="shared" si="2"/>
        <v>0</v>
      </c>
      <c r="N19" s="134">
        <f t="shared" si="3"/>
        <v>1</v>
      </c>
    </row>
    <row r="20" spans="2:14" ht="11.1" customHeight="1" x14ac:dyDescent="0.3">
      <c r="B20" s="19">
        <v>13</v>
      </c>
      <c r="C20" s="22">
        <v>204503838.6781792</v>
      </c>
      <c r="D20" s="23">
        <v>2.2002654175817593</v>
      </c>
      <c r="E20" s="22">
        <v>121451700.90695055</v>
      </c>
      <c r="F20" s="23">
        <v>1.7073147521734422</v>
      </c>
      <c r="G20" s="22">
        <v>83052137.771228656</v>
      </c>
      <c r="H20" s="23">
        <v>0.49295066540831711</v>
      </c>
      <c r="I20" s="23">
        <f t="shared" si="1"/>
        <v>168479613.88273114</v>
      </c>
      <c r="J20" s="4">
        <f t="shared" si="0"/>
        <v>14788519.962249514</v>
      </c>
      <c r="L20" s="22">
        <v>70000000</v>
      </c>
      <c r="M20" s="134">
        <f t="shared" si="2"/>
        <v>0</v>
      </c>
      <c r="N20" s="134">
        <f t="shared" si="3"/>
        <v>1</v>
      </c>
    </row>
    <row r="21" spans="2:14" ht="11.1" customHeight="1" x14ac:dyDescent="0.3">
      <c r="B21" s="19">
        <v>14</v>
      </c>
      <c r="C21" s="22">
        <v>201080973.25935662</v>
      </c>
      <c r="D21" s="23">
        <v>1.7679049881355475</v>
      </c>
      <c r="E21" s="22">
        <v>117980396.28773622</v>
      </c>
      <c r="F21" s="23">
        <v>1.3553003565335684</v>
      </c>
      <c r="G21" s="22">
        <v>83100576.971620396</v>
      </c>
      <c r="H21" s="23">
        <v>0.41260463160197913</v>
      </c>
      <c r="I21" s="23">
        <f t="shared" si="1"/>
        <v>201404857.35454306</v>
      </c>
      <c r="J21" s="4">
        <f t="shared" si="0"/>
        <v>12378138.948059374</v>
      </c>
      <c r="L21" s="22">
        <v>75000000</v>
      </c>
      <c r="M21" s="134">
        <f t="shared" si="2"/>
        <v>0</v>
      </c>
      <c r="N21" s="134">
        <f t="shared" si="3"/>
        <v>1</v>
      </c>
    </row>
    <row r="22" spans="2:14" ht="11.1" customHeight="1" x14ac:dyDescent="0.3">
      <c r="B22" s="19">
        <v>15</v>
      </c>
      <c r="C22" s="22">
        <v>202926162.99057302</v>
      </c>
      <c r="D22" s="23">
        <v>2.4282803433383169</v>
      </c>
      <c r="E22" s="22">
        <v>120192452.42516187</v>
      </c>
      <c r="F22" s="23">
        <v>1.9200735607801263</v>
      </c>
      <c r="G22" s="22">
        <v>82733710.56541115</v>
      </c>
      <c r="H22" s="23">
        <v>0.50820678255819063</v>
      </c>
      <c r="I22" s="23">
        <f t="shared" si="1"/>
        <v>162795368.74527642</v>
      </c>
      <c r="J22" s="4">
        <f t="shared" si="0"/>
        <v>15246203.476745719</v>
      </c>
      <c r="L22" s="22">
        <v>80000000</v>
      </c>
      <c r="M22" s="134">
        <f t="shared" si="2"/>
        <v>0</v>
      </c>
      <c r="N22" s="134">
        <f t="shared" si="3"/>
        <v>1</v>
      </c>
    </row>
    <row r="23" spans="2:14" ht="11.1" customHeight="1" x14ac:dyDescent="0.3">
      <c r="B23" s="19">
        <v>16</v>
      </c>
      <c r="C23" s="22">
        <v>205060535.38076571</v>
      </c>
      <c r="D23" s="23">
        <v>1.953538598699518</v>
      </c>
      <c r="E23" s="22">
        <v>122594834.65820594</v>
      </c>
      <c r="F23" s="23">
        <v>1.4931427802789963</v>
      </c>
      <c r="G23" s="22">
        <v>82465700.722559765</v>
      </c>
      <c r="H23" s="23">
        <v>0.46039581842052169</v>
      </c>
      <c r="I23" s="23">
        <f t="shared" si="1"/>
        <v>179119134.93366328</v>
      </c>
      <c r="J23" s="4">
        <f t="shared" si="0"/>
        <v>13811874.55261565</v>
      </c>
      <c r="L23" s="22">
        <v>85000000</v>
      </c>
      <c r="M23" s="134">
        <f t="shared" si="2"/>
        <v>0</v>
      </c>
      <c r="N23" s="134">
        <f t="shared" si="3"/>
        <v>1</v>
      </c>
    </row>
    <row r="24" spans="2:14" ht="11.1" customHeight="1" x14ac:dyDescent="0.3">
      <c r="B24" s="19">
        <v>17</v>
      </c>
      <c r="C24" s="22">
        <v>200821560.2817277</v>
      </c>
      <c r="D24" s="23">
        <v>2.2112432942276059</v>
      </c>
      <c r="E24" s="22">
        <v>117747986.16441219</v>
      </c>
      <c r="F24" s="23">
        <v>1.7368614501973449</v>
      </c>
      <c r="G24" s="22">
        <v>83073574.117315516</v>
      </c>
      <c r="H24" s="23">
        <v>0.47438184403026096</v>
      </c>
      <c r="I24" s="23">
        <f t="shared" si="1"/>
        <v>175119632.34414223</v>
      </c>
      <c r="J24" s="4">
        <f t="shared" si="0"/>
        <v>14231455.320907829</v>
      </c>
      <c r="L24" s="22">
        <v>90000000</v>
      </c>
      <c r="M24" s="134">
        <f t="shared" si="2"/>
        <v>0</v>
      </c>
      <c r="N24" s="134">
        <f t="shared" si="3"/>
        <v>1</v>
      </c>
    </row>
    <row r="25" spans="2:14" ht="11.1" customHeight="1" x14ac:dyDescent="0.3">
      <c r="B25" s="19">
        <v>18</v>
      </c>
      <c r="C25" s="22">
        <v>200085815.24800894</v>
      </c>
      <c r="D25" s="23">
        <v>2.1331665675034741</v>
      </c>
      <c r="E25" s="22">
        <v>116864078.07909551</v>
      </c>
      <c r="F25" s="23">
        <v>1.6554984134043262</v>
      </c>
      <c r="G25" s="22">
        <v>83221737.168913424</v>
      </c>
      <c r="H25" s="23">
        <v>0.47766815409914787</v>
      </c>
      <c r="I25" s="23">
        <f t="shared" si="1"/>
        <v>174225006.32445216</v>
      </c>
      <c r="J25" s="4">
        <f t="shared" si="0"/>
        <v>14330044.622974437</v>
      </c>
      <c r="L25" s="22">
        <v>95000000</v>
      </c>
      <c r="M25" s="134">
        <f t="shared" si="2"/>
        <v>0</v>
      </c>
      <c r="N25" s="134">
        <f t="shared" si="3"/>
        <v>1</v>
      </c>
    </row>
    <row r="26" spans="2:14" ht="11.1" customHeight="1" x14ac:dyDescent="0.3">
      <c r="B26" s="19">
        <v>19</v>
      </c>
      <c r="C26" s="22">
        <v>202030188.26664516</v>
      </c>
      <c r="D26" s="23">
        <v>1.9211587554758107</v>
      </c>
      <c r="E26" s="22">
        <v>119071323.36797838</v>
      </c>
      <c r="F26" s="23">
        <v>1.4880809589800494</v>
      </c>
      <c r="G26" s="22">
        <v>82958864.898666784</v>
      </c>
      <c r="H26" s="23">
        <v>0.43307779649576128</v>
      </c>
      <c r="I26" s="23">
        <f t="shared" si="1"/>
        <v>191556495.32237965</v>
      </c>
      <c r="J26" s="4">
        <f t="shared" si="0"/>
        <v>12992333.894872839</v>
      </c>
      <c r="L26" s="152">
        <v>100000000</v>
      </c>
      <c r="M26" s="134">
        <f t="shared" si="2"/>
        <v>0</v>
      </c>
      <c r="N26" s="134">
        <f t="shared" si="3"/>
        <v>1</v>
      </c>
    </row>
    <row r="27" spans="2:14" ht="11.1" customHeight="1" x14ac:dyDescent="0.3">
      <c r="B27" s="19">
        <v>20</v>
      </c>
      <c r="C27" s="22">
        <v>201471050.18213892</v>
      </c>
      <c r="D27" s="23">
        <v>2.1683915970990637</v>
      </c>
      <c r="E27" s="22">
        <v>118258671.94960949</v>
      </c>
      <c r="F27" s="23">
        <v>1.657168940192135</v>
      </c>
      <c r="G27" s="22">
        <v>83212378.232529432</v>
      </c>
      <c r="H27" s="23">
        <v>0.5112226569069287</v>
      </c>
      <c r="I27" s="23">
        <f t="shared" si="1"/>
        <v>162771303.47859126</v>
      </c>
      <c r="J27" s="4">
        <f t="shared" si="0"/>
        <v>15336679.70720786</v>
      </c>
      <c r="L27" s="22">
        <v>105000000</v>
      </c>
      <c r="M27" s="134">
        <f t="shared" si="2"/>
        <v>0</v>
      </c>
      <c r="N27" s="134">
        <f t="shared" si="3"/>
        <v>1</v>
      </c>
    </row>
    <row r="28" spans="2:14" ht="11.1" customHeight="1" x14ac:dyDescent="0.3">
      <c r="B28" s="19">
        <v>21</v>
      </c>
      <c r="C28" s="22">
        <v>202832146.19428369</v>
      </c>
      <c r="D28" s="23">
        <v>1.7352763619543503</v>
      </c>
      <c r="E28" s="22">
        <v>120051930.81891711</v>
      </c>
      <c r="F28" s="23">
        <v>1.3232689852926818</v>
      </c>
      <c r="G28" s="22">
        <v>82780215.375366583</v>
      </c>
      <c r="H28" s="23">
        <v>0.41200737666166853</v>
      </c>
      <c r="I28" s="23">
        <f t="shared" si="1"/>
        <v>200919255.49028188</v>
      </c>
      <c r="J28" s="4">
        <f t="shared" si="0"/>
        <v>12360221.299850056</v>
      </c>
      <c r="L28" s="22">
        <v>110000000</v>
      </c>
      <c r="M28" s="134">
        <f t="shared" si="2"/>
        <v>0</v>
      </c>
      <c r="N28" s="134">
        <f t="shared" si="3"/>
        <v>1</v>
      </c>
    </row>
    <row r="29" spans="2:14" ht="11.1" customHeight="1" x14ac:dyDescent="0.3">
      <c r="B29" s="19">
        <v>22</v>
      </c>
      <c r="C29" s="22">
        <v>198686069.08615997</v>
      </c>
      <c r="D29" s="23">
        <v>2.0035951285253075</v>
      </c>
      <c r="E29" s="22">
        <v>115493928.02332959</v>
      </c>
      <c r="F29" s="23">
        <v>1.5297687256341046</v>
      </c>
      <c r="G29" s="22">
        <v>83192141.062830389</v>
      </c>
      <c r="H29" s="23">
        <v>0.47382640289120292</v>
      </c>
      <c r="I29" s="23">
        <f t="shared" si="1"/>
        <v>175575148.52529746</v>
      </c>
      <c r="J29" s="4">
        <f t="shared" si="0"/>
        <v>14214792.086736089</v>
      </c>
      <c r="L29" s="22">
        <v>115000000</v>
      </c>
      <c r="M29" s="134">
        <f t="shared" si="2"/>
        <v>0</v>
      </c>
      <c r="N29" s="134">
        <f t="shared" si="3"/>
        <v>1</v>
      </c>
    </row>
    <row r="30" spans="2:14" ht="11.1" customHeight="1" x14ac:dyDescent="0.3">
      <c r="B30" s="19">
        <v>23</v>
      </c>
      <c r="C30" s="22">
        <v>203637949.39607781</v>
      </c>
      <c r="D30" s="23">
        <v>2.1600286092617522</v>
      </c>
      <c r="E30" s="22">
        <v>120706558.32803649</v>
      </c>
      <c r="F30" s="23">
        <v>1.6749229016369664</v>
      </c>
      <c r="G30" s="22">
        <v>82931391.068041325</v>
      </c>
      <c r="H30" s="23">
        <v>0.48510570762478578</v>
      </c>
      <c r="I30" s="23">
        <f t="shared" si="1"/>
        <v>170955298.53502813</v>
      </c>
      <c r="J30" s="4">
        <f t="shared" si="0"/>
        <v>14553171.228743574</v>
      </c>
      <c r="L30" s="22">
        <v>120000000</v>
      </c>
      <c r="M30" s="134">
        <f t="shared" si="2"/>
        <v>0</v>
      </c>
      <c r="N30" s="134">
        <f t="shared" si="3"/>
        <v>1</v>
      </c>
    </row>
    <row r="31" spans="2:14" ht="11.1" customHeight="1" x14ac:dyDescent="0.3">
      <c r="B31" s="19">
        <v>24</v>
      </c>
      <c r="C31" s="22">
        <v>199532381.26334679</v>
      </c>
      <c r="D31" s="23">
        <v>2.0717702696514468</v>
      </c>
      <c r="E31" s="22">
        <v>116573566.04260772</v>
      </c>
      <c r="F31" s="23">
        <v>1.5940160274665034</v>
      </c>
      <c r="G31" s="22">
        <v>82958815.220739067</v>
      </c>
      <c r="H31" s="23">
        <v>0.47775424218494345</v>
      </c>
      <c r="I31" s="23">
        <f t="shared" si="1"/>
        <v>173643283.29422742</v>
      </c>
      <c r="J31" s="4">
        <f t="shared" si="0"/>
        <v>14332627.265548304</v>
      </c>
      <c r="L31" s="22">
        <v>125000000</v>
      </c>
      <c r="M31" s="134">
        <f t="shared" si="2"/>
        <v>0</v>
      </c>
      <c r="N31" s="134">
        <f t="shared" si="3"/>
        <v>1</v>
      </c>
    </row>
    <row r="32" spans="2:14" ht="11.1" customHeight="1" x14ac:dyDescent="0.3">
      <c r="B32" s="19">
        <v>25</v>
      </c>
      <c r="C32" s="22">
        <v>201714695.14101261</v>
      </c>
      <c r="D32" s="23">
        <v>2.1846491015680907</v>
      </c>
      <c r="E32" s="22">
        <v>118606798.58256705</v>
      </c>
      <c r="F32" s="23">
        <v>1.7084336339509225</v>
      </c>
      <c r="G32" s="22">
        <v>83107896.558445558</v>
      </c>
      <c r="H32" s="23">
        <v>0.47621546761716815</v>
      </c>
      <c r="I32" s="23">
        <f t="shared" si="1"/>
        <v>174517423.74999124</v>
      </c>
      <c r="J32" s="4">
        <f t="shared" si="0"/>
        <v>14286464.028515045</v>
      </c>
      <c r="L32" s="22">
        <v>130000000</v>
      </c>
      <c r="M32" s="134">
        <f t="shared" si="2"/>
        <v>0</v>
      </c>
      <c r="N32" s="134">
        <f t="shared" si="3"/>
        <v>1</v>
      </c>
    </row>
    <row r="33" spans="2:14" ht="11.1" customHeight="1" x14ac:dyDescent="0.3">
      <c r="B33" s="19">
        <v>26</v>
      </c>
      <c r="C33" s="22">
        <v>202162216.29148084</v>
      </c>
      <c r="D33" s="23">
        <v>2.3215206152172874</v>
      </c>
      <c r="E33" s="22">
        <v>119209691.10684238</v>
      </c>
      <c r="F33" s="23">
        <v>1.8379711161886341</v>
      </c>
      <c r="G33" s="22">
        <v>82952525.184638456</v>
      </c>
      <c r="H33" s="23">
        <v>0.4835494990286533</v>
      </c>
      <c r="I33" s="23">
        <f t="shared" si="1"/>
        <v>171549190.62323961</v>
      </c>
      <c r="J33" s="4">
        <f t="shared" si="0"/>
        <v>14506484.970859598</v>
      </c>
      <c r="L33" s="22">
        <v>135000000</v>
      </c>
      <c r="M33" s="134">
        <f t="shared" si="2"/>
        <v>0</v>
      </c>
      <c r="N33" s="134">
        <f t="shared" si="3"/>
        <v>1</v>
      </c>
    </row>
    <row r="34" spans="2:14" ht="11.1" customHeight="1" x14ac:dyDescent="0.3">
      <c r="B34" s="19">
        <v>27</v>
      </c>
      <c r="C34" s="22">
        <v>204421858.59445962</v>
      </c>
      <c r="D34" s="23">
        <v>2.2782217529667173</v>
      </c>
      <c r="E34" s="22">
        <v>121566050.56418292</v>
      </c>
      <c r="F34" s="23">
        <v>1.7997904031500258</v>
      </c>
      <c r="G34" s="22">
        <v>82855808.030276701</v>
      </c>
      <c r="H34" s="23">
        <v>0.47843134981669144</v>
      </c>
      <c r="I34" s="23">
        <f t="shared" si="1"/>
        <v>173182229.93125865</v>
      </c>
      <c r="J34" s="4">
        <f t="shared" si="0"/>
        <v>14352940.494500743</v>
      </c>
      <c r="L34" s="22">
        <v>140000000</v>
      </c>
      <c r="M34" s="134">
        <f t="shared" si="2"/>
        <v>0</v>
      </c>
      <c r="N34" s="134">
        <f t="shared" si="3"/>
        <v>1</v>
      </c>
    </row>
    <row r="35" spans="2:14" ht="11.1" customHeight="1" x14ac:dyDescent="0.3">
      <c r="B35" s="19">
        <v>28</v>
      </c>
      <c r="C35" s="22">
        <v>201362336.49977705</v>
      </c>
      <c r="D35" s="23">
        <v>1.9837742337054158</v>
      </c>
      <c r="E35" s="22">
        <v>118036622.63849713</v>
      </c>
      <c r="F35" s="23">
        <v>1.5053757967360273</v>
      </c>
      <c r="G35" s="22">
        <v>83325713.86127992</v>
      </c>
      <c r="H35" s="23">
        <v>0.47839843696938855</v>
      </c>
      <c r="I35" s="23">
        <f t="shared" si="1"/>
        <v>174176392.35851374</v>
      </c>
      <c r="J35" s="4">
        <f t="shared" si="0"/>
        <v>14351953.109081656</v>
      </c>
      <c r="L35" s="22">
        <v>145000000</v>
      </c>
      <c r="M35" s="134">
        <f t="shared" si="2"/>
        <v>0</v>
      </c>
      <c r="N35" s="134">
        <f t="shared" si="3"/>
        <v>1</v>
      </c>
    </row>
    <row r="36" spans="2:14" ht="11.1" customHeight="1" x14ac:dyDescent="0.3">
      <c r="B36" s="19">
        <v>29</v>
      </c>
      <c r="C36" s="22">
        <v>201258624.41570333</v>
      </c>
      <c r="D36" s="23">
        <v>1.9848437096243565</v>
      </c>
      <c r="E36" s="22">
        <v>117998009.45326823</v>
      </c>
      <c r="F36" s="23">
        <v>1.4956066151385161</v>
      </c>
      <c r="G36" s="22">
        <v>83260614.962435097</v>
      </c>
      <c r="H36" s="23">
        <v>0.48923709448584041</v>
      </c>
      <c r="I36" s="23">
        <f t="shared" si="1"/>
        <v>170184591.2766225</v>
      </c>
      <c r="J36" s="4">
        <f t="shared" si="0"/>
        <v>14677112.834575212</v>
      </c>
      <c r="L36" s="22">
        <v>150000000</v>
      </c>
      <c r="M36" s="134">
        <f t="shared" si="2"/>
        <v>0</v>
      </c>
      <c r="N36" s="134">
        <f t="shared" si="3"/>
        <v>1</v>
      </c>
    </row>
    <row r="37" spans="2:14" ht="11.1" customHeight="1" x14ac:dyDescent="0.3">
      <c r="B37" s="19">
        <v>30</v>
      </c>
      <c r="C37" s="22">
        <v>204009443.93578118</v>
      </c>
      <c r="D37" s="23">
        <v>1.9107524426699842</v>
      </c>
      <c r="E37" s="22">
        <v>121289778.61815666</v>
      </c>
      <c r="F37" s="23">
        <v>1.4188785658056575</v>
      </c>
      <c r="G37" s="22">
        <v>82719665.317624524</v>
      </c>
      <c r="H37" s="23">
        <v>0.49187387686432671</v>
      </c>
      <c r="I37" s="23">
        <f t="shared" si="1"/>
        <v>168172511.71165782</v>
      </c>
      <c r="J37" s="4">
        <f t="shared" si="0"/>
        <v>14756216.3059298</v>
      </c>
      <c r="L37" s="22">
        <v>155000000</v>
      </c>
      <c r="M37" s="134">
        <f t="shared" si="2"/>
        <v>1E-3</v>
      </c>
      <c r="N37" s="134">
        <f t="shared" si="3"/>
        <v>0.999</v>
      </c>
    </row>
    <row r="38" spans="2:14" ht="11.1" customHeight="1" x14ac:dyDescent="0.3">
      <c r="B38" s="19">
        <v>31</v>
      </c>
      <c r="C38" s="22">
        <v>198670397.72840568</v>
      </c>
      <c r="D38" s="23">
        <v>2.0709826876447308</v>
      </c>
      <c r="E38" s="22">
        <v>115271610.17657234</v>
      </c>
      <c r="F38" s="23">
        <v>1.5950529265115636</v>
      </c>
      <c r="G38" s="22">
        <v>83398787.551833346</v>
      </c>
      <c r="H38" s="23">
        <v>0.47592976113316721</v>
      </c>
      <c r="I38" s="23">
        <f t="shared" si="1"/>
        <v>175233394.42623761</v>
      </c>
      <c r="J38" s="4">
        <f t="shared" si="0"/>
        <v>14277892.833995016</v>
      </c>
      <c r="L38" s="22">
        <v>160000000</v>
      </c>
      <c r="M38" s="134">
        <f t="shared" si="2"/>
        <v>4.0000000000000001E-3</v>
      </c>
      <c r="N38" s="134">
        <f t="shared" si="3"/>
        <v>0.996</v>
      </c>
    </row>
    <row r="39" spans="2:14" ht="11.1" customHeight="1" x14ac:dyDescent="0.3">
      <c r="B39" s="19">
        <v>32</v>
      </c>
      <c r="C39" s="22">
        <v>201465884.091151</v>
      </c>
      <c r="D39" s="23">
        <v>2.2560326648675009</v>
      </c>
      <c r="E39" s="22">
        <v>118418300.34810542</v>
      </c>
      <c r="F39" s="23">
        <v>1.7823501114858609</v>
      </c>
      <c r="G39" s="22">
        <v>83047583.743045583</v>
      </c>
      <c r="H39" s="23">
        <v>0.47368255338164</v>
      </c>
      <c r="I39" s="23">
        <f t="shared" si="1"/>
        <v>175323290.1447717</v>
      </c>
      <c r="J39" s="4">
        <f t="shared" si="0"/>
        <v>14210476.601449201</v>
      </c>
      <c r="L39" s="22">
        <v>165000000</v>
      </c>
      <c r="M39" s="134">
        <f t="shared" si="2"/>
        <v>0.03</v>
      </c>
      <c r="N39" s="134">
        <f t="shared" si="3"/>
        <v>0.97</v>
      </c>
    </row>
    <row r="40" spans="2:14" ht="11.1" customHeight="1" x14ac:dyDescent="0.3">
      <c r="B40" s="19">
        <v>33</v>
      </c>
      <c r="C40" s="22">
        <v>202847153.00432563</v>
      </c>
      <c r="D40" s="23">
        <v>1.9983825903054921</v>
      </c>
      <c r="E40" s="22">
        <v>119627249.33888146</v>
      </c>
      <c r="F40" s="23">
        <v>1.5426006451568817</v>
      </c>
      <c r="G40" s="22">
        <v>83219903.665444165</v>
      </c>
      <c r="H40" s="23">
        <v>0.45578194514861048</v>
      </c>
      <c r="I40" s="23">
        <f t="shared" si="1"/>
        <v>182587100.15007246</v>
      </c>
      <c r="J40" s="4">
        <f t="shared" si="0"/>
        <v>13673458.354458315</v>
      </c>
      <c r="L40" s="22">
        <v>170000000</v>
      </c>
      <c r="M40" s="134">
        <f t="shared" si="2"/>
        <v>0.1</v>
      </c>
      <c r="N40" s="134">
        <f t="shared" si="3"/>
        <v>0.9</v>
      </c>
    </row>
    <row r="41" spans="2:14" ht="11.1" customHeight="1" x14ac:dyDescent="0.3">
      <c r="B41" s="19">
        <v>34</v>
      </c>
      <c r="C41" s="22">
        <v>200502543.87909603</v>
      </c>
      <c r="D41" s="23">
        <v>2.0662738431270888</v>
      </c>
      <c r="E41" s="22">
        <v>117257005.20932604</v>
      </c>
      <c r="F41" s="23">
        <v>1.6111306306299651</v>
      </c>
      <c r="G41" s="22">
        <v>83245538.669769987</v>
      </c>
      <c r="H41" s="23">
        <v>0.45514321249712375</v>
      </c>
      <c r="I41" s="23">
        <f t="shared" si="1"/>
        <v>182899659.67644975</v>
      </c>
      <c r="J41" s="4">
        <f t="shared" si="0"/>
        <v>13654296.374913713</v>
      </c>
      <c r="L41" s="152">
        <v>175000000</v>
      </c>
      <c r="M41" s="134">
        <f t="shared" si="2"/>
        <v>0.26100000000000001</v>
      </c>
      <c r="N41" s="134">
        <f t="shared" si="3"/>
        <v>0.73899999999999999</v>
      </c>
    </row>
    <row r="42" spans="2:14" ht="11.1" customHeight="1" x14ac:dyDescent="0.3">
      <c r="B42" s="19">
        <v>35</v>
      </c>
      <c r="C42" s="22">
        <v>198677058.91957361</v>
      </c>
      <c r="D42" s="23">
        <v>1.9103093540269489</v>
      </c>
      <c r="E42" s="22">
        <v>115123870.54047027</v>
      </c>
      <c r="F42" s="23">
        <v>1.4707900536666663</v>
      </c>
      <c r="G42" s="22">
        <v>83553188.379103333</v>
      </c>
      <c r="H42" s="23">
        <v>0.43951930036028264</v>
      </c>
      <c r="I42" s="23">
        <f t="shared" si="1"/>
        <v>190101295.46214041</v>
      </c>
      <c r="J42" s="4">
        <f t="shared" si="0"/>
        <v>13185579.010808479</v>
      </c>
      <c r="L42" s="22">
        <v>180000000</v>
      </c>
      <c r="M42" s="134">
        <f t="shared" si="2"/>
        <v>0.48499999999999999</v>
      </c>
      <c r="N42" s="134">
        <f t="shared" si="3"/>
        <v>0.51500000000000001</v>
      </c>
    </row>
    <row r="43" spans="2:14" ht="11.1" customHeight="1" x14ac:dyDescent="0.3">
      <c r="B43" s="19">
        <v>36</v>
      </c>
      <c r="C43" s="22">
        <v>200628572.57417285</v>
      </c>
      <c r="D43" s="23">
        <v>1.8019232542941852</v>
      </c>
      <c r="E43" s="22">
        <v>117249771.78510074</v>
      </c>
      <c r="F43" s="23">
        <v>1.3676576721484679</v>
      </c>
      <c r="G43" s="22">
        <v>83378800.789072111</v>
      </c>
      <c r="H43" s="23">
        <v>0.43426558214571731</v>
      </c>
      <c r="I43" s="23">
        <f t="shared" si="1"/>
        <v>191999560.21634349</v>
      </c>
      <c r="J43" s="4">
        <f t="shared" si="0"/>
        <v>13027967.464371519</v>
      </c>
      <c r="L43" s="22">
        <v>185000000</v>
      </c>
      <c r="M43" s="134">
        <f t="shared" si="2"/>
        <v>0.68700000000000006</v>
      </c>
      <c r="N43" s="134">
        <f t="shared" si="3"/>
        <v>0.31299999999999994</v>
      </c>
    </row>
    <row r="44" spans="2:14" ht="11.1" customHeight="1" x14ac:dyDescent="0.3">
      <c r="B44" s="19">
        <v>37</v>
      </c>
      <c r="C44" s="22">
        <v>204153990.01094675</v>
      </c>
      <c r="D44" s="23">
        <v>1.8258826483204478</v>
      </c>
      <c r="E44" s="22">
        <v>120781893.96570033</v>
      </c>
      <c r="F44" s="23">
        <v>1.3861261732163392</v>
      </c>
      <c r="G44" s="22">
        <v>83372096.045246422</v>
      </c>
      <c r="H44" s="23">
        <v>0.43975647510410854</v>
      </c>
      <c r="I44" s="23">
        <f t="shared" si="1"/>
        <v>189586966.34429044</v>
      </c>
      <c r="J44" s="4">
        <f t="shared" si="0"/>
        <v>13192694.253123255</v>
      </c>
      <c r="L44" s="22">
        <v>190000000</v>
      </c>
      <c r="M44" s="134">
        <f t="shared" si="2"/>
        <v>0.82</v>
      </c>
      <c r="N44" s="134">
        <f t="shared" si="3"/>
        <v>0.18000000000000005</v>
      </c>
    </row>
    <row r="45" spans="2:14" ht="11.1" customHeight="1" x14ac:dyDescent="0.3">
      <c r="B45" s="19">
        <v>38</v>
      </c>
      <c r="C45" s="22">
        <v>200742389.66930842</v>
      </c>
      <c r="D45" s="23">
        <v>2.1920648628709629</v>
      </c>
      <c r="E45" s="22">
        <v>117307852.9939986</v>
      </c>
      <c r="F45" s="23">
        <v>1.690565601502116</v>
      </c>
      <c r="G45" s="22">
        <v>83434536.675309822</v>
      </c>
      <c r="H45" s="23">
        <v>0.50149926136884693</v>
      </c>
      <c r="I45" s="23">
        <f t="shared" si="1"/>
        <v>166370208.49756482</v>
      </c>
      <c r="J45" s="4">
        <f t="shared" si="0"/>
        <v>15044977.841065409</v>
      </c>
      <c r="L45" s="22">
        <v>195000000</v>
      </c>
      <c r="M45" s="134">
        <f t="shared" si="2"/>
        <v>0.91500000000000004</v>
      </c>
      <c r="N45" s="134">
        <f t="shared" si="3"/>
        <v>8.4999999999999964E-2</v>
      </c>
    </row>
    <row r="46" spans="2:14" ht="11.1" customHeight="1" x14ac:dyDescent="0.3">
      <c r="B46" s="19">
        <v>39</v>
      </c>
      <c r="C46" s="22">
        <v>201825047.95158061</v>
      </c>
      <c r="D46" s="23">
        <v>1.8334332365931434</v>
      </c>
      <c r="E46" s="22">
        <v>118885012.33927548</v>
      </c>
      <c r="F46" s="23">
        <v>1.3729633845532947</v>
      </c>
      <c r="G46" s="22">
        <v>82940035.612305135</v>
      </c>
      <c r="H46" s="23">
        <v>0.46046985203984869</v>
      </c>
      <c r="I46" s="23">
        <f t="shared" si="1"/>
        <v>180120447.07136998</v>
      </c>
      <c r="J46" s="4">
        <f t="shared" si="0"/>
        <v>13814095.561195461</v>
      </c>
      <c r="L46" s="152">
        <v>200000000</v>
      </c>
      <c r="M46" s="134">
        <f t="shared" si="2"/>
        <v>0.94699999999999995</v>
      </c>
      <c r="N46" s="134">
        <f t="shared" si="3"/>
        <v>5.3000000000000047E-2</v>
      </c>
    </row>
    <row r="47" spans="2:14" ht="11.1" customHeight="1" x14ac:dyDescent="0.3">
      <c r="B47" s="19">
        <v>40</v>
      </c>
      <c r="C47" s="22">
        <v>200774806.52889416</v>
      </c>
      <c r="D47" s="23">
        <v>1.8630577954420089</v>
      </c>
      <c r="E47" s="22">
        <v>117820404.63526601</v>
      </c>
      <c r="F47" s="23">
        <v>1.3915287547615443</v>
      </c>
      <c r="G47" s="22">
        <v>82954401.89362815</v>
      </c>
      <c r="H47" s="23">
        <v>0.47152904068046464</v>
      </c>
      <c r="I47" s="23">
        <f t="shared" si="1"/>
        <v>175926389.9714776</v>
      </c>
      <c r="J47" s="4">
        <f t="shared" si="0"/>
        <v>14145871.22041394</v>
      </c>
      <c r="L47" s="22">
        <v>205000000</v>
      </c>
      <c r="M47" s="134">
        <f t="shared" si="2"/>
        <v>0.97699999999999998</v>
      </c>
      <c r="N47" s="134">
        <f t="shared" si="3"/>
        <v>2.300000000000002E-2</v>
      </c>
    </row>
    <row r="48" spans="2:14" ht="11.1" customHeight="1" x14ac:dyDescent="0.3">
      <c r="B48" s="19">
        <v>41</v>
      </c>
      <c r="C48" s="22">
        <v>204276816.01027471</v>
      </c>
      <c r="D48" s="23">
        <v>2.4050752314909745</v>
      </c>
      <c r="E48" s="22">
        <v>121207882.92468052</v>
      </c>
      <c r="F48" s="23">
        <v>1.8832314701702182</v>
      </c>
      <c r="G48" s="22">
        <v>83068933.085594192</v>
      </c>
      <c r="H48" s="23">
        <v>0.52184376132075627</v>
      </c>
      <c r="I48" s="23">
        <f t="shared" si="1"/>
        <v>159183532.01224738</v>
      </c>
      <c r="J48" s="4">
        <f t="shared" si="0"/>
        <v>15655312.839622688</v>
      </c>
      <c r="L48" s="22">
        <v>210000000</v>
      </c>
      <c r="M48" s="134">
        <f t="shared" si="2"/>
        <v>0.99199999999999999</v>
      </c>
      <c r="N48" s="134">
        <f t="shared" si="3"/>
        <v>8.0000000000000071E-3</v>
      </c>
    </row>
    <row r="49" spans="2:14" ht="11.1" customHeight="1" x14ac:dyDescent="0.3">
      <c r="B49" s="19">
        <v>42</v>
      </c>
      <c r="C49" s="22">
        <v>202971933.98907614</v>
      </c>
      <c r="D49" s="23">
        <v>2.1470297610217268</v>
      </c>
      <c r="E49" s="22">
        <v>120283568.44020851</v>
      </c>
      <c r="F49" s="23">
        <v>1.7063428537237815</v>
      </c>
      <c r="G49" s="22">
        <v>82688365.548867628</v>
      </c>
      <c r="H49" s="23">
        <v>0.44068690729794535</v>
      </c>
      <c r="I49" s="23">
        <f t="shared" si="1"/>
        <v>187635176.31115508</v>
      </c>
      <c r="J49" s="4">
        <f t="shared" si="0"/>
        <v>13220607.21893836</v>
      </c>
      <c r="L49" s="22">
        <v>215000000</v>
      </c>
      <c r="M49" s="134">
        <f t="shared" si="2"/>
        <v>0.995</v>
      </c>
      <c r="N49" s="134">
        <f t="shared" si="3"/>
        <v>5.0000000000000044E-3</v>
      </c>
    </row>
    <row r="50" spans="2:14" ht="11.1" customHeight="1" x14ac:dyDescent="0.3">
      <c r="B50" s="19">
        <v>43</v>
      </c>
      <c r="C50" s="22">
        <v>198601311.36844048</v>
      </c>
      <c r="D50" s="23">
        <v>2.1977916718427752</v>
      </c>
      <c r="E50" s="22">
        <v>115740647.69184358</v>
      </c>
      <c r="F50" s="23">
        <v>1.6939215325621315</v>
      </c>
      <c r="G50" s="22">
        <v>82860663.676596895</v>
      </c>
      <c r="H50" s="23">
        <v>0.50387013928064373</v>
      </c>
      <c r="I50" s="23">
        <f t="shared" si="1"/>
        <v>164448450.53706482</v>
      </c>
      <c r="J50" s="4">
        <f t="shared" si="0"/>
        <v>15116104.178419312</v>
      </c>
      <c r="L50" s="22">
        <v>220000000</v>
      </c>
      <c r="M50" s="134">
        <f t="shared" si="2"/>
        <v>0.998</v>
      </c>
      <c r="N50" s="134">
        <f t="shared" si="3"/>
        <v>2.0000000000000018E-3</v>
      </c>
    </row>
    <row r="51" spans="2:14" ht="11.1" customHeight="1" x14ac:dyDescent="0.3">
      <c r="B51" s="19">
        <v>44</v>
      </c>
      <c r="C51" s="22">
        <v>201035253.90157029</v>
      </c>
      <c r="D51" s="23">
        <v>1.848961647203321</v>
      </c>
      <c r="E51" s="22">
        <v>117987676.86265551</v>
      </c>
      <c r="F51" s="23">
        <v>1.4116408524572919</v>
      </c>
      <c r="G51" s="22">
        <v>83047577.038914785</v>
      </c>
      <c r="H51" s="23">
        <v>0.43732079474602914</v>
      </c>
      <c r="I51" s="23">
        <f t="shared" si="1"/>
        <v>189900818.88775507</v>
      </c>
      <c r="J51" s="4">
        <f t="shared" si="0"/>
        <v>13119623.842380874</v>
      </c>
      <c r="L51" s="22">
        <v>225000000</v>
      </c>
      <c r="M51" s="134">
        <f t="shared" si="2"/>
        <v>1</v>
      </c>
      <c r="N51" s="134">
        <f t="shared" si="3"/>
        <v>0</v>
      </c>
    </row>
    <row r="52" spans="2:14" ht="11.1" customHeight="1" x14ac:dyDescent="0.3">
      <c r="B52" s="19">
        <v>45</v>
      </c>
      <c r="C52" s="22">
        <v>200378881.62080646</v>
      </c>
      <c r="D52" s="23">
        <v>2.0365506029079614</v>
      </c>
      <c r="E52" s="22">
        <v>116818080.03319947</v>
      </c>
      <c r="F52" s="23">
        <v>1.5538782271345246</v>
      </c>
      <c r="G52" s="22">
        <v>83560801.587606981</v>
      </c>
      <c r="H52" s="23">
        <v>0.4826723757734368</v>
      </c>
      <c r="I52" s="23">
        <f t="shared" si="1"/>
        <v>173121159.98705894</v>
      </c>
      <c r="J52" s="4">
        <f t="shared" si="0"/>
        <v>14480171.273203105</v>
      </c>
      <c r="L52" s="22">
        <v>230000000</v>
      </c>
      <c r="M52" s="134">
        <f t="shared" si="2"/>
        <v>1</v>
      </c>
      <c r="N52" s="134">
        <f t="shared" si="3"/>
        <v>0</v>
      </c>
    </row>
    <row r="53" spans="2:14" ht="11.1" customHeight="1" x14ac:dyDescent="0.3">
      <c r="B53" s="19">
        <v>46</v>
      </c>
      <c r="C53" s="22">
        <v>203859039.20764858</v>
      </c>
      <c r="D53" s="23">
        <v>1.9053435766978255</v>
      </c>
      <c r="E53" s="22">
        <v>121005352.50894956</v>
      </c>
      <c r="F53" s="23">
        <v>1.4342282047144688</v>
      </c>
      <c r="G53" s="22">
        <v>82853686.698699012</v>
      </c>
      <c r="H53" s="23">
        <v>0.47111537198335673</v>
      </c>
      <c r="I53" s="23">
        <f t="shared" si="1"/>
        <v>175867084.0008719</v>
      </c>
      <c r="J53" s="4">
        <f t="shared" si="0"/>
        <v>14133461.159500701</v>
      </c>
      <c r="L53" s="22">
        <v>235000000</v>
      </c>
      <c r="M53" s="134">
        <f t="shared" si="2"/>
        <v>1</v>
      </c>
      <c r="N53" s="134">
        <f t="shared" si="3"/>
        <v>0</v>
      </c>
    </row>
    <row r="54" spans="2:14" ht="11.1" customHeight="1" x14ac:dyDescent="0.3">
      <c r="B54" s="19">
        <v>47</v>
      </c>
      <c r="C54" s="22">
        <v>201539389.48915991</v>
      </c>
      <c r="D54" s="23">
        <v>2.0011593751811616</v>
      </c>
      <c r="E54" s="22">
        <v>118566879.69263677</v>
      </c>
      <c r="F54" s="23">
        <v>1.5660406617147744</v>
      </c>
      <c r="G54" s="22">
        <v>82972509.796523139</v>
      </c>
      <c r="H54" s="23">
        <v>0.4351187134663872</v>
      </c>
      <c r="I54" s="23">
        <f t="shared" si="1"/>
        <v>190689361.84224296</v>
      </c>
      <c r="J54" s="4">
        <f t="shared" si="0"/>
        <v>13053561.403991615</v>
      </c>
      <c r="L54" s="22">
        <v>240000000</v>
      </c>
      <c r="M54" s="134">
        <f t="shared" si="2"/>
        <v>1</v>
      </c>
      <c r="N54" s="134">
        <f t="shared" si="3"/>
        <v>0</v>
      </c>
    </row>
    <row r="55" spans="2:14" ht="11.1" customHeight="1" x14ac:dyDescent="0.3">
      <c r="B55" s="19">
        <v>48</v>
      </c>
      <c r="C55" s="22">
        <v>200704048.34334156</v>
      </c>
      <c r="D55" s="23">
        <v>2.2281254125920995</v>
      </c>
      <c r="E55" s="22">
        <v>117643170.28793789</v>
      </c>
      <c r="F55" s="23">
        <v>1.8234025520560218</v>
      </c>
      <c r="G55" s="22">
        <v>83060878.055403665</v>
      </c>
      <c r="H55" s="23">
        <v>0.40472286053607776</v>
      </c>
      <c r="I55" s="23">
        <f t="shared" si="1"/>
        <v>205229024.98115611</v>
      </c>
      <c r="J55" s="4">
        <f t="shared" si="0"/>
        <v>12141685.816082332</v>
      </c>
      <c r="L55" s="22">
        <v>245000000</v>
      </c>
      <c r="M55" s="134">
        <f t="shared" si="2"/>
        <v>1</v>
      </c>
      <c r="N55" s="134">
        <f t="shared" si="3"/>
        <v>0</v>
      </c>
    </row>
    <row r="56" spans="2:14" ht="11.1" customHeight="1" x14ac:dyDescent="0.3">
      <c r="B56" s="19">
        <v>49</v>
      </c>
      <c r="C56" s="22">
        <v>201261736.82719779</v>
      </c>
      <c r="D56" s="23">
        <v>1.7077457350782075</v>
      </c>
      <c r="E56" s="22">
        <v>118260261.27951138</v>
      </c>
      <c r="F56" s="23">
        <v>1.2766459965118846</v>
      </c>
      <c r="G56" s="22">
        <v>83001475.547686413</v>
      </c>
      <c r="H56" s="23">
        <v>0.43109973856632289</v>
      </c>
      <c r="I56" s="23">
        <f t="shared" si="1"/>
        <v>192534274.83792591</v>
      </c>
      <c r="J56" s="4">
        <f t="shared" si="0"/>
        <v>12932992.156989686</v>
      </c>
      <c r="L56" s="152">
        <v>250000000</v>
      </c>
      <c r="M56" s="134">
        <f t="shared" si="2"/>
        <v>1</v>
      </c>
      <c r="N56" s="134">
        <f t="shared" si="3"/>
        <v>0</v>
      </c>
    </row>
    <row r="57" spans="2:14" ht="11.1" customHeight="1" x14ac:dyDescent="0.3">
      <c r="B57" s="19">
        <v>50</v>
      </c>
      <c r="C57" s="22">
        <v>204663884.86136165</v>
      </c>
      <c r="D57" s="23">
        <v>2.1800841478933819</v>
      </c>
      <c r="E57" s="22">
        <v>121382204.0268479</v>
      </c>
      <c r="F57" s="23">
        <v>1.7194488431840824</v>
      </c>
      <c r="G57" s="22">
        <v>83281680.834513754</v>
      </c>
      <c r="H57" s="23">
        <v>0.46063530470929948</v>
      </c>
      <c r="I57" s="23">
        <f t="shared" si="1"/>
        <v>180797433.42093951</v>
      </c>
      <c r="J57" s="4">
        <f t="shared" si="0"/>
        <v>13819059.141278984</v>
      </c>
      <c r="L57" s="22">
        <v>255000000</v>
      </c>
      <c r="M57" s="134">
        <f t="shared" si="2"/>
        <v>1</v>
      </c>
      <c r="N57" s="134">
        <f t="shared" si="3"/>
        <v>0</v>
      </c>
    </row>
    <row r="58" spans="2:14" ht="11.1" customHeight="1" x14ac:dyDescent="0.3">
      <c r="B58" s="19">
        <v>51</v>
      </c>
      <c r="C58" s="22">
        <v>200899639.49287742</v>
      </c>
      <c r="D58" s="23">
        <v>2.3797715629137968</v>
      </c>
      <c r="E58" s="22">
        <v>117420706.73795761</v>
      </c>
      <c r="F58" s="23">
        <v>1.8686590105795615</v>
      </c>
      <c r="G58" s="22">
        <v>83478932.754919812</v>
      </c>
      <c r="H58" s="23">
        <v>0.51111255233423525</v>
      </c>
      <c r="I58" s="23">
        <f t="shared" si="1"/>
        <v>163327886.14498726</v>
      </c>
      <c r="J58" s="4">
        <f t="shared" si="0"/>
        <v>15333376.570027057</v>
      </c>
      <c r="L58" s="22">
        <v>260000000</v>
      </c>
      <c r="M58" s="134">
        <f t="shared" si="2"/>
        <v>1</v>
      </c>
      <c r="N58" s="134">
        <f t="shared" si="3"/>
        <v>0</v>
      </c>
    </row>
    <row r="59" spans="2:14" ht="11.1" customHeight="1" x14ac:dyDescent="0.3">
      <c r="B59" s="19">
        <v>52</v>
      </c>
      <c r="C59" s="22">
        <v>199094332.84448853</v>
      </c>
      <c r="D59" s="23">
        <v>1.9338933020349802</v>
      </c>
      <c r="E59" s="22">
        <v>116268205.1774645</v>
      </c>
      <c r="F59" s="23">
        <v>1.5218571890156796</v>
      </c>
      <c r="G59" s="22">
        <v>82826127.667024031</v>
      </c>
      <c r="H59" s="23">
        <v>0.41203611301930065</v>
      </c>
      <c r="I59" s="23">
        <f t="shared" si="1"/>
        <v>201016670.74784845</v>
      </c>
      <c r="J59" s="4">
        <f t="shared" si="0"/>
        <v>12361083.390579019</v>
      </c>
      <c r="L59" s="22">
        <v>265000000</v>
      </c>
      <c r="M59" s="134">
        <f t="shared" si="2"/>
        <v>1</v>
      </c>
      <c r="N59" s="134">
        <f t="shared" si="3"/>
        <v>0</v>
      </c>
    </row>
    <row r="60" spans="2:14" ht="11.1" customHeight="1" x14ac:dyDescent="0.3">
      <c r="B60" s="19">
        <v>53</v>
      </c>
      <c r="C60" s="22">
        <v>203350063.29817995</v>
      </c>
      <c r="D60" s="23">
        <v>1.9070852374156901</v>
      </c>
      <c r="E60" s="22">
        <v>120151060.80760252</v>
      </c>
      <c r="F60" s="23">
        <v>1.4343065208076664</v>
      </c>
      <c r="G60" s="22">
        <v>83199002.49057743</v>
      </c>
      <c r="H60" s="23">
        <v>0.47277871660802373</v>
      </c>
      <c r="I60" s="23">
        <f t="shared" si="1"/>
        <v>175978739.24505979</v>
      </c>
      <c r="J60" s="4">
        <f t="shared" si="0"/>
        <v>14183361.498240711</v>
      </c>
      <c r="L60" s="22">
        <v>270000000</v>
      </c>
      <c r="M60" s="134">
        <f t="shared" si="2"/>
        <v>1</v>
      </c>
      <c r="N60" s="134">
        <f t="shared" si="3"/>
        <v>0</v>
      </c>
    </row>
    <row r="61" spans="2:14" ht="11.1" customHeight="1" x14ac:dyDescent="0.3">
      <c r="B61" s="19">
        <v>54</v>
      </c>
      <c r="C61" s="22">
        <v>201892441.21765211</v>
      </c>
      <c r="D61" s="23">
        <v>2.0953277362258627</v>
      </c>
      <c r="E61" s="22">
        <v>119491964.84409589</v>
      </c>
      <c r="F61" s="23">
        <v>1.6274989561921156</v>
      </c>
      <c r="G61" s="22">
        <v>82400476.373556226</v>
      </c>
      <c r="H61" s="23">
        <v>0.46782878003374706</v>
      </c>
      <c r="I61" s="23">
        <f t="shared" si="1"/>
        <v>176133833.33879593</v>
      </c>
      <c r="J61" s="4">
        <f t="shared" si="0"/>
        <v>14034863.401012411</v>
      </c>
      <c r="L61" s="22">
        <v>275000000</v>
      </c>
      <c r="M61" s="134">
        <f t="shared" si="2"/>
        <v>1</v>
      </c>
      <c r="N61" s="134">
        <f t="shared" si="3"/>
        <v>0</v>
      </c>
    </row>
    <row r="62" spans="2:14" ht="11.1" customHeight="1" x14ac:dyDescent="0.3">
      <c r="B62" s="19">
        <v>55</v>
      </c>
      <c r="C62" s="22">
        <v>203520450.3896639</v>
      </c>
      <c r="D62" s="23">
        <v>1.9645538673275058</v>
      </c>
      <c r="E62" s="22">
        <v>120455868.59600705</v>
      </c>
      <c r="F62" s="23">
        <v>1.486366868894839</v>
      </c>
      <c r="G62" s="22">
        <v>83064581.793656856</v>
      </c>
      <c r="H62" s="23">
        <v>0.47818699843266677</v>
      </c>
      <c r="I62" s="23">
        <f t="shared" si="1"/>
        <v>173707319.65928414</v>
      </c>
      <c r="J62" s="4">
        <f t="shared" si="0"/>
        <v>14345609.952980002</v>
      </c>
      <c r="L62" s="22">
        <v>280000000</v>
      </c>
      <c r="M62" s="134">
        <f t="shared" si="2"/>
        <v>1</v>
      </c>
      <c r="N62" s="134">
        <f t="shared" si="3"/>
        <v>0</v>
      </c>
    </row>
    <row r="63" spans="2:14" ht="11.1" customHeight="1" x14ac:dyDescent="0.3">
      <c r="B63" s="19">
        <v>56</v>
      </c>
      <c r="C63" s="22">
        <v>202868132.04456079</v>
      </c>
      <c r="D63" s="23">
        <v>2.0896704538287127</v>
      </c>
      <c r="E63" s="22">
        <v>119966592.60314406</v>
      </c>
      <c r="F63" s="23">
        <v>1.6346501971390601</v>
      </c>
      <c r="G63" s="22">
        <v>82901539.441416726</v>
      </c>
      <c r="H63" s="23">
        <v>0.45502025668965262</v>
      </c>
      <c r="I63" s="23">
        <f t="shared" si="1"/>
        <v>182193074.31396371</v>
      </c>
      <c r="J63" s="4">
        <f t="shared" si="0"/>
        <v>13650607.700689578</v>
      </c>
      <c r="L63" s="22">
        <v>285000000</v>
      </c>
      <c r="M63" s="134">
        <f t="shared" si="2"/>
        <v>1</v>
      </c>
      <c r="N63" s="134">
        <f t="shared" si="3"/>
        <v>0</v>
      </c>
    </row>
    <row r="64" spans="2:14" ht="11.1" customHeight="1" x14ac:dyDescent="0.3">
      <c r="B64" s="19">
        <v>57</v>
      </c>
      <c r="C64" s="22">
        <v>199239148.87703297</v>
      </c>
      <c r="D64" s="23">
        <v>1.8241084297306007</v>
      </c>
      <c r="E64" s="22">
        <v>115621763.26253018</v>
      </c>
      <c r="F64" s="23">
        <v>1.3850585757402138</v>
      </c>
      <c r="G64" s="22">
        <v>83617385.614502788</v>
      </c>
      <c r="H64" s="23">
        <v>0.43904985399038687</v>
      </c>
      <c r="I64" s="23">
        <f t="shared" si="1"/>
        <v>190450776.49959454</v>
      </c>
      <c r="J64" s="4">
        <f t="shared" si="0"/>
        <v>13171495.619711606</v>
      </c>
      <c r="L64" s="22">
        <v>290000000</v>
      </c>
      <c r="M64" s="134">
        <f t="shared" si="2"/>
        <v>1</v>
      </c>
      <c r="N64" s="134">
        <f t="shared" si="3"/>
        <v>0</v>
      </c>
    </row>
    <row r="65" spans="2:14" ht="11.1" customHeight="1" x14ac:dyDescent="0.3">
      <c r="B65" s="19">
        <v>58</v>
      </c>
      <c r="C65" s="22">
        <v>201339032.10810965</v>
      </c>
      <c r="D65" s="23">
        <v>1.9352173456302406</v>
      </c>
      <c r="E65" s="22">
        <v>118354149.03888299</v>
      </c>
      <c r="F65" s="23">
        <v>1.5090651042091106</v>
      </c>
      <c r="G65" s="22">
        <v>82984883.069226667</v>
      </c>
      <c r="H65" s="23">
        <v>0.42615224142113006</v>
      </c>
      <c r="I65" s="23">
        <f t="shared" si="1"/>
        <v>194730603.2991617</v>
      </c>
      <c r="J65" s="4">
        <f t="shared" si="0"/>
        <v>12784567.242633902</v>
      </c>
      <c r="L65" s="22">
        <v>295000000</v>
      </c>
      <c r="M65" s="134">
        <f t="shared" si="2"/>
        <v>1</v>
      </c>
      <c r="N65" s="134">
        <f t="shared" si="3"/>
        <v>0</v>
      </c>
    </row>
    <row r="66" spans="2:14" ht="11.1" customHeight="1" x14ac:dyDescent="0.3">
      <c r="B66" s="19">
        <v>59</v>
      </c>
      <c r="C66" s="22">
        <v>200665792.04888868</v>
      </c>
      <c r="D66" s="23">
        <v>1.861991408023298</v>
      </c>
      <c r="E66" s="22">
        <v>117313433.61082201</v>
      </c>
      <c r="F66" s="23">
        <v>1.3979928910265411</v>
      </c>
      <c r="G66" s="22">
        <v>83352358.438066676</v>
      </c>
      <c r="H66" s="23">
        <v>0.46399851699675687</v>
      </c>
      <c r="I66" s="23">
        <f t="shared" si="1"/>
        <v>179639277.68038377</v>
      </c>
      <c r="J66" s="4">
        <f t="shared" si="0"/>
        <v>13919955.509902706</v>
      </c>
      <c r="L66" s="152">
        <v>300000000</v>
      </c>
      <c r="M66" s="134">
        <f t="shared" si="2"/>
        <v>1</v>
      </c>
      <c r="N66" s="134">
        <f t="shared" si="3"/>
        <v>0</v>
      </c>
    </row>
    <row r="67" spans="2:14" ht="11.1" customHeight="1" x14ac:dyDescent="0.3">
      <c r="B67" s="19">
        <v>60</v>
      </c>
      <c r="C67" s="22">
        <v>202869665.67536971</v>
      </c>
      <c r="D67" s="23">
        <v>1.9085204032606906</v>
      </c>
      <c r="E67" s="22">
        <v>119800006.53360176</v>
      </c>
      <c r="F67" s="23">
        <v>1.4556948499885123</v>
      </c>
      <c r="G67" s="22">
        <v>83069659.141767949</v>
      </c>
      <c r="H67" s="23">
        <v>0.45282555327217833</v>
      </c>
      <c r="I67" s="23">
        <f t="shared" si="1"/>
        <v>183447375.13485143</v>
      </c>
      <c r="J67" s="4">
        <f t="shared" si="0"/>
        <v>13584766.59816535</v>
      </c>
      <c r="L67" s="22">
        <v>305000000</v>
      </c>
      <c r="M67" s="134">
        <f t="shared" si="2"/>
        <v>1</v>
      </c>
      <c r="N67" s="134">
        <f t="shared" si="3"/>
        <v>0</v>
      </c>
    </row>
    <row r="68" spans="2:14" ht="11.1" customHeight="1" x14ac:dyDescent="0.3">
      <c r="B68" s="19">
        <v>61</v>
      </c>
      <c r="C68" s="22">
        <v>204892556.13287044</v>
      </c>
      <c r="D68" s="23">
        <v>2.2418968780716861</v>
      </c>
      <c r="E68" s="22">
        <v>122017624.93572383</v>
      </c>
      <c r="F68" s="23">
        <v>1.7967968035713637</v>
      </c>
      <c r="G68" s="22">
        <v>82874931.197146609</v>
      </c>
      <c r="H68" s="23">
        <v>0.44510007450032241</v>
      </c>
      <c r="I68" s="23">
        <f t="shared" si="1"/>
        <v>186193927.93897763</v>
      </c>
      <c r="J68" s="4">
        <f t="shared" si="0"/>
        <v>13353002.235009672</v>
      </c>
      <c r="L68" s="22">
        <v>310000000</v>
      </c>
      <c r="M68" s="134">
        <f t="shared" si="2"/>
        <v>1</v>
      </c>
      <c r="N68" s="134">
        <f t="shared" si="3"/>
        <v>0</v>
      </c>
    </row>
    <row r="69" spans="2:14" ht="11.1" customHeight="1" x14ac:dyDescent="0.3">
      <c r="B69" s="19">
        <v>62</v>
      </c>
      <c r="C69" s="22">
        <v>199699576.75761244</v>
      </c>
      <c r="D69" s="23">
        <v>1.9744699994012651</v>
      </c>
      <c r="E69" s="22">
        <v>117022410.80246119</v>
      </c>
      <c r="F69" s="23">
        <v>1.5143316698118094</v>
      </c>
      <c r="G69" s="22">
        <v>82677165.955151245</v>
      </c>
      <c r="H69" s="23">
        <v>0.46013832958945566</v>
      </c>
      <c r="I69" s="23">
        <f t="shared" si="1"/>
        <v>179678937.04686028</v>
      </c>
      <c r="J69" s="4">
        <f t="shared" si="0"/>
        <v>13804149.887683669</v>
      </c>
      <c r="L69" s="22">
        <v>315000000</v>
      </c>
      <c r="M69" s="134">
        <f t="shared" si="2"/>
        <v>1</v>
      </c>
      <c r="N69" s="134">
        <f t="shared" si="3"/>
        <v>0</v>
      </c>
    </row>
    <row r="70" spans="2:14" ht="11.1" customHeight="1" x14ac:dyDescent="0.3">
      <c r="B70" s="19">
        <v>63</v>
      </c>
      <c r="C70" s="22">
        <v>204957162.63218358</v>
      </c>
      <c r="D70" s="23">
        <v>1.9546362624203506</v>
      </c>
      <c r="E70" s="22">
        <v>122011373.32416953</v>
      </c>
      <c r="F70" s="23">
        <v>1.4997418430278462</v>
      </c>
      <c r="G70" s="22">
        <v>82945789.30801405</v>
      </c>
      <c r="H70" s="23">
        <v>0.45489441939250441</v>
      </c>
      <c r="I70" s="23">
        <f t="shared" si="1"/>
        <v>182340749.35187215</v>
      </c>
      <c r="J70" s="4">
        <f t="shared" si="0"/>
        <v>13646832.581775133</v>
      </c>
      <c r="L70" s="22">
        <v>320000000</v>
      </c>
      <c r="M70" s="134">
        <f t="shared" si="2"/>
        <v>1</v>
      </c>
      <c r="N70" s="134">
        <f t="shared" si="3"/>
        <v>0</v>
      </c>
    </row>
    <row r="71" spans="2:14" ht="11.1" customHeight="1" x14ac:dyDescent="0.3">
      <c r="B71" s="19">
        <v>64</v>
      </c>
      <c r="C71" s="22">
        <v>201583079.41872239</v>
      </c>
      <c r="D71" s="23">
        <v>1.9897408859174468</v>
      </c>
      <c r="E71" s="22">
        <v>118693480.8172749</v>
      </c>
      <c r="F71" s="23">
        <v>1.5336322338506365</v>
      </c>
      <c r="G71" s="22">
        <v>82889598.601447493</v>
      </c>
      <c r="H71" s="23">
        <v>0.45610865206681028</v>
      </c>
      <c r="I71" s="23">
        <f t="shared" si="1"/>
        <v>181732133.83662346</v>
      </c>
      <c r="J71" s="4">
        <f t="shared" si="0"/>
        <v>13683259.562004309</v>
      </c>
      <c r="L71" s="22">
        <v>325000000</v>
      </c>
      <c r="M71" s="134">
        <f t="shared" si="2"/>
        <v>1</v>
      </c>
      <c r="N71" s="134">
        <f t="shared" si="3"/>
        <v>0</v>
      </c>
    </row>
    <row r="72" spans="2:14" ht="11.1" customHeight="1" x14ac:dyDescent="0.3">
      <c r="B72" s="19">
        <v>65</v>
      </c>
      <c r="C72" s="22">
        <v>201321654.1563578</v>
      </c>
      <c r="D72" s="23">
        <v>2.1604796827739485</v>
      </c>
      <c r="E72" s="22">
        <v>118629313.78758031</v>
      </c>
      <c r="F72" s="23">
        <v>1.7103574088067695</v>
      </c>
      <c r="G72" s="22">
        <v>82692340.368777484</v>
      </c>
      <c r="H72" s="23">
        <v>0.45012227396717908</v>
      </c>
      <c r="I72" s="23">
        <f t="shared" si="1"/>
        <v>183710838.47942847</v>
      </c>
      <c r="J72" s="4">
        <f t="shared" ref="J72:J135" si="4">threshold*H72</f>
        <v>13503668.219015373</v>
      </c>
      <c r="L72" s="22">
        <v>330000000</v>
      </c>
      <c r="M72" s="134">
        <f t="shared" si="2"/>
        <v>1</v>
      </c>
      <c r="N72" s="134">
        <f t="shared" si="3"/>
        <v>0</v>
      </c>
    </row>
    <row r="73" spans="2:14" ht="11.1" customHeight="1" x14ac:dyDescent="0.3">
      <c r="B73" s="19">
        <v>66</v>
      </c>
      <c r="C73" s="22">
        <v>200645324.61103266</v>
      </c>
      <c r="D73" s="23">
        <v>1.6188689244562486</v>
      </c>
      <c r="E73" s="22">
        <v>117810633.25109676</v>
      </c>
      <c r="F73" s="23">
        <v>1.1835836418196082</v>
      </c>
      <c r="G73" s="22">
        <v>82834691.35993591</v>
      </c>
      <c r="H73" s="23">
        <v>0.43528528263664046</v>
      </c>
      <c r="I73" s="23">
        <f t="shared" ref="I73:I136" si="5">G73/H73</f>
        <v>190299775.03071967</v>
      </c>
      <c r="J73" s="4">
        <f t="shared" si="4"/>
        <v>13058558.479099214</v>
      </c>
      <c r="L73" s="22">
        <v>335000000</v>
      </c>
      <c r="M73" s="134">
        <f t="shared" ref="M73:M136" si="6">COUNTIF($I$8:$I$1007,"&lt;"&amp;L73)/1000</f>
        <v>1</v>
      </c>
      <c r="N73" s="134">
        <f t="shared" ref="N73:N136" si="7">1-M73</f>
        <v>0</v>
      </c>
    </row>
    <row r="74" spans="2:14" ht="11.1" customHeight="1" x14ac:dyDescent="0.3">
      <c r="B74" s="19">
        <v>67</v>
      </c>
      <c r="C74" s="22">
        <v>200860749.57302299</v>
      </c>
      <c r="D74" s="23">
        <v>1.9617359586960958</v>
      </c>
      <c r="E74" s="22">
        <v>117894522.35663654</v>
      </c>
      <c r="F74" s="23">
        <v>1.5107092424194919</v>
      </c>
      <c r="G74" s="22">
        <v>82966227.216386452</v>
      </c>
      <c r="H74" s="23">
        <v>0.45102671627660396</v>
      </c>
      <c r="I74" s="23">
        <f t="shared" si="5"/>
        <v>183949695.71049809</v>
      </c>
      <c r="J74" s="4">
        <f t="shared" si="4"/>
        <v>13530801.488298118</v>
      </c>
      <c r="L74" s="22">
        <v>340000000</v>
      </c>
      <c r="M74" s="134">
        <f t="shared" si="6"/>
        <v>1</v>
      </c>
      <c r="N74" s="134">
        <f t="shared" si="7"/>
        <v>0</v>
      </c>
    </row>
    <row r="75" spans="2:14" ht="11.1" customHeight="1" x14ac:dyDescent="0.3">
      <c r="B75" s="19">
        <v>68</v>
      </c>
      <c r="C75" s="22">
        <v>202997930.29046631</v>
      </c>
      <c r="D75" s="23">
        <v>1.9037228689367747</v>
      </c>
      <c r="E75" s="22">
        <v>120222596.58929576</v>
      </c>
      <c r="F75" s="23">
        <v>1.4536659099979228</v>
      </c>
      <c r="G75" s="22">
        <v>82775333.701170549</v>
      </c>
      <c r="H75" s="23">
        <v>0.45005695893885189</v>
      </c>
      <c r="I75" s="23">
        <f t="shared" si="5"/>
        <v>183921906.01016131</v>
      </c>
      <c r="J75" s="4">
        <f t="shared" si="4"/>
        <v>13501708.768165557</v>
      </c>
      <c r="L75" s="22">
        <v>345000000</v>
      </c>
      <c r="M75" s="134">
        <f t="shared" si="6"/>
        <v>1</v>
      </c>
      <c r="N75" s="134">
        <f t="shared" si="7"/>
        <v>0</v>
      </c>
    </row>
    <row r="76" spans="2:14" ht="11.1" customHeight="1" x14ac:dyDescent="0.3">
      <c r="B76" s="19">
        <v>69</v>
      </c>
      <c r="C76" s="22">
        <v>202520061.15240434</v>
      </c>
      <c r="D76" s="23">
        <v>2.1723997851384209</v>
      </c>
      <c r="E76" s="22">
        <v>119468723.49563012</v>
      </c>
      <c r="F76" s="23">
        <v>1.6741970743281598</v>
      </c>
      <c r="G76" s="22">
        <v>83051337.656774223</v>
      </c>
      <c r="H76" s="23">
        <v>0.49820271081026113</v>
      </c>
      <c r="I76" s="23">
        <f t="shared" si="5"/>
        <v>166701898.3531867</v>
      </c>
      <c r="J76" s="4">
        <f t="shared" si="4"/>
        <v>14946081.324307835</v>
      </c>
      <c r="L76" s="22">
        <v>350000000</v>
      </c>
      <c r="M76" s="134">
        <f t="shared" si="6"/>
        <v>1</v>
      </c>
      <c r="N76" s="134">
        <f t="shared" si="7"/>
        <v>0</v>
      </c>
    </row>
    <row r="77" spans="2:14" ht="11.1" customHeight="1" x14ac:dyDescent="0.3">
      <c r="B77" s="19">
        <v>70</v>
      </c>
      <c r="C77" s="22">
        <v>202667353.28011522</v>
      </c>
      <c r="D77" s="23">
        <v>1.8806896952133407</v>
      </c>
      <c r="E77" s="22">
        <v>119791964.47292937</v>
      </c>
      <c r="F77" s="23">
        <v>1.4248702946861627</v>
      </c>
      <c r="G77" s="22">
        <v>82875388.807185844</v>
      </c>
      <c r="H77" s="23">
        <v>0.45581940052717806</v>
      </c>
      <c r="I77" s="23">
        <f t="shared" si="5"/>
        <v>181816282.30684409</v>
      </c>
      <c r="J77" s="4">
        <f t="shared" si="4"/>
        <v>13674582.015815342</v>
      </c>
      <c r="L77" s="22">
        <v>355000000</v>
      </c>
      <c r="M77" s="134">
        <f t="shared" si="6"/>
        <v>1</v>
      </c>
      <c r="N77" s="134">
        <f t="shared" si="7"/>
        <v>0</v>
      </c>
    </row>
    <row r="78" spans="2:14" ht="11.1" customHeight="1" x14ac:dyDescent="0.3">
      <c r="B78" s="19">
        <v>71</v>
      </c>
      <c r="C78" s="22">
        <v>201943617.8895559</v>
      </c>
      <c r="D78" s="23">
        <v>2.1769244576097662</v>
      </c>
      <c r="E78" s="22">
        <v>118526962.27150273</v>
      </c>
      <c r="F78" s="23">
        <v>1.7027137084890573</v>
      </c>
      <c r="G78" s="22">
        <v>83416655.618053168</v>
      </c>
      <c r="H78" s="23">
        <v>0.47421074912070882</v>
      </c>
      <c r="I78" s="23">
        <f t="shared" si="5"/>
        <v>175906294.34850648</v>
      </c>
      <c r="J78" s="4">
        <f t="shared" si="4"/>
        <v>14226322.473621264</v>
      </c>
      <c r="L78" s="22">
        <v>360000000</v>
      </c>
      <c r="M78" s="134">
        <f t="shared" si="6"/>
        <v>1</v>
      </c>
      <c r="N78" s="134">
        <f t="shared" si="7"/>
        <v>0</v>
      </c>
    </row>
    <row r="79" spans="2:14" ht="11.1" customHeight="1" x14ac:dyDescent="0.3">
      <c r="B79" s="19">
        <v>72</v>
      </c>
      <c r="C79" s="22">
        <v>199395615.69217446</v>
      </c>
      <c r="D79" s="23">
        <v>1.6969704926463713</v>
      </c>
      <c r="E79" s="22">
        <v>116352102.66785499</v>
      </c>
      <c r="F79" s="23">
        <v>1.2553912211456362</v>
      </c>
      <c r="G79" s="22">
        <v>83043513.02431947</v>
      </c>
      <c r="H79" s="23">
        <v>0.44157927150073517</v>
      </c>
      <c r="I79" s="23">
        <f t="shared" si="5"/>
        <v>188060260.94044411</v>
      </c>
      <c r="J79" s="4">
        <f t="shared" si="4"/>
        <v>13247378.145022055</v>
      </c>
      <c r="L79" s="22">
        <v>365000000</v>
      </c>
      <c r="M79" s="134">
        <f t="shared" si="6"/>
        <v>1</v>
      </c>
      <c r="N79" s="134">
        <f t="shared" si="7"/>
        <v>0</v>
      </c>
    </row>
    <row r="80" spans="2:14" ht="11.1" customHeight="1" x14ac:dyDescent="0.3">
      <c r="B80" s="19">
        <v>73</v>
      </c>
      <c r="C80" s="22">
        <v>200404626.69031045</v>
      </c>
      <c r="D80" s="23">
        <v>1.9318454185644225</v>
      </c>
      <c r="E80" s="22">
        <v>117122060.21248741</v>
      </c>
      <c r="F80" s="23">
        <v>1.5110222563819675</v>
      </c>
      <c r="G80" s="22">
        <v>83282566.477823034</v>
      </c>
      <c r="H80" s="23">
        <v>0.42082316218245497</v>
      </c>
      <c r="I80" s="23">
        <f t="shared" si="5"/>
        <v>197903951.02281579</v>
      </c>
      <c r="J80" s="4">
        <f t="shared" si="4"/>
        <v>12624694.865473649</v>
      </c>
      <c r="L80" s="22">
        <v>370000000</v>
      </c>
      <c r="M80" s="134">
        <f t="shared" si="6"/>
        <v>1</v>
      </c>
      <c r="N80" s="134">
        <f t="shared" si="7"/>
        <v>0</v>
      </c>
    </row>
    <row r="81" spans="2:14" ht="11.1" customHeight="1" x14ac:dyDescent="0.3">
      <c r="B81" s="19">
        <v>74</v>
      </c>
      <c r="C81" s="22">
        <v>203766616.24818626</v>
      </c>
      <c r="D81" s="23">
        <v>1.848172683447656</v>
      </c>
      <c r="E81" s="22">
        <v>120719376.89388421</v>
      </c>
      <c r="F81" s="23">
        <v>1.3910799473188666</v>
      </c>
      <c r="G81" s="22">
        <v>83047239.354302049</v>
      </c>
      <c r="H81" s="23">
        <v>0.45709273612878931</v>
      </c>
      <c r="I81" s="23">
        <f t="shared" si="5"/>
        <v>181685756.06264472</v>
      </c>
      <c r="J81" s="4">
        <f t="shared" si="4"/>
        <v>13712782.083863679</v>
      </c>
      <c r="L81" s="22">
        <v>375000000</v>
      </c>
      <c r="M81" s="134">
        <f t="shared" si="6"/>
        <v>1</v>
      </c>
      <c r="N81" s="134">
        <f t="shared" si="7"/>
        <v>0</v>
      </c>
    </row>
    <row r="82" spans="2:14" ht="11.1" customHeight="1" x14ac:dyDescent="0.3">
      <c r="B82" s="19">
        <v>75</v>
      </c>
      <c r="C82" s="22">
        <v>205747811.54197532</v>
      </c>
      <c r="D82" s="23">
        <v>1.9096054755638789</v>
      </c>
      <c r="E82" s="22">
        <v>122508901.54671434</v>
      </c>
      <c r="F82" s="23">
        <v>1.4534908128196768</v>
      </c>
      <c r="G82" s="22">
        <v>83238909.995260984</v>
      </c>
      <c r="H82" s="23">
        <v>0.45611466274420209</v>
      </c>
      <c r="I82" s="23">
        <f t="shared" si="5"/>
        <v>182495580.15621823</v>
      </c>
      <c r="J82" s="4">
        <f t="shared" si="4"/>
        <v>13683439.882326063</v>
      </c>
      <c r="L82" s="22">
        <v>380000000</v>
      </c>
      <c r="M82" s="134">
        <f t="shared" si="6"/>
        <v>1</v>
      </c>
      <c r="N82" s="134">
        <f t="shared" si="7"/>
        <v>0</v>
      </c>
    </row>
    <row r="83" spans="2:14" ht="11.1" customHeight="1" x14ac:dyDescent="0.3">
      <c r="B83" s="19">
        <v>76</v>
      </c>
      <c r="C83" s="22">
        <v>203434502.40068617</v>
      </c>
      <c r="D83" s="23">
        <v>2.5342846156691499</v>
      </c>
      <c r="E83" s="22">
        <v>120373259.9382582</v>
      </c>
      <c r="F83" s="23">
        <v>2.0627899947808528</v>
      </c>
      <c r="G83" s="22">
        <v>83061242.462427974</v>
      </c>
      <c r="H83" s="23">
        <v>0.47149462088829708</v>
      </c>
      <c r="I83" s="23">
        <f t="shared" si="5"/>
        <v>176165832.61531252</v>
      </c>
      <c r="J83" s="4">
        <f t="shared" si="4"/>
        <v>14144838.626648912</v>
      </c>
      <c r="L83" s="22">
        <v>385000000</v>
      </c>
      <c r="M83" s="134">
        <f t="shared" si="6"/>
        <v>1</v>
      </c>
      <c r="N83" s="134">
        <f t="shared" si="7"/>
        <v>0</v>
      </c>
    </row>
    <row r="84" spans="2:14" ht="11.1" customHeight="1" x14ac:dyDescent="0.3">
      <c r="B84" s="19">
        <v>77</v>
      </c>
      <c r="C84" s="22">
        <v>203260698.88581759</v>
      </c>
      <c r="D84" s="23">
        <v>1.9093115641109801</v>
      </c>
      <c r="E84" s="22">
        <v>120171728.25719561</v>
      </c>
      <c r="F84" s="23">
        <v>1.4827537498457146</v>
      </c>
      <c r="G84" s="22">
        <v>83088970.628621981</v>
      </c>
      <c r="H84" s="23">
        <v>0.42655781426526551</v>
      </c>
      <c r="I84" s="23">
        <f t="shared" si="5"/>
        <v>194789470.14894223</v>
      </c>
      <c r="J84" s="4">
        <f t="shared" si="4"/>
        <v>12796734.427957965</v>
      </c>
      <c r="L84" s="22">
        <v>390000000</v>
      </c>
      <c r="M84" s="134">
        <f t="shared" si="6"/>
        <v>1</v>
      </c>
      <c r="N84" s="134">
        <f t="shared" si="7"/>
        <v>0</v>
      </c>
    </row>
    <row r="85" spans="2:14" ht="11.1" customHeight="1" x14ac:dyDescent="0.3">
      <c r="B85" s="19">
        <v>78</v>
      </c>
      <c r="C85" s="22">
        <v>204609972.95488951</v>
      </c>
      <c r="D85" s="23">
        <v>2.0261371216713164</v>
      </c>
      <c r="E85" s="22">
        <v>121701765.3054015</v>
      </c>
      <c r="F85" s="23">
        <v>1.5544867340629014</v>
      </c>
      <c r="G85" s="22">
        <v>82908207.649488002</v>
      </c>
      <c r="H85" s="23">
        <v>0.47165038760841504</v>
      </c>
      <c r="I85" s="23">
        <f t="shared" si="5"/>
        <v>175783185.65556243</v>
      </c>
      <c r="J85" s="4">
        <f t="shared" si="4"/>
        <v>14149511.628252452</v>
      </c>
      <c r="L85" s="22">
        <v>395000000</v>
      </c>
      <c r="M85" s="134">
        <f t="shared" si="6"/>
        <v>1</v>
      </c>
      <c r="N85" s="134">
        <f t="shared" si="7"/>
        <v>0</v>
      </c>
    </row>
    <row r="86" spans="2:14" ht="11.1" customHeight="1" x14ac:dyDescent="0.3">
      <c r="B86" s="19">
        <v>79</v>
      </c>
      <c r="C86" s="22">
        <v>203484535.80980563</v>
      </c>
      <c r="D86" s="23">
        <v>2.2297803184840919</v>
      </c>
      <c r="E86" s="22">
        <v>120874489.99266656</v>
      </c>
      <c r="F86" s="23">
        <v>1.7289364283301512</v>
      </c>
      <c r="G86" s="22">
        <v>82610045.817139074</v>
      </c>
      <c r="H86" s="23">
        <v>0.50084389015394071</v>
      </c>
      <c r="I86" s="23">
        <f t="shared" si="5"/>
        <v>164941706.27048647</v>
      </c>
      <c r="J86" s="4">
        <f t="shared" si="4"/>
        <v>15025316.704618221</v>
      </c>
      <c r="L86" s="22">
        <v>400000000</v>
      </c>
      <c r="M86" s="134">
        <f t="shared" si="6"/>
        <v>1</v>
      </c>
      <c r="N86" s="134">
        <f t="shared" si="7"/>
        <v>0</v>
      </c>
    </row>
    <row r="87" spans="2:14" ht="11.1" customHeight="1" x14ac:dyDescent="0.3">
      <c r="B87" s="19">
        <v>80</v>
      </c>
      <c r="C87" s="22">
        <v>199383409.25114822</v>
      </c>
      <c r="D87" s="23">
        <v>2.1661500628869756</v>
      </c>
      <c r="E87" s="22">
        <v>116701997.35443708</v>
      </c>
      <c r="F87" s="23">
        <v>1.714910659856375</v>
      </c>
      <c r="G87" s="22">
        <v>82681411.896711141</v>
      </c>
      <c r="H87" s="23">
        <v>0.45123940303060062</v>
      </c>
      <c r="I87" s="23">
        <f t="shared" si="5"/>
        <v>183231808.52870718</v>
      </c>
      <c r="J87" s="4">
        <f t="shared" si="4"/>
        <v>13537182.090918019</v>
      </c>
      <c r="L87" s="22">
        <v>405000000</v>
      </c>
      <c r="M87" s="134">
        <f t="shared" si="6"/>
        <v>1</v>
      </c>
      <c r="N87" s="134">
        <f t="shared" si="7"/>
        <v>0</v>
      </c>
    </row>
    <row r="88" spans="2:14" ht="11.1" customHeight="1" x14ac:dyDescent="0.3">
      <c r="B88" s="19">
        <v>81</v>
      </c>
      <c r="C88" s="22">
        <v>200073764.23286283</v>
      </c>
      <c r="D88" s="23">
        <v>1.820295391666743</v>
      </c>
      <c r="E88" s="22">
        <v>116641962.03739548</v>
      </c>
      <c r="F88" s="23">
        <v>1.3846453796032181</v>
      </c>
      <c r="G88" s="22">
        <v>83431802.195467353</v>
      </c>
      <c r="H88" s="23">
        <v>0.43565001206352494</v>
      </c>
      <c r="I88" s="23">
        <f t="shared" si="5"/>
        <v>191511075.14098179</v>
      </c>
      <c r="J88" s="4">
        <f t="shared" si="4"/>
        <v>13069500.361905748</v>
      </c>
      <c r="L88" s="22">
        <v>410000000</v>
      </c>
      <c r="M88" s="134">
        <f t="shared" si="6"/>
        <v>1</v>
      </c>
      <c r="N88" s="134">
        <f t="shared" si="7"/>
        <v>0</v>
      </c>
    </row>
    <row r="89" spans="2:14" ht="11.1" customHeight="1" x14ac:dyDescent="0.3">
      <c r="B89" s="19">
        <v>82</v>
      </c>
      <c r="C89" s="22">
        <v>199442724.17244419</v>
      </c>
      <c r="D89" s="23">
        <v>1.837023539171595</v>
      </c>
      <c r="E89" s="22">
        <v>116278171.43812299</v>
      </c>
      <c r="F89" s="23">
        <v>1.3929060589014981</v>
      </c>
      <c r="G89" s="22">
        <v>83164552.734321207</v>
      </c>
      <c r="H89" s="23">
        <v>0.4441174802700969</v>
      </c>
      <c r="I89" s="23">
        <f t="shared" si="5"/>
        <v>187258003.63395604</v>
      </c>
      <c r="J89" s="4">
        <f t="shared" si="4"/>
        <v>13323524.408102907</v>
      </c>
      <c r="L89" s="22">
        <v>415000000</v>
      </c>
      <c r="M89" s="134">
        <f t="shared" si="6"/>
        <v>1</v>
      </c>
      <c r="N89" s="134">
        <f t="shared" si="7"/>
        <v>0</v>
      </c>
    </row>
    <row r="90" spans="2:14" ht="11.1" customHeight="1" x14ac:dyDescent="0.3">
      <c r="B90" s="19">
        <v>83</v>
      </c>
      <c r="C90" s="22">
        <v>199430429.17624116</v>
      </c>
      <c r="D90" s="23">
        <v>2.1040891187513262</v>
      </c>
      <c r="E90" s="22">
        <v>116225581.08119799</v>
      </c>
      <c r="F90" s="23">
        <v>1.6493869618453711</v>
      </c>
      <c r="G90" s="22">
        <v>83204848.095043167</v>
      </c>
      <c r="H90" s="23">
        <v>0.45470215690595506</v>
      </c>
      <c r="I90" s="23">
        <f t="shared" si="5"/>
        <v>182987581.71989983</v>
      </c>
      <c r="J90" s="4">
        <f t="shared" si="4"/>
        <v>13641064.707178652</v>
      </c>
      <c r="L90" s="22">
        <v>420000000</v>
      </c>
      <c r="M90" s="134">
        <f t="shared" si="6"/>
        <v>1</v>
      </c>
      <c r="N90" s="134">
        <f t="shared" si="7"/>
        <v>0</v>
      </c>
    </row>
    <row r="91" spans="2:14" ht="11.1" customHeight="1" x14ac:dyDescent="0.3">
      <c r="B91" s="19">
        <v>84</v>
      </c>
      <c r="C91" s="22">
        <v>199554524.44339544</v>
      </c>
      <c r="D91" s="23">
        <v>2.2769435228765271</v>
      </c>
      <c r="E91" s="22">
        <v>116663430.81426528</v>
      </c>
      <c r="F91" s="23">
        <v>1.7766205781485009</v>
      </c>
      <c r="G91" s="22">
        <v>82891093.629130155</v>
      </c>
      <c r="H91" s="23">
        <v>0.50032294472802619</v>
      </c>
      <c r="I91" s="23">
        <f t="shared" si="5"/>
        <v>165675179.4067519</v>
      </c>
      <c r="J91" s="4">
        <f t="shared" si="4"/>
        <v>15009688.341840785</v>
      </c>
      <c r="L91" s="22">
        <v>425000000</v>
      </c>
      <c r="M91" s="134">
        <f t="shared" si="6"/>
        <v>1</v>
      </c>
      <c r="N91" s="134">
        <f t="shared" si="7"/>
        <v>0</v>
      </c>
    </row>
    <row r="92" spans="2:14" ht="11.1" customHeight="1" x14ac:dyDescent="0.3">
      <c r="B92" s="19">
        <v>85</v>
      </c>
      <c r="C92" s="22">
        <v>200900051.15001276</v>
      </c>
      <c r="D92" s="23">
        <v>2.0271232910397479</v>
      </c>
      <c r="E92" s="22">
        <v>118057869.7253357</v>
      </c>
      <c r="F92" s="23">
        <v>1.5482414795337585</v>
      </c>
      <c r="G92" s="22">
        <v>82842181.424677059</v>
      </c>
      <c r="H92" s="23">
        <v>0.47888181150598941</v>
      </c>
      <c r="I92" s="23">
        <f t="shared" si="5"/>
        <v>172990870.47001147</v>
      </c>
      <c r="J92" s="4">
        <f t="shared" si="4"/>
        <v>14366454.345179683</v>
      </c>
      <c r="L92" s="22">
        <v>430000000</v>
      </c>
      <c r="M92" s="134">
        <f t="shared" si="6"/>
        <v>1</v>
      </c>
      <c r="N92" s="134">
        <f t="shared" si="7"/>
        <v>0</v>
      </c>
    </row>
    <row r="93" spans="2:14" ht="11.1" customHeight="1" x14ac:dyDescent="0.3">
      <c r="B93" s="19">
        <v>86</v>
      </c>
      <c r="C93" s="22">
        <v>202254239.86967251</v>
      </c>
      <c r="D93" s="23">
        <v>1.6393908964201966</v>
      </c>
      <c r="E93" s="22">
        <v>119221155.68615358</v>
      </c>
      <c r="F93" s="23">
        <v>1.2243944429981348</v>
      </c>
      <c r="G93" s="22">
        <v>83033084.183518931</v>
      </c>
      <c r="H93" s="23">
        <v>0.41499645342206182</v>
      </c>
      <c r="I93" s="23">
        <f t="shared" si="5"/>
        <v>200081430.81423447</v>
      </c>
      <c r="J93" s="4">
        <f t="shared" si="4"/>
        <v>12449893.602661854</v>
      </c>
      <c r="L93" s="22">
        <v>435000000</v>
      </c>
      <c r="M93" s="134">
        <f t="shared" si="6"/>
        <v>1</v>
      </c>
      <c r="N93" s="134">
        <f t="shared" si="7"/>
        <v>0</v>
      </c>
    </row>
    <row r="94" spans="2:14" ht="11.1" customHeight="1" x14ac:dyDescent="0.3">
      <c r="B94" s="19">
        <v>87</v>
      </c>
      <c r="C94" s="22">
        <v>200637570.99625248</v>
      </c>
      <c r="D94" s="23">
        <v>1.7420965475995747</v>
      </c>
      <c r="E94" s="22">
        <v>117789190.19550806</v>
      </c>
      <c r="F94" s="23">
        <v>1.2866948014074056</v>
      </c>
      <c r="G94" s="22">
        <v>82848380.800744414</v>
      </c>
      <c r="H94" s="23">
        <v>0.45540174619216911</v>
      </c>
      <c r="I94" s="23">
        <f t="shared" si="5"/>
        <v>181923722.28143433</v>
      </c>
      <c r="J94" s="4">
        <f t="shared" si="4"/>
        <v>13662052.385765074</v>
      </c>
      <c r="L94" s="22">
        <v>440000000</v>
      </c>
      <c r="M94" s="134">
        <f t="shared" si="6"/>
        <v>1</v>
      </c>
      <c r="N94" s="134">
        <f t="shared" si="7"/>
        <v>0</v>
      </c>
    </row>
    <row r="95" spans="2:14" ht="11.1" customHeight="1" x14ac:dyDescent="0.3">
      <c r="B95" s="19">
        <v>88</v>
      </c>
      <c r="C95" s="22">
        <v>203358947.11409953</v>
      </c>
      <c r="D95" s="23">
        <v>1.8954437374364093</v>
      </c>
      <c r="E95" s="22">
        <v>120406951.19313213</v>
      </c>
      <c r="F95" s="23">
        <v>1.4296682851561253</v>
      </c>
      <c r="G95" s="22">
        <v>82951995.9209674</v>
      </c>
      <c r="H95" s="23">
        <v>0.46577545228028394</v>
      </c>
      <c r="I95" s="23">
        <f t="shared" si="5"/>
        <v>178094391.86814508</v>
      </c>
      <c r="J95" s="4">
        <f t="shared" si="4"/>
        <v>13973263.568408519</v>
      </c>
      <c r="L95" s="22">
        <v>445000000</v>
      </c>
      <c r="M95" s="134">
        <f t="shared" si="6"/>
        <v>1</v>
      </c>
      <c r="N95" s="134">
        <f t="shared" si="7"/>
        <v>0</v>
      </c>
    </row>
    <row r="96" spans="2:14" ht="11.1" customHeight="1" x14ac:dyDescent="0.3">
      <c r="B96" s="19">
        <v>89</v>
      </c>
      <c r="C96" s="22">
        <v>202858294.37184969</v>
      </c>
      <c r="D96" s="23">
        <v>2.3311129168774656</v>
      </c>
      <c r="E96" s="22">
        <v>119596424.38321149</v>
      </c>
      <c r="F96" s="23">
        <v>1.869711860811897</v>
      </c>
      <c r="G96" s="22">
        <v>83261869.988638192</v>
      </c>
      <c r="H96" s="23">
        <v>0.46140105606556858</v>
      </c>
      <c r="I96" s="23">
        <f t="shared" si="5"/>
        <v>180454441.73583785</v>
      </c>
      <c r="J96" s="4">
        <f t="shared" si="4"/>
        <v>13842031.681967057</v>
      </c>
      <c r="L96" s="22">
        <v>450000000</v>
      </c>
      <c r="M96" s="134">
        <f t="shared" si="6"/>
        <v>1</v>
      </c>
      <c r="N96" s="134">
        <f t="shared" si="7"/>
        <v>0</v>
      </c>
    </row>
    <row r="97" spans="2:14" ht="11.1" customHeight="1" x14ac:dyDescent="0.3">
      <c r="B97" s="19">
        <v>90</v>
      </c>
      <c r="C97" s="22">
        <v>201682162.95316243</v>
      </c>
      <c r="D97" s="23">
        <v>2.1957387978267411</v>
      </c>
      <c r="E97" s="22">
        <v>118670465.94758527</v>
      </c>
      <c r="F97" s="23">
        <v>1.7023930330407713</v>
      </c>
      <c r="G97" s="22">
        <v>83011697.005577162</v>
      </c>
      <c r="H97" s="23">
        <v>0.49334576478596981</v>
      </c>
      <c r="I97" s="23">
        <f t="shared" si="5"/>
        <v>168262713.35599783</v>
      </c>
      <c r="J97" s="4">
        <f t="shared" si="4"/>
        <v>14800372.943579094</v>
      </c>
      <c r="L97" s="22">
        <v>455000000</v>
      </c>
      <c r="M97" s="134">
        <f t="shared" si="6"/>
        <v>1</v>
      </c>
      <c r="N97" s="134">
        <f t="shared" si="7"/>
        <v>0</v>
      </c>
    </row>
    <row r="98" spans="2:14" ht="11.1" customHeight="1" x14ac:dyDescent="0.3">
      <c r="B98" s="19">
        <v>91</v>
      </c>
      <c r="C98" s="22">
        <v>209523519.9855909</v>
      </c>
      <c r="D98" s="23">
        <v>1.9675946705366272</v>
      </c>
      <c r="E98" s="22">
        <v>126443405.70060889</v>
      </c>
      <c r="F98" s="23">
        <v>1.5056647496280262</v>
      </c>
      <c r="G98" s="22">
        <v>83080114.284982011</v>
      </c>
      <c r="H98" s="23">
        <v>0.46192992090860097</v>
      </c>
      <c r="I98" s="23">
        <f t="shared" si="5"/>
        <v>179854368.64874688</v>
      </c>
      <c r="J98" s="4">
        <f t="shared" si="4"/>
        <v>13857897.627258029</v>
      </c>
      <c r="L98" s="22">
        <v>460000000</v>
      </c>
      <c r="M98" s="134">
        <f t="shared" si="6"/>
        <v>1</v>
      </c>
      <c r="N98" s="134">
        <f t="shared" si="7"/>
        <v>0</v>
      </c>
    </row>
    <row r="99" spans="2:14" ht="11.1" customHeight="1" x14ac:dyDescent="0.3">
      <c r="B99" s="19">
        <v>92</v>
      </c>
      <c r="C99" s="22">
        <v>198436667.41682264</v>
      </c>
      <c r="D99" s="23">
        <v>2.1230970093374477</v>
      </c>
      <c r="E99" s="22">
        <v>115276958.21498758</v>
      </c>
      <c r="F99" s="23">
        <v>1.6411515416325604</v>
      </c>
      <c r="G99" s="22">
        <v>83159709.201835066</v>
      </c>
      <c r="H99" s="23">
        <v>0.48194546770488733</v>
      </c>
      <c r="I99" s="23">
        <f t="shared" si="5"/>
        <v>172550038.90348184</v>
      </c>
      <c r="J99" s="4">
        <f t="shared" si="4"/>
        <v>14458364.031146619</v>
      </c>
      <c r="L99" s="22">
        <v>465000000</v>
      </c>
      <c r="M99" s="134">
        <f t="shared" si="6"/>
        <v>1</v>
      </c>
      <c r="N99" s="134">
        <f t="shared" si="7"/>
        <v>0</v>
      </c>
    </row>
    <row r="100" spans="2:14" ht="11.1" customHeight="1" x14ac:dyDescent="0.3">
      <c r="B100" s="19">
        <v>93</v>
      </c>
      <c r="C100" s="22">
        <v>201472822.74062943</v>
      </c>
      <c r="D100" s="23">
        <v>2.0368628991425748</v>
      </c>
      <c r="E100" s="22">
        <v>118269419.71348909</v>
      </c>
      <c r="F100" s="23">
        <v>1.5576236661019387</v>
      </c>
      <c r="G100" s="22">
        <v>83203403.027140349</v>
      </c>
      <c r="H100" s="23">
        <v>0.47923923304063609</v>
      </c>
      <c r="I100" s="23">
        <f t="shared" si="5"/>
        <v>173615591.73533961</v>
      </c>
      <c r="J100" s="4">
        <f t="shared" si="4"/>
        <v>14377176.991219083</v>
      </c>
      <c r="L100" s="22">
        <v>470000000</v>
      </c>
      <c r="M100" s="134">
        <f t="shared" si="6"/>
        <v>1</v>
      </c>
      <c r="N100" s="134">
        <f t="shared" si="7"/>
        <v>0</v>
      </c>
    </row>
    <row r="101" spans="2:14" ht="11.1" customHeight="1" x14ac:dyDescent="0.3">
      <c r="B101" s="19">
        <v>94</v>
      </c>
      <c r="C101" s="22">
        <v>204680500.73700374</v>
      </c>
      <c r="D101" s="23">
        <v>1.6649213803107823</v>
      </c>
      <c r="E101" s="22">
        <v>121629081.26045325</v>
      </c>
      <c r="F101" s="23">
        <v>1.2500399521275871</v>
      </c>
      <c r="G101" s="22">
        <v>83051419.47655049</v>
      </c>
      <c r="H101" s="23">
        <v>0.41488142818319518</v>
      </c>
      <c r="I101" s="23">
        <f t="shared" si="5"/>
        <v>200181097.1395863</v>
      </c>
      <c r="J101" s="4">
        <f t="shared" si="4"/>
        <v>12446442.845495855</v>
      </c>
      <c r="L101" s="22">
        <v>475000000</v>
      </c>
      <c r="M101" s="134">
        <f t="shared" si="6"/>
        <v>1</v>
      </c>
      <c r="N101" s="134">
        <f t="shared" si="7"/>
        <v>0</v>
      </c>
    </row>
    <row r="102" spans="2:14" ht="11.1" customHeight="1" x14ac:dyDescent="0.3">
      <c r="B102" s="19">
        <v>95</v>
      </c>
      <c r="C102" s="22">
        <v>204592899.42766473</v>
      </c>
      <c r="D102" s="23">
        <v>2.2483895698413252</v>
      </c>
      <c r="E102" s="22">
        <v>121859044.13080579</v>
      </c>
      <c r="F102" s="23">
        <v>1.8009971147971728</v>
      </c>
      <c r="G102" s="22">
        <v>82733855.296858937</v>
      </c>
      <c r="H102" s="23">
        <v>0.44739245504415237</v>
      </c>
      <c r="I102" s="23">
        <f t="shared" si="5"/>
        <v>184924565.36553365</v>
      </c>
      <c r="J102" s="4">
        <f t="shared" si="4"/>
        <v>13421773.651324572</v>
      </c>
      <c r="L102" s="22">
        <v>480000000</v>
      </c>
      <c r="M102" s="134">
        <f t="shared" si="6"/>
        <v>1</v>
      </c>
      <c r="N102" s="134">
        <f t="shared" si="7"/>
        <v>0</v>
      </c>
    </row>
    <row r="103" spans="2:14" ht="11.1" customHeight="1" x14ac:dyDescent="0.3">
      <c r="B103" s="19">
        <v>96</v>
      </c>
      <c r="C103" s="22">
        <v>200801574.29535767</v>
      </c>
      <c r="D103" s="23">
        <v>1.9113337865020277</v>
      </c>
      <c r="E103" s="22">
        <v>117416668.40644486</v>
      </c>
      <c r="F103" s="23">
        <v>1.4585016644136677</v>
      </c>
      <c r="G103" s="22">
        <v>83384905.888912812</v>
      </c>
      <c r="H103" s="23">
        <v>0.45283212208835999</v>
      </c>
      <c r="I103" s="23">
        <f t="shared" si="5"/>
        <v>184140880.96127182</v>
      </c>
      <c r="J103" s="4">
        <f t="shared" si="4"/>
        <v>13584963.662650799</v>
      </c>
      <c r="L103" s="22">
        <v>485000000</v>
      </c>
      <c r="M103" s="134">
        <f t="shared" si="6"/>
        <v>1</v>
      </c>
      <c r="N103" s="134">
        <f t="shared" si="7"/>
        <v>0</v>
      </c>
    </row>
    <row r="104" spans="2:14" ht="11.1" customHeight="1" x14ac:dyDescent="0.3">
      <c r="B104" s="19">
        <v>97</v>
      </c>
      <c r="C104" s="22">
        <v>200859776.42783403</v>
      </c>
      <c r="D104" s="23">
        <v>1.8031709884321785</v>
      </c>
      <c r="E104" s="22">
        <v>117827437.56702606</v>
      </c>
      <c r="F104" s="23">
        <v>1.3866646910140343</v>
      </c>
      <c r="G104" s="22">
        <v>83032338.86080797</v>
      </c>
      <c r="H104" s="23">
        <v>0.41650629741814416</v>
      </c>
      <c r="I104" s="23">
        <f t="shared" si="5"/>
        <v>199354342.00037825</v>
      </c>
      <c r="J104" s="4">
        <f t="shared" si="4"/>
        <v>12495188.922544325</v>
      </c>
      <c r="L104" s="22">
        <v>490000000</v>
      </c>
      <c r="M104" s="134">
        <f t="shared" si="6"/>
        <v>1</v>
      </c>
      <c r="N104" s="134">
        <f t="shared" si="7"/>
        <v>0</v>
      </c>
    </row>
    <row r="105" spans="2:14" ht="11.1" customHeight="1" x14ac:dyDescent="0.3">
      <c r="B105" s="19">
        <v>98</v>
      </c>
      <c r="C105" s="22">
        <v>198785900.31001401</v>
      </c>
      <c r="D105" s="23">
        <v>1.7383888553901028</v>
      </c>
      <c r="E105" s="22">
        <v>115811163.35723238</v>
      </c>
      <c r="F105" s="23">
        <v>1.2837060170606789</v>
      </c>
      <c r="G105" s="22">
        <v>82974736.952781633</v>
      </c>
      <c r="H105" s="23">
        <v>0.45468283832942391</v>
      </c>
      <c r="I105" s="23">
        <f t="shared" si="5"/>
        <v>182489264.9514634</v>
      </c>
      <c r="J105" s="4">
        <f t="shared" si="4"/>
        <v>13640485.149882717</v>
      </c>
      <c r="L105" s="22">
        <v>495000000</v>
      </c>
      <c r="M105" s="134">
        <f t="shared" si="6"/>
        <v>1</v>
      </c>
      <c r="N105" s="134">
        <f t="shared" si="7"/>
        <v>0</v>
      </c>
    </row>
    <row r="106" spans="2:14" ht="11.1" customHeight="1" x14ac:dyDescent="0.3">
      <c r="B106" s="19">
        <v>99</v>
      </c>
      <c r="C106" s="22">
        <v>205620993.07017148</v>
      </c>
      <c r="D106" s="23">
        <v>2.3245431608951623</v>
      </c>
      <c r="E106" s="22">
        <v>122204027.1176194</v>
      </c>
      <c r="F106" s="23">
        <v>1.8480156890641188</v>
      </c>
      <c r="G106" s="22">
        <v>83416965.95255208</v>
      </c>
      <c r="H106" s="23">
        <v>0.47652747183104349</v>
      </c>
      <c r="I106" s="23">
        <f t="shared" si="5"/>
        <v>175051745.98229295</v>
      </c>
      <c r="J106" s="4">
        <f t="shared" si="4"/>
        <v>14295824.154931305</v>
      </c>
      <c r="L106" s="22">
        <v>500000000</v>
      </c>
      <c r="M106" s="134">
        <f t="shared" si="6"/>
        <v>1</v>
      </c>
      <c r="N106" s="134">
        <f t="shared" si="7"/>
        <v>0</v>
      </c>
    </row>
    <row r="107" spans="2:14" ht="11.1" customHeight="1" x14ac:dyDescent="0.3">
      <c r="B107" s="19">
        <v>100</v>
      </c>
      <c r="C107" s="22">
        <v>202720581.24576321</v>
      </c>
      <c r="D107" s="23">
        <v>2.186081109000404</v>
      </c>
      <c r="E107" s="22">
        <v>120176232.35272478</v>
      </c>
      <c r="F107" s="23">
        <v>1.7085165981770718</v>
      </c>
      <c r="G107" s="22">
        <v>82544348.893038437</v>
      </c>
      <c r="H107" s="23">
        <v>0.47756451082333218</v>
      </c>
      <c r="I107" s="23">
        <f t="shared" si="5"/>
        <v>172844394.88757253</v>
      </c>
      <c r="J107" s="4">
        <f t="shared" si="4"/>
        <v>14326935.324699966</v>
      </c>
      <c r="L107" s="22">
        <v>505000000</v>
      </c>
      <c r="M107" s="134">
        <f t="shared" si="6"/>
        <v>1</v>
      </c>
      <c r="N107" s="134">
        <f t="shared" si="7"/>
        <v>0</v>
      </c>
    </row>
    <row r="108" spans="2:14" ht="11.1" customHeight="1" x14ac:dyDescent="0.3">
      <c r="B108" s="19">
        <v>101</v>
      </c>
      <c r="C108" s="22">
        <v>202052762.85947692</v>
      </c>
      <c r="D108" s="23">
        <v>2.2196276849417975</v>
      </c>
      <c r="E108" s="22">
        <v>119344649.4684815</v>
      </c>
      <c r="F108" s="23">
        <v>1.7425922495477824</v>
      </c>
      <c r="G108" s="22">
        <v>82708113.390995428</v>
      </c>
      <c r="H108" s="23">
        <v>0.47703543539401516</v>
      </c>
      <c r="I108" s="23">
        <f t="shared" si="5"/>
        <v>173379391.24518353</v>
      </c>
      <c r="J108" s="4">
        <f t="shared" si="4"/>
        <v>14311063.061820455</v>
      </c>
      <c r="L108" s="22">
        <v>510000000</v>
      </c>
      <c r="M108" s="134">
        <f t="shared" si="6"/>
        <v>1</v>
      </c>
      <c r="N108" s="134">
        <f t="shared" si="7"/>
        <v>0</v>
      </c>
    </row>
    <row r="109" spans="2:14" ht="11.1" customHeight="1" x14ac:dyDescent="0.3">
      <c r="B109" s="19">
        <v>102</v>
      </c>
      <c r="C109" s="22">
        <v>203596531.19450545</v>
      </c>
      <c r="D109" s="23">
        <v>1.8520517795679505</v>
      </c>
      <c r="E109" s="22">
        <v>120756554.50207856</v>
      </c>
      <c r="F109" s="23">
        <v>1.4147178621110332</v>
      </c>
      <c r="G109" s="22">
        <v>82839976.69242689</v>
      </c>
      <c r="H109" s="23">
        <v>0.4373339174569173</v>
      </c>
      <c r="I109" s="23">
        <f t="shared" si="5"/>
        <v>189420425.41346598</v>
      </c>
      <c r="J109" s="4">
        <f t="shared" si="4"/>
        <v>13120017.523707518</v>
      </c>
      <c r="L109" s="22">
        <v>515000000</v>
      </c>
      <c r="M109" s="134">
        <f t="shared" si="6"/>
        <v>1</v>
      </c>
      <c r="N109" s="134">
        <f t="shared" si="7"/>
        <v>0</v>
      </c>
    </row>
    <row r="110" spans="2:14" ht="11.1" customHeight="1" x14ac:dyDescent="0.3">
      <c r="B110" s="19">
        <v>103</v>
      </c>
      <c r="C110" s="22">
        <v>202308664.69588783</v>
      </c>
      <c r="D110" s="23">
        <v>2.201644904303758</v>
      </c>
      <c r="E110" s="22">
        <v>118856396.04067904</v>
      </c>
      <c r="F110" s="23">
        <v>1.7024796211301265</v>
      </c>
      <c r="G110" s="22">
        <v>83452268.655208796</v>
      </c>
      <c r="H110" s="23">
        <v>0.49916528317363151</v>
      </c>
      <c r="I110" s="23">
        <f t="shared" si="5"/>
        <v>167183639.30405882</v>
      </c>
      <c r="J110" s="4">
        <f t="shared" si="4"/>
        <v>14974958.495208945</v>
      </c>
      <c r="L110" s="22">
        <v>520000000</v>
      </c>
      <c r="M110" s="134">
        <f t="shared" si="6"/>
        <v>1</v>
      </c>
      <c r="N110" s="134">
        <f t="shared" si="7"/>
        <v>0</v>
      </c>
    </row>
    <row r="111" spans="2:14" ht="11.1" customHeight="1" x14ac:dyDescent="0.3">
      <c r="B111" s="19">
        <v>104</v>
      </c>
      <c r="C111" s="22">
        <v>202532677.50223094</v>
      </c>
      <c r="D111" s="23">
        <v>1.9833089750044317</v>
      </c>
      <c r="E111" s="22">
        <v>119022440.52992207</v>
      </c>
      <c r="F111" s="23">
        <v>1.5326959243165219</v>
      </c>
      <c r="G111" s="22">
        <v>83510236.972308874</v>
      </c>
      <c r="H111" s="23">
        <v>0.4506130506879098</v>
      </c>
      <c r="I111" s="23">
        <f t="shared" si="5"/>
        <v>185325828.54584754</v>
      </c>
      <c r="J111" s="4">
        <f t="shared" si="4"/>
        <v>13518391.520637294</v>
      </c>
      <c r="L111" s="22">
        <v>525000000</v>
      </c>
      <c r="M111" s="134">
        <f t="shared" si="6"/>
        <v>1</v>
      </c>
      <c r="N111" s="134">
        <f t="shared" si="7"/>
        <v>0</v>
      </c>
    </row>
    <row r="112" spans="2:14" ht="11.1" customHeight="1" x14ac:dyDescent="0.3">
      <c r="B112" s="19">
        <v>105</v>
      </c>
      <c r="C112" s="22">
        <v>201582033.92704922</v>
      </c>
      <c r="D112" s="23">
        <v>2.061018053431515</v>
      </c>
      <c r="E112" s="22">
        <v>118502553.2016405</v>
      </c>
      <c r="F112" s="23">
        <v>1.6581795998243296</v>
      </c>
      <c r="G112" s="22">
        <v>83079480.725408718</v>
      </c>
      <c r="H112" s="23">
        <v>0.4028384536071854</v>
      </c>
      <c r="I112" s="23">
        <f t="shared" si="5"/>
        <v>206235228.98938772</v>
      </c>
      <c r="J112" s="4">
        <f t="shared" si="4"/>
        <v>12085153.608215561</v>
      </c>
      <c r="L112" s="22">
        <v>530000000</v>
      </c>
      <c r="M112" s="134">
        <f t="shared" si="6"/>
        <v>1</v>
      </c>
      <c r="N112" s="134">
        <f t="shared" si="7"/>
        <v>0</v>
      </c>
    </row>
    <row r="113" spans="2:14" ht="11.1" customHeight="1" x14ac:dyDescent="0.3">
      <c r="B113" s="19">
        <v>106</v>
      </c>
      <c r="C113" s="22">
        <v>203046644.40463582</v>
      </c>
      <c r="D113" s="23">
        <v>1.867147481562998</v>
      </c>
      <c r="E113" s="22">
        <v>120059876.05030333</v>
      </c>
      <c r="F113" s="23">
        <v>1.4329637203053267</v>
      </c>
      <c r="G113" s="22">
        <v>82986768.354332492</v>
      </c>
      <c r="H113" s="23">
        <v>0.43418376125767133</v>
      </c>
      <c r="I113" s="23">
        <f t="shared" si="5"/>
        <v>191132823.83926615</v>
      </c>
      <c r="J113" s="4">
        <f t="shared" si="4"/>
        <v>13025512.837730139</v>
      </c>
      <c r="L113" s="22">
        <v>535000000</v>
      </c>
      <c r="M113" s="134">
        <f t="shared" si="6"/>
        <v>1</v>
      </c>
      <c r="N113" s="134">
        <f t="shared" si="7"/>
        <v>0</v>
      </c>
    </row>
    <row r="114" spans="2:14" ht="11.1" customHeight="1" x14ac:dyDescent="0.3">
      <c r="B114" s="19">
        <v>107</v>
      </c>
      <c r="C114" s="22">
        <v>201148924.75200486</v>
      </c>
      <c r="D114" s="23">
        <v>2.0888602947170574</v>
      </c>
      <c r="E114" s="22">
        <v>118087299.11203471</v>
      </c>
      <c r="F114" s="23">
        <v>1.6061609969193817</v>
      </c>
      <c r="G114" s="22">
        <v>83061625.639970154</v>
      </c>
      <c r="H114" s="23">
        <v>0.48269929779767562</v>
      </c>
      <c r="I114" s="23">
        <f t="shared" si="5"/>
        <v>172077369.94634205</v>
      </c>
      <c r="J114" s="4">
        <f t="shared" si="4"/>
        <v>14480978.933930269</v>
      </c>
      <c r="L114" s="22">
        <v>540000000</v>
      </c>
      <c r="M114" s="134">
        <f t="shared" si="6"/>
        <v>1</v>
      </c>
      <c r="N114" s="134">
        <f t="shared" si="7"/>
        <v>0</v>
      </c>
    </row>
    <row r="115" spans="2:14" ht="11.1" customHeight="1" x14ac:dyDescent="0.3">
      <c r="B115" s="19">
        <v>108</v>
      </c>
      <c r="C115" s="22">
        <v>201093598.79501414</v>
      </c>
      <c r="D115" s="23">
        <v>1.9444952644759235</v>
      </c>
      <c r="E115" s="22">
        <v>118209223.7978078</v>
      </c>
      <c r="F115" s="23">
        <v>1.4904387108136874</v>
      </c>
      <c r="G115" s="22">
        <v>82884374.997206345</v>
      </c>
      <c r="H115" s="23">
        <v>0.45405655366223607</v>
      </c>
      <c r="I115" s="23">
        <f t="shared" si="5"/>
        <v>182541963.83400831</v>
      </c>
      <c r="J115" s="4">
        <f t="shared" si="4"/>
        <v>13621696.609867083</v>
      </c>
      <c r="L115" s="22">
        <v>545000000</v>
      </c>
      <c r="M115" s="134">
        <f t="shared" si="6"/>
        <v>1</v>
      </c>
      <c r="N115" s="134">
        <f t="shared" si="7"/>
        <v>0</v>
      </c>
    </row>
    <row r="116" spans="2:14" ht="11.1" customHeight="1" x14ac:dyDescent="0.3">
      <c r="B116" s="19">
        <v>109</v>
      </c>
      <c r="C116" s="22">
        <v>201301250.21860486</v>
      </c>
      <c r="D116" s="23">
        <v>2.1994510365053999</v>
      </c>
      <c r="E116" s="22">
        <v>118447237.64557466</v>
      </c>
      <c r="F116" s="23">
        <v>1.7330045553672322</v>
      </c>
      <c r="G116" s="22">
        <v>82854012.573030204</v>
      </c>
      <c r="H116" s="23">
        <v>0.46644648113816767</v>
      </c>
      <c r="I116" s="23">
        <f t="shared" si="5"/>
        <v>177628122.24643567</v>
      </c>
      <c r="J116" s="4">
        <f t="shared" si="4"/>
        <v>13993394.43414503</v>
      </c>
      <c r="L116" s="22">
        <v>550000000</v>
      </c>
      <c r="M116" s="134">
        <f t="shared" si="6"/>
        <v>1</v>
      </c>
      <c r="N116" s="134">
        <f t="shared" si="7"/>
        <v>0</v>
      </c>
    </row>
    <row r="117" spans="2:14" ht="11.1" customHeight="1" x14ac:dyDescent="0.3">
      <c r="B117" s="19">
        <v>110</v>
      </c>
      <c r="C117" s="22">
        <v>202566274.83715552</v>
      </c>
      <c r="D117" s="23">
        <v>1.9252953135548938</v>
      </c>
      <c r="E117" s="22">
        <v>119602211.75043909</v>
      </c>
      <c r="F117" s="23">
        <v>1.4638457574067967</v>
      </c>
      <c r="G117" s="22">
        <v>82964063.086716428</v>
      </c>
      <c r="H117" s="23">
        <v>0.46144955614809713</v>
      </c>
      <c r="I117" s="23">
        <f t="shared" si="5"/>
        <v>179790102.69128969</v>
      </c>
      <c r="J117" s="4">
        <f t="shared" si="4"/>
        <v>13843486.684442913</v>
      </c>
      <c r="L117" s="22">
        <v>555000000</v>
      </c>
      <c r="M117" s="134">
        <f t="shared" si="6"/>
        <v>1</v>
      </c>
      <c r="N117" s="134">
        <f t="shared" si="7"/>
        <v>0</v>
      </c>
    </row>
    <row r="118" spans="2:14" ht="11.1" customHeight="1" x14ac:dyDescent="0.3">
      <c r="B118" s="19">
        <v>111</v>
      </c>
      <c r="C118" s="22">
        <v>199883694.06361938</v>
      </c>
      <c r="D118" s="23">
        <v>2.1647532586016545</v>
      </c>
      <c r="E118" s="22">
        <v>117131510.13070275</v>
      </c>
      <c r="F118" s="23">
        <v>1.6825033523863289</v>
      </c>
      <c r="G118" s="22">
        <v>82752183.932916626</v>
      </c>
      <c r="H118" s="23">
        <v>0.4822499062153256</v>
      </c>
      <c r="I118" s="23">
        <f t="shared" si="5"/>
        <v>171596060.18869314</v>
      </c>
      <c r="J118" s="4">
        <f t="shared" si="4"/>
        <v>14467497.186459769</v>
      </c>
      <c r="L118" s="22">
        <v>560000000</v>
      </c>
      <c r="M118" s="134">
        <f t="shared" si="6"/>
        <v>1</v>
      </c>
      <c r="N118" s="134">
        <f t="shared" si="7"/>
        <v>0</v>
      </c>
    </row>
    <row r="119" spans="2:14" ht="11.1" customHeight="1" x14ac:dyDescent="0.3">
      <c r="B119" s="19">
        <v>112</v>
      </c>
      <c r="C119" s="22">
        <v>201449062.70399973</v>
      </c>
      <c r="D119" s="23">
        <v>1.9851204876784905</v>
      </c>
      <c r="E119" s="22">
        <v>118449830.26184006</v>
      </c>
      <c r="F119" s="23">
        <v>1.501289425965622</v>
      </c>
      <c r="G119" s="22">
        <v>82999232.442159668</v>
      </c>
      <c r="H119" s="23">
        <v>0.48383106171286849</v>
      </c>
      <c r="I119" s="23">
        <f t="shared" si="5"/>
        <v>171545894.85909423</v>
      </c>
      <c r="J119" s="4">
        <f t="shared" si="4"/>
        <v>14514931.851386055</v>
      </c>
      <c r="L119" s="22">
        <v>565000000</v>
      </c>
      <c r="M119" s="134">
        <f t="shared" si="6"/>
        <v>1</v>
      </c>
      <c r="N119" s="134">
        <f t="shared" si="7"/>
        <v>0</v>
      </c>
    </row>
    <row r="120" spans="2:14" ht="11.1" customHeight="1" x14ac:dyDescent="0.3">
      <c r="B120" s="19">
        <v>113</v>
      </c>
      <c r="C120" s="22">
        <v>202696561.17252627</v>
      </c>
      <c r="D120" s="23">
        <v>1.7803382065768818</v>
      </c>
      <c r="E120" s="22">
        <v>119619997.91532253</v>
      </c>
      <c r="F120" s="23">
        <v>1.332716521447409</v>
      </c>
      <c r="G120" s="22">
        <v>83076563.257203743</v>
      </c>
      <c r="H120" s="23">
        <v>0.44762168512947276</v>
      </c>
      <c r="I120" s="23">
        <f t="shared" si="5"/>
        <v>185595483.90327466</v>
      </c>
      <c r="J120" s="4">
        <f t="shared" si="4"/>
        <v>13428650.553884182</v>
      </c>
      <c r="L120" s="22">
        <v>570000000</v>
      </c>
      <c r="M120" s="134">
        <f t="shared" si="6"/>
        <v>1</v>
      </c>
      <c r="N120" s="134">
        <f t="shared" si="7"/>
        <v>0</v>
      </c>
    </row>
    <row r="121" spans="2:14" ht="11.1" customHeight="1" x14ac:dyDescent="0.3">
      <c r="B121" s="19">
        <v>114</v>
      </c>
      <c r="C121" s="22">
        <v>206071091.58365399</v>
      </c>
      <c r="D121" s="23">
        <v>1.8382188123772238</v>
      </c>
      <c r="E121" s="22">
        <v>123139949.96016908</v>
      </c>
      <c r="F121" s="23">
        <v>1.3695232967006086</v>
      </c>
      <c r="G121" s="22">
        <v>82931141.62348491</v>
      </c>
      <c r="H121" s="23">
        <v>0.46869551567661527</v>
      </c>
      <c r="I121" s="23">
        <f t="shared" si="5"/>
        <v>176940335.14223915</v>
      </c>
      <c r="J121" s="4">
        <f t="shared" si="4"/>
        <v>14060865.470298458</v>
      </c>
      <c r="L121" s="22">
        <v>575000000</v>
      </c>
      <c r="M121" s="134">
        <f t="shared" si="6"/>
        <v>1</v>
      </c>
      <c r="N121" s="134">
        <f t="shared" si="7"/>
        <v>0</v>
      </c>
    </row>
    <row r="122" spans="2:14" ht="11.1" customHeight="1" x14ac:dyDescent="0.3">
      <c r="B122" s="19">
        <v>115</v>
      </c>
      <c r="C122" s="22">
        <v>202913610.14678943</v>
      </c>
      <c r="D122" s="23">
        <v>2.0328449441448777</v>
      </c>
      <c r="E122" s="22">
        <v>119916315.4021374</v>
      </c>
      <c r="F122" s="23">
        <v>1.5531941087586207</v>
      </c>
      <c r="G122" s="22">
        <v>82997294.744652033</v>
      </c>
      <c r="H122" s="23">
        <v>0.47965083538625697</v>
      </c>
      <c r="I122" s="23">
        <f t="shared" si="5"/>
        <v>173036902.30793682</v>
      </c>
      <c r="J122" s="4">
        <f t="shared" si="4"/>
        <v>14389525.06158771</v>
      </c>
      <c r="L122" s="22">
        <v>580000000</v>
      </c>
      <c r="M122" s="134">
        <f t="shared" si="6"/>
        <v>1</v>
      </c>
      <c r="N122" s="134">
        <f t="shared" si="7"/>
        <v>0</v>
      </c>
    </row>
    <row r="123" spans="2:14" ht="11.1" customHeight="1" x14ac:dyDescent="0.3">
      <c r="B123" s="19">
        <v>116</v>
      </c>
      <c r="C123" s="22">
        <v>202066239.73457468</v>
      </c>
      <c r="D123" s="23">
        <v>2.160518799753973</v>
      </c>
      <c r="E123" s="22">
        <v>119033383.09193569</v>
      </c>
      <c r="F123" s="23">
        <v>1.6577809269564716</v>
      </c>
      <c r="G123" s="22">
        <v>83032856.642638981</v>
      </c>
      <c r="H123" s="23">
        <v>0.50273787279750137</v>
      </c>
      <c r="I123" s="23">
        <f t="shared" si="5"/>
        <v>165161331.84993589</v>
      </c>
      <c r="J123" s="4">
        <f t="shared" si="4"/>
        <v>15082136.183925042</v>
      </c>
      <c r="L123" s="22">
        <v>585000000</v>
      </c>
      <c r="M123" s="134">
        <f t="shared" si="6"/>
        <v>1</v>
      </c>
      <c r="N123" s="134">
        <f t="shared" si="7"/>
        <v>0</v>
      </c>
    </row>
    <row r="124" spans="2:14" ht="11.1" customHeight="1" x14ac:dyDescent="0.3">
      <c r="B124" s="19">
        <v>117</v>
      </c>
      <c r="C124" s="22">
        <v>201033559.09077346</v>
      </c>
      <c r="D124" s="23">
        <v>1.9575439227897118</v>
      </c>
      <c r="E124" s="22">
        <v>118093215.20479149</v>
      </c>
      <c r="F124" s="23">
        <v>1.5101114306991155</v>
      </c>
      <c r="G124" s="22">
        <v>82940343.885981977</v>
      </c>
      <c r="H124" s="23">
        <v>0.44743249209059632</v>
      </c>
      <c r="I124" s="23">
        <f t="shared" si="5"/>
        <v>185369514.62431607</v>
      </c>
      <c r="J124" s="4">
        <f t="shared" si="4"/>
        <v>13422974.76271789</v>
      </c>
      <c r="L124" s="22">
        <v>590000000</v>
      </c>
      <c r="M124" s="134">
        <f t="shared" si="6"/>
        <v>1</v>
      </c>
      <c r="N124" s="134">
        <f t="shared" si="7"/>
        <v>0</v>
      </c>
    </row>
    <row r="125" spans="2:14" ht="11.1" customHeight="1" x14ac:dyDescent="0.3">
      <c r="B125" s="19">
        <v>118</v>
      </c>
      <c r="C125" s="22">
        <v>202388456.09277198</v>
      </c>
      <c r="D125" s="23">
        <v>2.0970117428976072</v>
      </c>
      <c r="E125" s="22">
        <v>118754642.58365689</v>
      </c>
      <c r="F125" s="23">
        <v>1.6165383370728761</v>
      </c>
      <c r="G125" s="22">
        <v>83633813.509115085</v>
      </c>
      <c r="H125" s="23">
        <v>0.48047340582473108</v>
      </c>
      <c r="I125" s="23">
        <f t="shared" si="5"/>
        <v>174065437.32749975</v>
      </c>
      <c r="J125" s="4">
        <f t="shared" si="4"/>
        <v>14414202.174741933</v>
      </c>
      <c r="L125" s="22">
        <v>595000000</v>
      </c>
      <c r="M125" s="134">
        <f t="shared" si="6"/>
        <v>1</v>
      </c>
      <c r="N125" s="134">
        <f t="shared" si="7"/>
        <v>0</v>
      </c>
    </row>
    <row r="126" spans="2:14" ht="11.1" customHeight="1" x14ac:dyDescent="0.3">
      <c r="B126" s="19">
        <v>119</v>
      </c>
      <c r="C126" s="22">
        <v>201409215.08679947</v>
      </c>
      <c r="D126" s="23">
        <v>2.0334115040558056</v>
      </c>
      <c r="E126" s="22">
        <v>118462424.10404685</v>
      </c>
      <c r="F126" s="23">
        <v>1.5597784521759517</v>
      </c>
      <c r="G126" s="22">
        <v>82946790.982752621</v>
      </c>
      <c r="H126" s="23">
        <v>0.47363305187985394</v>
      </c>
      <c r="I126" s="23">
        <f t="shared" si="5"/>
        <v>175128806.2637015</v>
      </c>
      <c r="J126" s="4">
        <f t="shared" si="4"/>
        <v>14208991.556395618</v>
      </c>
      <c r="L126" s="22">
        <v>600000000</v>
      </c>
      <c r="M126" s="134">
        <f t="shared" si="6"/>
        <v>1</v>
      </c>
      <c r="N126" s="134">
        <f t="shared" si="7"/>
        <v>0</v>
      </c>
    </row>
    <row r="127" spans="2:14" ht="11.1" customHeight="1" x14ac:dyDescent="0.3">
      <c r="B127" s="19">
        <v>120</v>
      </c>
      <c r="C127" s="22">
        <v>201203089.45592037</v>
      </c>
      <c r="D127" s="23">
        <v>2.0804456034566616</v>
      </c>
      <c r="E127" s="22">
        <v>118088281.66281958</v>
      </c>
      <c r="F127" s="23">
        <v>1.6021399767948612</v>
      </c>
      <c r="G127" s="22">
        <v>83114807.793100789</v>
      </c>
      <c r="H127" s="23">
        <v>0.47830562666180043</v>
      </c>
      <c r="I127" s="23">
        <f t="shared" si="5"/>
        <v>173769245.35297066</v>
      </c>
      <c r="J127" s="4">
        <f t="shared" si="4"/>
        <v>14349168.799854012</v>
      </c>
      <c r="L127" s="22">
        <v>605000000</v>
      </c>
      <c r="M127" s="134">
        <f t="shared" si="6"/>
        <v>1</v>
      </c>
      <c r="N127" s="134">
        <f t="shared" si="7"/>
        <v>0</v>
      </c>
    </row>
    <row r="128" spans="2:14" ht="11.1" customHeight="1" x14ac:dyDescent="0.3">
      <c r="B128" s="19">
        <v>121</v>
      </c>
      <c r="C128" s="22">
        <v>204656298.69268036</v>
      </c>
      <c r="D128" s="23">
        <v>1.5328734587841932</v>
      </c>
      <c r="E128" s="22">
        <v>121583438.9772708</v>
      </c>
      <c r="F128" s="23">
        <v>1.1216150521690231</v>
      </c>
      <c r="G128" s="22">
        <v>83072859.715409562</v>
      </c>
      <c r="H128" s="23">
        <v>0.4112584066151701</v>
      </c>
      <c r="I128" s="23">
        <f t="shared" si="5"/>
        <v>201996745.54773042</v>
      </c>
      <c r="J128" s="4">
        <f t="shared" si="4"/>
        <v>12337752.198455103</v>
      </c>
      <c r="L128" s="22">
        <v>610000000</v>
      </c>
      <c r="M128" s="134">
        <f t="shared" si="6"/>
        <v>1</v>
      </c>
      <c r="N128" s="134">
        <f t="shared" si="7"/>
        <v>0</v>
      </c>
    </row>
    <row r="129" spans="2:14" ht="11.1" customHeight="1" x14ac:dyDescent="0.3">
      <c r="B129" s="19">
        <v>122</v>
      </c>
      <c r="C129" s="22">
        <v>203810298.02994055</v>
      </c>
      <c r="D129" s="23">
        <v>1.8728808343034822</v>
      </c>
      <c r="E129" s="22">
        <v>120758033.61915277</v>
      </c>
      <c r="F129" s="23">
        <v>1.4367895990350066</v>
      </c>
      <c r="G129" s="22">
        <v>83052264.410787776</v>
      </c>
      <c r="H129" s="23">
        <v>0.4360912352684756</v>
      </c>
      <c r="I129" s="23">
        <f t="shared" si="5"/>
        <v>190446992.95471373</v>
      </c>
      <c r="J129" s="4">
        <f t="shared" si="4"/>
        <v>13082737.058054268</v>
      </c>
      <c r="L129" s="22">
        <v>615000000</v>
      </c>
      <c r="M129" s="134">
        <f t="shared" si="6"/>
        <v>1</v>
      </c>
      <c r="N129" s="134">
        <f t="shared" si="7"/>
        <v>0</v>
      </c>
    </row>
    <row r="130" spans="2:14" ht="11.1" customHeight="1" x14ac:dyDescent="0.3">
      <c r="B130" s="19">
        <v>123</v>
      </c>
      <c r="C130" s="22">
        <v>203578150.849554</v>
      </c>
      <c r="D130" s="23">
        <v>2.0487545459288277</v>
      </c>
      <c r="E130" s="22">
        <v>120826356.56728651</v>
      </c>
      <c r="F130" s="23">
        <v>1.5840627812207924</v>
      </c>
      <c r="G130" s="22">
        <v>82751794.282267496</v>
      </c>
      <c r="H130" s="23">
        <v>0.4646917647080353</v>
      </c>
      <c r="I130" s="23">
        <f t="shared" si="5"/>
        <v>178078891.3577159</v>
      </c>
      <c r="J130" s="4">
        <f t="shared" si="4"/>
        <v>13940752.941241059</v>
      </c>
      <c r="L130" s="22">
        <v>620000000</v>
      </c>
      <c r="M130" s="134">
        <f t="shared" si="6"/>
        <v>1</v>
      </c>
      <c r="N130" s="134">
        <f t="shared" si="7"/>
        <v>0</v>
      </c>
    </row>
    <row r="131" spans="2:14" ht="11.1" customHeight="1" x14ac:dyDescent="0.3">
      <c r="B131" s="19">
        <v>124</v>
      </c>
      <c r="C131" s="22">
        <v>199828209.87444198</v>
      </c>
      <c r="D131" s="23">
        <v>1.9577612005466376</v>
      </c>
      <c r="E131" s="22">
        <v>116912762.57942116</v>
      </c>
      <c r="F131" s="23">
        <v>1.5000752332469214</v>
      </c>
      <c r="G131" s="22">
        <v>82915447.295020819</v>
      </c>
      <c r="H131" s="23">
        <v>0.45768596729971622</v>
      </c>
      <c r="I131" s="23">
        <f t="shared" si="5"/>
        <v>181162310.4466376</v>
      </c>
      <c r="J131" s="4">
        <f t="shared" si="4"/>
        <v>13730579.018991487</v>
      </c>
      <c r="L131" s="22">
        <v>625000000</v>
      </c>
      <c r="M131" s="134">
        <f t="shared" si="6"/>
        <v>1</v>
      </c>
      <c r="N131" s="134">
        <f t="shared" si="7"/>
        <v>0</v>
      </c>
    </row>
    <row r="132" spans="2:14" ht="11.1" customHeight="1" x14ac:dyDescent="0.3">
      <c r="B132" s="19">
        <v>125</v>
      </c>
      <c r="C132" s="22">
        <v>199476212.28623405</v>
      </c>
      <c r="D132" s="23">
        <v>2.0153722662601381</v>
      </c>
      <c r="E132" s="22">
        <v>116774187.2729287</v>
      </c>
      <c r="F132" s="23">
        <v>1.5682919407616596</v>
      </c>
      <c r="G132" s="22">
        <v>82702025.013305351</v>
      </c>
      <c r="H132" s="23">
        <v>0.44708032549847854</v>
      </c>
      <c r="I132" s="23">
        <f t="shared" si="5"/>
        <v>184982474.72888806</v>
      </c>
      <c r="J132" s="4">
        <f t="shared" si="4"/>
        <v>13412409.764954356</v>
      </c>
      <c r="L132" s="22">
        <v>630000000</v>
      </c>
      <c r="M132" s="134">
        <f t="shared" si="6"/>
        <v>1</v>
      </c>
      <c r="N132" s="134">
        <f t="shared" si="7"/>
        <v>0</v>
      </c>
    </row>
    <row r="133" spans="2:14" ht="11.1" customHeight="1" x14ac:dyDescent="0.3">
      <c r="B133" s="19">
        <v>126</v>
      </c>
      <c r="C133" s="22">
        <v>199251229.98357379</v>
      </c>
      <c r="D133" s="23">
        <v>2.1302713417672372</v>
      </c>
      <c r="E133" s="22">
        <v>115839841.61526461</v>
      </c>
      <c r="F133" s="23">
        <v>1.6779904888306445</v>
      </c>
      <c r="G133" s="22">
        <v>83411388.368309185</v>
      </c>
      <c r="H133" s="23">
        <v>0.4522808529365927</v>
      </c>
      <c r="I133" s="23">
        <f t="shared" si="5"/>
        <v>184423876.9488723</v>
      </c>
      <c r="J133" s="4">
        <f t="shared" si="4"/>
        <v>13568425.588097781</v>
      </c>
      <c r="L133" s="22">
        <v>635000000</v>
      </c>
      <c r="M133" s="134">
        <f t="shared" si="6"/>
        <v>1</v>
      </c>
      <c r="N133" s="134">
        <f t="shared" si="7"/>
        <v>0</v>
      </c>
    </row>
    <row r="134" spans="2:14" ht="11.1" customHeight="1" x14ac:dyDescent="0.3">
      <c r="B134" s="19">
        <v>127</v>
      </c>
      <c r="C134" s="22">
        <v>203113444.20056868</v>
      </c>
      <c r="D134" s="23">
        <v>1.9631162473537545</v>
      </c>
      <c r="E134" s="22">
        <v>120075808.73027951</v>
      </c>
      <c r="F134" s="23">
        <v>1.5247419226912475</v>
      </c>
      <c r="G134" s="22">
        <v>83037635.470289171</v>
      </c>
      <c r="H134" s="23">
        <v>0.43837432466250692</v>
      </c>
      <c r="I134" s="23">
        <f t="shared" si="5"/>
        <v>189421758.52615845</v>
      </c>
      <c r="J134" s="4">
        <f t="shared" si="4"/>
        <v>13151229.739875207</v>
      </c>
      <c r="L134" s="22">
        <v>640000000</v>
      </c>
      <c r="M134" s="134">
        <f t="shared" si="6"/>
        <v>1</v>
      </c>
      <c r="N134" s="134">
        <f t="shared" si="7"/>
        <v>0</v>
      </c>
    </row>
    <row r="135" spans="2:14" ht="11.1" customHeight="1" x14ac:dyDescent="0.3">
      <c r="B135" s="19">
        <v>128</v>
      </c>
      <c r="C135" s="22">
        <v>199335536.31421208</v>
      </c>
      <c r="D135" s="23">
        <v>2.1201958077466223</v>
      </c>
      <c r="E135" s="22">
        <v>116271450.901813</v>
      </c>
      <c r="F135" s="23">
        <v>1.6547910347301926</v>
      </c>
      <c r="G135" s="22">
        <v>83064085.412399083</v>
      </c>
      <c r="H135" s="23">
        <v>0.46540477301642968</v>
      </c>
      <c r="I135" s="23">
        <f t="shared" si="5"/>
        <v>178477081.08800757</v>
      </c>
      <c r="J135" s="4">
        <f t="shared" si="4"/>
        <v>13962143.190492891</v>
      </c>
      <c r="L135" s="22">
        <v>645000000</v>
      </c>
      <c r="M135" s="134">
        <f t="shared" si="6"/>
        <v>1</v>
      </c>
      <c r="N135" s="134">
        <f t="shared" si="7"/>
        <v>0</v>
      </c>
    </row>
    <row r="136" spans="2:14" ht="11.1" customHeight="1" x14ac:dyDescent="0.3">
      <c r="B136" s="19">
        <v>129</v>
      </c>
      <c r="C136" s="22">
        <v>201180877.13238308</v>
      </c>
      <c r="D136" s="23">
        <v>2.2085323751903818</v>
      </c>
      <c r="E136" s="22">
        <v>117971930.60961522</v>
      </c>
      <c r="F136" s="23">
        <v>1.7422325381029402</v>
      </c>
      <c r="G136" s="22">
        <v>83208946.522767857</v>
      </c>
      <c r="H136" s="23">
        <v>0.4662998370874416</v>
      </c>
      <c r="I136" s="23">
        <f t="shared" si="5"/>
        <v>178445154.60803029</v>
      </c>
      <c r="J136" s="4">
        <f t="shared" ref="J136:J199" si="8">threshold*H136</f>
        <v>13988995.112623248</v>
      </c>
      <c r="L136" s="22">
        <v>650000000</v>
      </c>
      <c r="M136" s="134">
        <f t="shared" si="6"/>
        <v>1</v>
      </c>
      <c r="N136" s="134">
        <f t="shared" si="7"/>
        <v>0</v>
      </c>
    </row>
    <row r="137" spans="2:14" ht="11.1" customHeight="1" x14ac:dyDescent="0.3">
      <c r="B137" s="19">
        <v>130</v>
      </c>
      <c r="C137" s="22">
        <v>204154866.23111778</v>
      </c>
      <c r="D137" s="23">
        <v>2.0638108404099746</v>
      </c>
      <c r="E137" s="22">
        <v>121054993.6477446</v>
      </c>
      <c r="F137" s="23">
        <v>1.588218054776342</v>
      </c>
      <c r="G137" s="22">
        <v>83099872.583373189</v>
      </c>
      <c r="H137" s="23">
        <v>0.47559278563363261</v>
      </c>
      <c r="I137" s="23">
        <f t="shared" ref="I137:I200" si="9">G137/H137</f>
        <v>174729043.61376965</v>
      </c>
      <c r="J137" s="4">
        <f t="shared" si="8"/>
        <v>14267783.569008978</v>
      </c>
      <c r="L137" s="22">
        <v>655000000</v>
      </c>
      <c r="M137" s="134">
        <f t="shared" ref="M137:M200" si="10">COUNTIF($I$8:$I$1007,"&lt;"&amp;L137)/1000</f>
        <v>1</v>
      </c>
      <c r="N137" s="134">
        <f t="shared" ref="N137:N200" si="11">1-M137</f>
        <v>0</v>
      </c>
    </row>
    <row r="138" spans="2:14" ht="11.1" customHeight="1" x14ac:dyDescent="0.3">
      <c r="B138" s="19">
        <v>131</v>
      </c>
      <c r="C138" s="22">
        <v>201413926.84113812</v>
      </c>
      <c r="D138" s="23">
        <v>1.8634292526350855</v>
      </c>
      <c r="E138" s="22">
        <v>118334815.46442655</v>
      </c>
      <c r="F138" s="23">
        <v>1.4096924827360549</v>
      </c>
      <c r="G138" s="22">
        <v>83079111.376711577</v>
      </c>
      <c r="H138" s="23">
        <v>0.45373676989903067</v>
      </c>
      <c r="I138" s="23">
        <f t="shared" si="9"/>
        <v>183099799.02047402</v>
      </c>
      <c r="J138" s="4">
        <f t="shared" si="8"/>
        <v>13612103.09697092</v>
      </c>
      <c r="L138" s="22">
        <v>660000000</v>
      </c>
      <c r="M138" s="134">
        <f t="shared" si="10"/>
        <v>1</v>
      </c>
      <c r="N138" s="134">
        <f t="shared" si="11"/>
        <v>0</v>
      </c>
    </row>
    <row r="139" spans="2:14" ht="11.1" customHeight="1" x14ac:dyDescent="0.3">
      <c r="B139" s="19">
        <v>132</v>
      </c>
      <c r="C139" s="22">
        <v>202712682.0992237</v>
      </c>
      <c r="D139" s="23">
        <v>1.9890751906604229</v>
      </c>
      <c r="E139" s="22">
        <v>119703023.73303819</v>
      </c>
      <c r="F139" s="23">
        <v>1.5176580741883876</v>
      </c>
      <c r="G139" s="22">
        <v>83009658.366185516</v>
      </c>
      <c r="H139" s="23">
        <v>0.47141711647203532</v>
      </c>
      <c r="I139" s="23">
        <f t="shared" si="9"/>
        <v>176085372.09554139</v>
      </c>
      <c r="J139" s="4">
        <f t="shared" si="8"/>
        <v>14142513.49416106</v>
      </c>
      <c r="L139" s="22">
        <v>665000000</v>
      </c>
      <c r="M139" s="134">
        <f t="shared" si="10"/>
        <v>1</v>
      </c>
      <c r="N139" s="134">
        <f t="shared" si="11"/>
        <v>0</v>
      </c>
    </row>
    <row r="140" spans="2:14" ht="11.1" customHeight="1" x14ac:dyDescent="0.3">
      <c r="B140" s="19">
        <v>133</v>
      </c>
      <c r="C140" s="22">
        <v>200891033.65923235</v>
      </c>
      <c r="D140" s="23">
        <v>1.8715025641010632</v>
      </c>
      <c r="E140" s="22">
        <v>118010754.23408194</v>
      </c>
      <c r="F140" s="23">
        <v>1.4220224226822598</v>
      </c>
      <c r="G140" s="22">
        <v>82880279.425150409</v>
      </c>
      <c r="H140" s="23">
        <v>0.44948014141880344</v>
      </c>
      <c r="I140" s="23">
        <f t="shared" si="9"/>
        <v>184391415.29931721</v>
      </c>
      <c r="J140" s="4">
        <f t="shared" si="8"/>
        <v>13484404.242564103</v>
      </c>
      <c r="L140" s="22">
        <v>670000000</v>
      </c>
      <c r="M140" s="134">
        <f t="shared" si="10"/>
        <v>1</v>
      </c>
      <c r="N140" s="134">
        <f t="shared" si="11"/>
        <v>0</v>
      </c>
    </row>
    <row r="141" spans="2:14" ht="11.1" customHeight="1" x14ac:dyDescent="0.3">
      <c r="B141" s="19">
        <v>134</v>
      </c>
      <c r="C141" s="22">
        <v>201248887.64198327</v>
      </c>
      <c r="D141" s="23">
        <v>2.0097811608877825</v>
      </c>
      <c r="E141" s="22">
        <v>118770152.26978306</v>
      </c>
      <c r="F141" s="23">
        <v>1.5888874364995045</v>
      </c>
      <c r="G141" s="22">
        <v>82478735.372200206</v>
      </c>
      <c r="H141" s="23">
        <v>0.42089372438827799</v>
      </c>
      <c r="I141" s="23">
        <f t="shared" si="9"/>
        <v>195960953.06974185</v>
      </c>
      <c r="J141" s="4">
        <f t="shared" si="8"/>
        <v>12626811.731648339</v>
      </c>
      <c r="L141" s="22">
        <v>675000000</v>
      </c>
      <c r="M141" s="134">
        <f t="shared" si="10"/>
        <v>1</v>
      </c>
      <c r="N141" s="134">
        <f t="shared" si="11"/>
        <v>0</v>
      </c>
    </row>
    <row r="142" spans="2:14" ht="11.1" customHeight="1" x14ac:dyDescent="0.3">
      <c r="B142" s="19">
        <v>135</v>
      </c>
      <c r="C142" s="22">
        <v>204378574.51404855</v>
      </c>
      <c r="D142" s="23">
        <v>1.8263126360788977</v>
      </c>
      <c r="E142" s="22">
        <v>121276301.39350222</v>
      </c>
      <c r="F142" s="23">
        <v>1.3578802672929493</v>
      </c>
      <c r="G142" s="22">
        <v>83102273.120546326</v>
      </c>
      <c r="H142" s="23">
        <v>0.46843236878594841</v>
      </c>
      <c r="I142" s="23">
        <f t="shared" si="9"/>
        <v>177405061.34519529</v>
      </c>
      <c r="J142" s="4">
        <f t="shared" si="8"/>
        <v>14052971.063578453</v>
      </c>
      <c r="L142" s="22">
        <v>680000000</v>
      </c>
      <c r="M142" s="134">
        <f t="shared" si="10"/>
        <v>1</v>
      </c>
      <c r="N142" s="134">
        <f t="shared" si="11"/>
        <v>0</v>
      </c>
    </row>
    <row r="143" spans="2:14" ht="11.1" customHeight="1" x14ac:dyDescent="0.3">
      <c r="B143" s="19">
        <v>136</v>
      </c>
      <c r="C143" s="22">
        <v>203038226.9273243</v>
      </c>
      <c r="D143" s="23">
        <v>1.7713468673888697</v>
      </c>
      <c r="E143" s="22">
        <v>120294818.84142752</v>
      </c>
      <c r="F143" s="23">
        <v>1.3181314684212875</v>
      </c>
      <c r="G143" s="22">
        <v>82743408.085896775</v>
      </c>
      <c r="H143" s="23">
        <v>0.45321539896758223</v>
      </c>
      <c r="I143" s="23">
        <f t="shared" si="9"/>
        <v>182569719.11012954</v>
      </c>
      <c r="J143" s="4">
        <f t="shared" si="8"/>
        <v>13596461.969027467</v>
      </c>
      <c r="L143" s="22">
        <v>685000000</v>
      </c>
      <c r="M143" s="134">
        <f t="shared" si="10"/>
        <v>1</v>
      </c>
      <c r="N143" s="134">
        <f t="shared" si="11"/>
        <v>0</v>
      </c>
    </row>
    <row r="144" spans="2:14" ht="11.1" customHeight="1" x14ac:dyDescent="0.3">
      <c r="B144" s="19">
        <v>137</v>
      </c>
      <c r="C144" s="22">
        <v>202123981.64867616</v>
      </c>
      <c r="D144" s="23">
        <v>1.9361027076588782</v>
      </c>
      <c r="E144" s="22">
        <v>119091781.69841987</v>
      </c>
      <c r="F144" s="23">
        <v>1.4700694104790437</v>
      </c>
      <c r="G144" s="22">
        <v>83032199.950256288</v>
      </c>
      <c r="H144" s="23">
        <v>0.46603329717983444</v>
      </c>
      <c r="I144" s="23">
        <f t="shared" si="9"/>
        <v>178167955.92229015</v>
      </c>
      <c r="J144" s="4">
        <f t="shared" si="8"/>
        <v>13980998.915395033</v>
      </c>
      <c r="L144" s="22">
        <v>690000000</v>
      </c>
      <c r="M144" s="134">
        <f t="shared" si="10"/>
        <v>1</v>
      </c>
      <c r="N144" s="134">
        <f t="shared" si="11"/>
        <v>0</v>
      </c>
    </row>
    <row r="145" spans="2:14" ht="11.1" customHeight="1" x14ac:dyDescent="0.3">
      <c r="B145" s="19">
        <v>138</v>
      </c>
      <c r="C145" s="22">
        <v>200791738.22154397</v>
      </c>
      <c r="D145" s="23">
        <v>1.8260879271713963</v>
      </c>
      <c r="E145" s="22">
        <v>117507191.03193121</v>
      </c>
      <c r="F145" s="23">
        <v>1.3785377249893123</v>
      </c>
      <c r="G145" s="22">
        <v>83284547.189612761</v>
      </c>
      <c r="H145" s="23">
        <v>0.44755020218208408</v>
      </c>
      <c r="I145" s="23">
        <f t="shared" si="9"/>
        <v>186089843.73942649</v>
      </c>
      <c r="J145" s="4">
        <f t="shared" si="8"/>
        <v>13426506.065462522</v>
      </c>
      <c r="L145" s="22">
        <v>695000000</v>
      </c>
      <c r="M145" s="134">
        <f t="shared" si="10"/>
        <v>1</v>
      </c>
      <c r="N145" s="134">
        <f t="shared" si="11"/>
        <v>0</v>
      </c>
    </row>
    <row r="146" spans="2:14" ht="11.1" customHeight="1" x14ac:dyDescent="0.3">
      <c r="B146" s="19">
        <v>139</v>
      </c>
      <c r="C146" s="22">
        <v>200293246.17576349</v>
      </c>
      <c r="D146" s="23">
        <v>2.2739576656707938</v>
      </c>
      <c r="E146" s="22">
        <v>117265273.88335206</v>
      </c>
      <c r="F146" s="23">
        <v>1.8045458916919699</v>
      </c>
      <c r="G146" s="22">
        <v>83027972.292411432</v>
      </c>
      <c r="H146" s="23">
        <v>0.46941177397882394</v>
      </c>
      <c r="I146" s="23">
        <f t="shared" si="9"/>
        <v>176876629.20904276</v>
      </c>
      <c r="J146" s="4">
        <f t="shared" si="8"/>
        <v>14082353.219364718</v>
      </c>
      <c r="L146" s="22">
        <v>700000000</v>
      </c>
      <c r="M146" s="134">
        <f t="shared" si="10"/>
        <v>1</v>
      </c>
      <c r="N146" s="134">
        <f t="shared" si="11"/>
        <v>0</v>
      </c>
    </row>
    <row r="147" spans="2:14" ht="11.1" customHeight="1" x14ac:dyDescent="0.3">
      <c r="B147" s="19">
        <v>140</v>
      </c>
      <c r="C147" s="22">
        <v>201843781.0278421</v>
      </c>
      <c r="D147" s="23">
        <v>1.9079061781495099</v>
      </c>
      <c r="E147" s="22">
        <v>119017556.4291773</v>
      </c>
      <c r="F147" s="23">
        <v>1.4507122734441371</v>
      </c>
      <c r="G147" s="22">
        <v>82826224.598664805</v>
      </c>
      <c r="H147" s="23">
        <v>0.4571939047053728</v>
      </c>
      <c r="I147" s="23">
        <f t="shared" si="9"/>
        <v>181162136.56006655</v>
      </c>
      <c r="J147" s="4">
        <f t="shared" si="8"/>
        <v>13715817.141161185</v>
      </c>
      <c r="L147" s="22">
        <v>705000000</v>
      </c>
      <c r="M147" s="134">
        <f t="shared" si="10"/>
        <v>1</v>
      </c>
      <c r="N147" s="134">
        <f t="shared" si="11"/>
        <v>0</v>
      </c>
    </row>
    <row r="148" spans="2:14" ht="11.1" customHeight="1" x14ac:dyDescent="0.3">
      <c r="B148" s="19">
        <v>141</v>
      </c>
      <c r="C148" s="22">
        <v>199656159.94025818</v>
      </c>
      <c r="D148" s="23">
        <v>1.8650811297574335</v>
      </c>
      <c r="E148" s="22">
        <v>116603570.41384451</v>
      </c>
      <c r="F148" s="23">
        <v>1.4107449894122548</v>
      </c>
      <c r="G148" s="22">
        <v>83052589.526413664</v>
      </c>
      <c r="H148" s="23">
        <v>0.45433614034517866</v>
      </c>
      <c r="I148" s="23">
        <f t="shared" si="9"/>
        <v>182799874.69919309</v>
      </c>
      <c r="J148" s="4">
        <f t="shared" si="8"/>
        <v>13630084.21035536</v>
      </c>
      <c r="L148" s="22">
        <v>710000000</v>
      </c>
      <c r="M148" s="134">
        <f t="shared" si="10"/>
        <v>1</v>
      </c>
      <c r="N148" s="134">
        <f t="shared" si="11"/>
        <v>0</v>
      </c>
    </row>
    <row r="149" spans="2:14" ht="11.1" customHeight="1" x14ac:dyDescent="0.3">
      <c r="B149" s="19">
        <v>142</v>
      </c>
      <c r="C149" s="22">
        <v>198981334.04578972</v>
      </c>
      <c r="D149" s="23">
        <v>2.1327249332599809</v>
      </c>
      <c r="E149" s="22">
        <v>116326184.97135293</v>
      </c>
      <c r="F149" s="23">
        <v>1.6471379379554874</v>
      </c>
      <c r="G149" s="22">
        <v>82655149.074436784</v>
      </c>
      <c r="H149" s="23">
        <v>0.48558699530449356</v>
      </c>
      <c r="I149" s="23">
        <f t="shared" si="9"/>
        <v>170216974.2470282</v>
      </c>
      <c r="J149" s="4">
        <f t="shared" si="8"/>
        <v>14567609.859134806</v>
      </c>
      <c r="L149" s="22">
        <v>715000000</v>
      </c>
      <c r="M149" s="134">
        <f t="shared" si="10"/>
        <v>1</v>
      </c>
      <c r="N149" s="134">
        <f t="shared" si="11"/>
        <v>0</v>
      </c>
    </row>
    <row r="150" spans="2:14" ht="11.1" customHeight="1" x14ac:dyDescent="0.3">
      <c r="B150" s="19">
        <v>143</v>
      </c>
      <c r="C150" s="22">
        <v>204046140.49489352</v>
      </c>
      <c r="D150" s="23">
        <v>2.0776579491668588</v>
      </c>
      <c r="E150" s="22">
        <v>120815565.0676748</v>
      </c>
      <c r="F150" s="23">
        <v>1.5929580349575858</v>
      </c>
      <c r="G150" s="22">
        <v>83230575.42721872</v>
      </c>
      <c r="H150" s="23">
        <v>0.48469991420927294</v>
      </c>
      <c r="I150" s="23">
        <f t="shared" si="9"/>
        <v>171715680.12963021</v>
      </c>
      <c r="J150" s="4">
        <f t="shared" si="8"/>
        <v>14540997.426278189</v>
      </c>
      <c r="L150" s="22">
        <v>720000000</v>
      </c>
      <c r="M150" s="134">
        <f t="shared" si="10"/>
        <v>1</v>
      </c>
      <c r="N150" s="134">
        <f t="shared" si="11"/>
        <v>0</v>
      </c>
    </row>
    <row r="151" spans="2:14" ht="11.1" customHeight="1" x14ac:dyDescent="0.3">
      <c r="B151" s="19">
        <v>144</v>
      </c>
      <c r="C151" s="22">
        <v>201698151.19123888</v>
      </c>
      <c r="D151" s="23">
        <v>2.1126909787055985</v>
      </c>
      <c r="E151" s="22">
        <v>118444649.2226157</v>
      </c>
      <c r="F151" s="23">
        <v>1.6532442791519604</v>
      </c>
      <c r="G151" s="22">
        <v>83253501.968623176</v>
      </c>
      <c r="H151" s="23">
        <v>0.45944669955363815</v>
      </c>
      <c r="I151" s="23">
        <f t="shared" si="9"/>
        <v>181203830.7153053</v>
      </c>
      <c r="J151" s="4">
        <f t="shared" si="8"/>
        <v>13783400.986609144</v>
      </c>
      <c r="L151" s="22">
        <v>725000000</v>
      </c>
      <c r="M151" s="134">
        <f t="shared" si="10"/>
        <v>1</v>
      </c>
      <c r="N151" s="134">
        <f t="shared" si="11"/>
        <v>0</v>
      </c>
    </row>
    <row r="152" spans="2:14" ht="11.1" customHeight="1" x14ac:dyDescent="0.3">
      <c r="B152" s="19">
        <v>145</v>
      </c>
      <c r="C152" s="22">
        <v>201938108.07267019</v>
      </c>
      <c r="D152" s="23">
        <v>1.7937373455113814</v>
      </c>
      <c r="E152" s="22">
        <v>118824382.27430761</v>
      </c>
      <c r="F152" s="23">
        <v>1.3542958239795535</v>
      </c>
      <c r="G152" s="22">
        <v>83113725.798362583</v>
      </c>
      <c r="H152" s="23">
        <v>0.43944152153182792</v>
      </c>
      <c r="I152" s="23">
        <f t="shared" si="9"/>
        <v>189134894.46477535</v>
      </c>
      <c r="J152" s="4">
        <f t="shared" si="8"/>
        <v>13183245.645954838</v>
      </c>
      <c r="L152" s="22">
        <v>730000000</v>
      </c>
      <c r="M152" s="134">
        <f t="shared" si="10"/>
        <v>1</v>
      </c>
      <c r="N152" s="134">
        <f t="shared" si="11"/>
        <v>0</v>
      </c>
    </row>
    <row r="153" spans="2:14" ht="11.1" customHeight="1" x14ac:dyDescent="0.3">
      <c r="B153" s="19">
        <v>146</v>
      </c>
      <c r="C153" s="22">
        <v>202647509.90180343</v>
      </c>
      <c r="D153" s="23">
        <v>2.1724375594500565</v>
      </c>
      <c r="E153" s="22">
        <v>119581826.36820912</v>
      </c>
      <c r="F153" s="23">
        <v>1.6842879285489194</v>
      </c>
      <c r="G153" s="22">
        <v>83065683.53359431</v>
      </c>
      <c r="H153" s="23">
        <v>0.48814963090113705</v>
      </c>
      <c r="I153" s="23">
        <f t="shared" si="9"/>
        <v>170164388.69420606</v>
      </c>
      <c r="J153" s="4">
        <f t="shared" si="8"/>
        <v>14644488.927034112</v>
      </c>
      <c r="L153" s="22">
        <v>735000000</v>
      </c>
      <c r="M153" s="134">
        <f t="shared" si="10"/>
        <v>1</v>
      </c>
      <c r="N153" s="134">
        <f t="shared" si="11"/>
        <v>0</v>
      </c>
    </row>
    <row r="154" spans="2:14" ht="11.1" customHeight="1" x14ac:dyDescent="0.3">
      <c r="B154" s="19">
        <v>147</v>
      </c>
      <c r="C154" s="22">
        <v>199727982.38285637</v>
      </c>
      <c r="D154" s="23">
        <v>2.140949649391839</v>
      </c>
      <c r="E154" s="22">
        <v>116810863.25994803</v>
      </c>
      <c r="F154" s="23">
        <v>1.6683129475698522</v>
      </c>
      <c r="G154" s="22">
        <v>82917119.122908339</v>
      </c>
      <c r="H154" s="23">
        <v>0.4726367018219868</v>
      </c>
      <c r="I154" s="23">
        <f t="shared" si="9"/>
        <v>175435210.17997059</v>
      </c>
      <c r="J154" s="4">
        <f t="shared" si="8"/>
        <v>14179101.054659605</v>
      </c>
      <c r="L154" s="22">
        <v>740000000</v>
      </c>
      <c r="M154" s="134">
        <f t="shared" si="10"/>
        <v>1</v>
      </c>
      <c r="N154" s="134">
        <f t="shared" si="11"/>
        <v>0</v>
      </c>
    </row>
    <row r="155" spans="2:14" ht="11.1" customHeight="1" x14ac:dyDescent="0.3">
      <c r="B155" s="19">
        <v>148</v>
      </c>
      <c r="C155" s="22">
        <v>204201489.82278538</v>
      </c>
      <c r="D155" s="23">
        <v>2.167358908919474</v>
      </c>
      <c r="E155" s="22">
        <v>121408508.15191054</v>
      </c>
      <c r="F155" s="23">
        <v>1.6891802395320803</v>
      </c>
      <c r="G155" s="22">
        <v>82792981.670874834</v>
      </c>
      <c r="H155" s="23">
        <v>0.47817866938739373</v>
      </c>
      <c r="I155" s="23">
        <f t="shared" si="9"/>
        <v>173142356.55250564</v>
      </c>
      <c r="J155" s="4">
        <f t="shared" si="8"/>
        <v>14345360.081621813</v>
      </c>
      <c r="L155" s="22">
        <v>745000000</v>
      </c>
      <c r="M155" s="134">
        <f t="shared" si="10"/>
        <v>1</v>
      </c>
      <c r="N155" s="134">
        <f t="shared" si="11"/>
        <v>0</v>
      </c>
    </row>
    <row r="156" spans="2:14" ht="11.1" customHeight="1" x14ac:dyDescent="0.3">
      <c r="B156" s="19">
        <v>149</v>
      </c>
      <c r="C156" s="22">
        <v>201234465.52816078</v>
      </c>
      <c r="D156" s="23">
        <v>2.1739022166578255</v>
      </c>
      <c r="E156" s="22">
        <v>118212661.28139398</v>
      </c>
      <c r="F156" s="23">
        <v>1.6771009162768662</v>
      </c>
      <c r="G156" s="22">
        <v>83021804.246766806</v>
      </c>
      <c r="H156" s="23">
        <v>0.49680130038095927</v>
      </c>
      <c r="I156" s="23">
        <f t="shared" si="9"/>
        <v>167112695.1219807</v>
      </c>
      <c r="J156" s="4">
        <f t="shared" si="8"/>
        <v>14904039.011428777</v>
      </c>
      <c r="L156" s="22">
        <v>750000000</v>
      </c>
      <c r="M156" s="134">
        <f t="shared" si="10"/>
        <v>1</v>
      </c>
      <c r="N156" s="134">
        <f t="shared" si="11"/>
        <v>0</v>
      </c>
    </row>
    <row r="157" spans="2:14" ht="11.1" customHeight="1" x14ac:dyDescent="0.3">
      <c r="B157" s="19">
        <v>150</v>
      </c>
      <c r="C157" s="22">
        <v>201504952.30594462</v>
      </c>
      <c r="D157" s="23">
        <v>2.278810849554282</v>
      </c>
      <c r="E157" s="22">
        <v>118627474.93522288</v>
      </c>
      <c r="F157" s="23">
        <v>1.798733527825835</v>
      </c>
      <c r="G157" s="22">
        <v>82877477.370721743</v>
      </c>
      <c r="H157" s="23">
        <v>0.48007732172844708</v>
      </c>
      <c r="I157" s="23">
        <f t="shared" si="9"/>
        <v>172633602.17127877</v>
      </c>
      <c r="J157" s="4">
        <f t="shared" si="8"/>
        <v>14402319.651853412</v>
      </c>
      <c r="L157" s="22">
        <v>755000000</v>
      </c>
      <c r="M157" s="134">
        <f t="shared" si="10"/>
        <v>1</v>
      </c>
      <c r="N157" s="134">
        <f t="shared" si="11"/>
        <v>0</v>
      </c>
    </row>
    <row r="158" spans="2:14" ht="11.1" customHeight="1" x14ac:dyDescent="0.3">
      <c r="B158" s="19">
        <v>151</v>
      </c>
      <c r="C158" s="22">
        <v>201963699.44965127</v>
      </c>
      <c r="D158" s="23">
        <v>2.169796747769936</v>
      </c>
      <c r="E158" s="22">
        <v>118805177.90928768</v>
      </c>
      <c r="F158" s="23">
        <v>1.6840945298217564</v>
      </c>
      <c r="G158" s="22">
        <v>83158521.540363595</v>
      </c>
      <c r="H158" s="23">
        <v>0.48570221794817958</v>
      </c>
      <c r="I158" s="23">
        <f t="shared" si="9"/>
        <v>171212974.67337471</v>
      </c>
      <c r="J158" s="4">
        <f t="shared" si="8"/>
        <v>14571066.538445387</v>
      </c>
      <c r="L158" s="22">
        <v>760000000</v>
      </c>
      <c r="M158" s="134">
        <f t="shared" si="10"/>
        <v>1</v>
      </c>
      <c r="N158" s="134">
        <f t="shared" si="11"/>
        <v>0</v>
      </c>
    </row>
    <row r="159" spans="2:14" ht="11.1" customHeight="1" x14ac:dyDescent="0.3">
      <c r="B159" s="19">
        <v>152</v>
      </c>
      <c r="C159" s="22">
        <v>199142472.34128505</v>
      </c>
      <c r="D159" s="23">
        <v>2.1181065926122109</v>
      </c>
      <c r="E159" s="22">
        <v>116256031.26331617</v>
      </c>
      <c r="F159" s="23">
        <v>1.6379717761445283</v>
      </c>
      <c r="G159" s="22">
        <v>82886441.077968881</v>
      </c>
      <c r="H159" s="23">
        <v>0.48013481646768263</v>
      </c>
      <c r="I159" s="23">
        <f t="shared" si="9"/>
        <v>172631598.94914198</v>
      </c>
      <c r="J159" s="4">
        <f t="shared" si="8"/>
        <v>14404044.494030479</v>
      </c>
      <c r="L159" s="22">
        <v>765000000</v>
      </c>
      <c r="M159" s="134">
        <f t="shared" si="10"/>
        <v>1</v>
      </c>
      <c r="N159" s="134">
        <f t="shared" si="11"/>
        <v>0</v>
      </c>
    </row>
    <row r="160" spans="2:14" ht="11.1" customHeight="1" x14ac:dyDescent="0.3">
      <c r="B160" s="19">
        <v>153</v>
      </c>
      <c r="C160" s="22">
        <v>200954138.80626202</v>
      </c>
      <c r="D160" s="23">
        <v>2.297601539545457</v>
      </c>
      <c r="E160" s="22">
        <v>117626438.09301536</v>
      </c>
      <c r="F160" s="23">
        <v>1.7754204755964433</v>
      </c>
      <c r="G160" s="22">
        <v>83327700.713246658</v>
      </c>
      <c r="H160" s="23">
        <v>0.52218106394901365</v>
      </c>
      <c r="I160" s="23">
        <f t="shared" si="9"/>
        <v>159576259.01459894</v>
      </c>
      <c r="J160" s="4">
        <f t="shared" si="8"/>
        <v>15665431.918470409</v>
      </c>
      <c r="L160" s="22">
        <v>770000000</v>
      </c>
      <c r="M160" s="134">
        <f t="shared" si="10"/>
        <v>1</v>
      </c>
      <c r="N160" s="134">
        <f t="shared" si="11"/>
        <v>0</v>
      </c>
    </row>
    <row r="161" spans="2:14" ht="11.1" customHeight="1" x14ac:dyDescent="0.3">
      <c r="B161" s="19">
        <v>154</v>
      </c>
      <c r="C161" s="22">
        <v>203551196.79501757</v>
      </c>
      <c r="D161" s="23">
        <v>2.234730153821777</v>
      </c>
      <c r="E161" s="22">
        <v>120420073.54146904</v>
      </c>
      <c r="F161" s="23">
        <v>1.7213542014604806</v>
      </c>
      <c r="G161" s="22">
        <v>83131123.253548533</v>
      </c>
      <c r="H161" s="23">
        <v>0.51337595236129641</v>
      </c>
      <c r="I161" s="23">
        <f t="shared" si="9"/>
        <v>161930302.48336154</v>
      </c>
      <c r="J161" s="4">
        <f t="shared" si="8"/>
        <v>15401278.570838893</v>
      </c>
      <c r="L161" s="22">
        <v>775000000</v>
      </c>
      <c r="M161" s="134">
        <f t="shared" si="10"/>
        <v>1</v>
      </c>
      <c r="N161" s="134">
        <f t="shared" si="11"/>
        <v>0</v>
      </c>
    </row>
    <row r="162" spans="2:14" ht="11.1" customHeight="1" x14ac:dyDescent="0.3">
      <c r="B162" s="19">
        <v>155</v>
      </c>
      <c r="C162" s="22">
        <v>201832753.30666333</v>
      </c>
      <c r="D162" s="23">
        <v>2.079072278986196</v>
      </c>
      <c r="E162" s="22">
        <v>118899485.50660442</v>
      </c>
      <c r="F162" s="23">
        <v>1.6181349891273864</v>
      </c>
      <c r="G162" s="22">
        <v>82933267.800058916</v>
      </c>
      <c r="H162" s="23">
        <v>0.46093728985880955</v>
      </c>
      <c r="I162" s="23">
        <f t="shared" si="9"/>
        <v>179923103.69478318</v>
      </c>
      <c r="J162" s="4">
        <f t="shared" si="8"/>
        <v>13828118.695764286</v>
      </c>
      <c r="L162" s="22">
        <v>780000000</v>
      </c>
      <c r="M162" s="134">
        <f t="shared" si="10"/>
        <v>1</v>
      </c>
      <c r="N162" s="134">
        <f t="shared" si="11"/>
        <v>0</v>
      </c>
    </row>
    <row r="163" spans="2:14" ht="11.1" customHeight="1" x14ac:dyDescent="0.3">
      <c r="B163" s="19">
        <v>156</v>
      </c>
      <c r="C163" s="22">
        <v>200534732.55894503</v>
      </c>
      <c r="D163" s="23">
        <v>2.2407464514024489</v>
      </c>
      <c r="E163" s="22">
        <v>117759065.83472404</v>
      </c>
      <c r="F163" s="23">
        <v>1.7622383555580152</v>
      </c>
      <c r="G163" s="22">
        <v>82775666.724220991</v>
      </c>
      <c r="H163" s="23">
        <v>0.47850809584443366</v>
      </c>
      <c r="I163" s="23">
        <f t="shared" si="9"/>
        <v>172986972.30638275</v>
      </c>
      <c r="J163" s="4">
        <f t="shared" si="8"/>
        <v>14355242.875333009</v>
      </c>
      <c r="L163" s="22">
        <v>785000000</v>
      </c>
      <c r="M163" s="134">
        <f t="shared" si="10"/>
        <v>1</v>
      </c>
      <c r="N163" s="134">
        <f t="shared" si="11"/>
        <v>0</v>
      </c>
    </row>
    <row r="164" spans="2:14" ht="11.1" customHeight="1" x14ac:dyDescent="0.3">
      <c r="B164" s="19">
        <v>157</v>
      </c>
      <c r="C164" s="22">
        <v>203834160.06228012</v>
      </c>
      <c r="D164" s="23">
        <v>2.0656286255701057</v>
      </c>
      <c r="E164" s="22">
        <v>120911873.46836793</v>
      </c>
      <c r="F164" s="23">
        <v>1.5675223054087446</v>
      </c>
      <c r="G164" s="22">
        <v>82922286.593912184</v>
      </c>
      <c r="H164" s="23">
        <v>0.49810632016136114</v>
      </c>
      <c r="I164" s="23">
        <f t="shared" si="9"/>
        <v>166475074.17101148</v>
      </c>
      <c r="J164" s="4">
        <f t="shared" si="8"/>
        <v>14943189.604840834</v>
      </c>
      <c r="L164" s="22">
        <v>790000000</v>
      </c>
      <c r="M164" s="134">
        <f t="shared" si="10"/>
        <v>1</v>
      </c>
      <c r="N164" s="134">
        <f t="shared" si="11"/>
        <v>0</v>
      </c>
    </row>
    <row r="165" spans="2:14" ht="11.1" customHeight="1" x14ac:dyDescent="0.3">
      <c r="B165" s="19">
        <v>158</v>
      </c>
      <c r="C165" s="22">
        <v>201682474.38574523</v>
      </c>
      <c r="D165" s="23">
        <v>2.1785704623116433</v>
      </c>
      <c r="E165" s="22">
        <v>118923557.43400994</v>
      </c>
      <c r="F165" s="23">
        <v>1.6906802222982569</v>
      </c>
      <c r="G165" s="22">
        <v>82758916.951735288</v>
      </c>
      <c r="H165" s="23">
        <v>0.48789024001338643</v>
      </c>
      <c r="I165" s="23">
        <f t="shared" si="9"/>
        <v>169626096.53651732</v>
      </c>
      <c r="J165" s="4">
        <f t="shared" si="8"/>
        <v>14636707.200401593</v>
      </c>
      <c r="L165" s="22">
        <v>795000000</v>
      </c>
      <c r="M165" s="134">
        <f t="shared" si="10"/>
        <v>1</v>
      </c>
      <c r="N165" s="134">
        <f t="shared" si="11"/>
        <v>0</v>
      </c>
    </row>
    <row r="166" spans="2:14" ht="11.1" customHeight="1" x14ac:dyDescent="0.3">
      <c r="B166" s="19">
        <v>159</v>
      </c>
      <c r="C166" s="22">
        <v>197999002.01012596</v>
      </c>
      <c r="D166" s="23">
        <v>2.1428759505229711</v>
      </c>
      <c r="E166" s="22">
        <v>115034932.95549043</v>
      </c>
      <c r="F166" s="23">
        <v>1.6788871805855123</v>
      </c>
      <c r="G166" s="22">
        <v>82964069.05463554</v>
      </c>
      <c r="H166" s="23">
        <v>0.46398876993745874</v>
      </c>
      <c r="I166" s="23">
        <f t="shared" si="9"/>
        <v>178806200.55916074</v>
      </c>
      <c r="J166" s="4">
        <f t="shared" si="8"/>
        <v>13919663.098123763</v>
      </c>
      <c r="L166" s="22">
        <v>800000000</v>
      </c>
      <c r="M166" s="134">
        <f t="shared" si="10"/>
        <v>1</v>
      </c>
      <c r="N166" s="134">
        <f t="shared" si="11"/>
        <v>0</v>
      </c>
    </row>
    <row r="167" spans="2:14" ht="11.1" customHeight="1" x14ac:dyDescent="0.3">
      <c r="B167" s="19">
        <v>160</v>
      </c>
      <c r="C167" s="22">
        <v>200419097.37554255</v>
      </c>
      <c r="D167" s="23">
        <v>2.1238116699814107</v>
      </c>
      <c r="E167" s="22">
        <v>117133765.27677082</v>
      </c>
      <c r="F167" s="23">
        <v>1.6567406224563839</v>
      </c>
      <c r="G167" s="22">
        <v>83285332.098771736</v>
      </c>
      <c r="H167" s="23">
        <v>0.46707104752502682</v>
      </c>
      <c r="I167" s="23">
        <f t="shared" si="9"/>
        <v>178314054.2324219</v>
      </c>
      <c r="J167" s="4">
        <f t="shared" si="8"/>
        <v>14012131.425750805</v>
      </c>
      <c r="L167" s="22">
        <v>805000000</v>
      </c>
      <c r="M167" s="134">
        <f t="shared" si="10"/>
        <v>1</v>
      </c>
      <c r="N167" s="134">
        <f t="shared" si="11"/>
        <v>0</v>
      </c>
    </row>
    <row r="168" spans="2:14" ht="11.1" customHeight="1" x14ac:dyDescent="0.3">
      <c r="B168" s="19">
        <v>161</v>
      </c>
      <c r="C168" s="22">
        <v>201609931.01415145</v>
      </c>
      <c r="D168" s="23">
        <v>2.277671439866237</v>
      </c>
      <c r="E168" s="22">
        <v>118391041.45534007</v>
      </c>
      <c r="F168" s="23">
        <v>1.825745820563603</v>
      </c>
      <c r="G168" s="22">
        <v>83218889.558811381</v>
      </c>
      <c r="H168" s="23">
        <v>0.45192561930263397</v>
      </c>
      <c r="I168" s="23">
        <f t="shared" si="9"/>
        <v>184142889.90127707</v>
      </c>
      <c r="J168" s="4">
        <f t="shared" si="8"/>
        <v>13557768.579079019</v>
      </c>
      <c r="L168" s="22">
        <v>810000000</v>
      </c>
      <c r="M168" s="134">
        <f t="shared" si="10"/>
        <v>1</v>
      </c>
      <c r="N168" s="134">
        <f t="shared" si="11"/>
        <v>0</v>
      </c>
    </row>
    <row r="169" spans="2:14" ht="11.1" customHeight="1" x14ac:dyDescent="0.3">
      <c r="B169" s="19">
        <v>162</v>
      </c>
      <c r="C169" s="22">
        <v>202947982.52276757</v>
      </c>
      <c r="D169" s="23">
        <v>2.0420036391514937</v>
      </c>
      <c r="E169" s="22">
        <v>119898295.53373662</v>
      </c>
      <c r="F169" s="23">
        <v>1.5662134170465911</v>
      </c>
      <c r="G169" s="22">
        <v>83049686.989030957</v>
      </c>
      <c r="H169" s="23">
        <v>0.47579022210490263</v>
      </c>
      <c r="I169" s="23">
        <f t="shared" si="9"/>
        <v>174551058.70317799</v>
      </c>
      <c r="J169" s="4">
        <f t="shared" si="8"/>
        <v>14273706.663147079</v>
      </c>
      <c r="L169" s="22">
        <v>815000000</v>
      </c>
      <c r="M169" s="134">
        <f t="shared" si="10"/>
        <v>1</v>
      </c>
      <c r="N169" s="134">
        <f t="shared" si="11"/>
        <v>0</v>
      </c>
    </row>
    <row r="170" spans="2:14" ht="11.1" customHeight="1" x14ac:dyDescent="0.3">
      <c r="B170" s="19">
        <v>163</v>
      </c>
      <c r="C170" s="22">
        <v>200451909.51625913</v>
      </c>
      <c r="D170" s="23">
        <v>1.9273819780619221</v>
      </c>
      <c r="E170" s="22">
        <v>117575267.55066049</v>
      </c>
      <c r="F170" s="23">
        <v>1.4669733556094091</v>
      </c>
      <c r="G170" s="22">
        <v>82876641.965598643</v>
      </c>
      <c r="H170" s="23">
        <v>0.46040862245251302</v>
      </c>
      <c r="I170" s="23">
        <f t="shared" si="9"/>
        <v>180006711.2647236</v>
      </c>
      <c r="J170" s="4">
        <f t="shared" si="8"/>
        <v>13812258.67357539</v>
      </c>
      <c r="L170" s="22">
        <v>820000000</v>
      </c>
      <c r="M170" s="134">
        <f t="shared" si="10"/>
        <v>1</v>
      </c>
      <c r="N170" s="134">
        <f t="shared" si="11"/>
        <v>0</v>
      </c>
    </row>
    <row r="171" spans="2:14" ht="11.1" customHeight="1" x14ac:dyDescent="0.3">
      <c r="B171" s="19">
        <v>164</v>
      </c>
      <c r="C171" s="22">
        <v>201741613.09727907</v>
      </c>
      <c r="D171" s="23">
        <v>1.8807977629968362</v>
      </c>
      <c r="E171" s="22">
        <v>118985207.91254179</v>
      </c>
      <c r="F171" s="23">
        <v>1.4312485660363645</v>
      </c>
      <c r="G171" s="22">
        <v>82756405.18473728</v>
      </c>
      <c r="H171" s="23">
        <v>0.44954919696047169</v>
      </c>
      <c r="I171" s="23">
        <f t="shared" si="9"/>
        <v>184087538.68158716</v>
      </c>
      <c r="J171" s="4">
        <f t="shared" si="8"/>
        <v>13486475.908814151</v>
      </c>
      <c r="L171" s="22">
        <v>825000000</v>
      </c>
      <c r="M171" s="134">
        <f t="shared" si="10"/>
        <v>1</v>
      </c>
      <c r="N171" s="134">
        <f t="shared" si="11"/>
        <v>0</v>
      </c>
    </row>
    <row r="172" spans="2:14" ht="11.1" customHeight="1" x14ac:dyDescent="0.3">
      <c r="B172" s="19">
        <v>165</v>
      </c>
      <c r="C172" s="22">
        <v>202560478.93865618</v>
      </c>
      <c r="D172" s="23">
        <v>1.8723741980951374</v>
      </c>
      <c r="E172" s="22">
        <v>119614040.3255787</v>
      </c>
      <c r="F172" s="23">
        <v>1.4317515929627611</v>
      </c>
      <c r="G172" s="22">
        <v>82946438.613077477</v>
      </c>
      <c r="H172" s="23">
        <v>0.44062260513237628</v>
      </c>
      <c r="I172" s="23">
        <f t="shared" si="9"/>
        <v>188248259.72820407</v>
      </c>
      <c r="J172" s="4">
        <f t="shared" si="8"/>
        <v>13218678.153971288</v>
      </c>
      <c r="L172" s="22">
        <v>830000000</v>
      </c>
      <c r="M172" s="134">
        <f t="shared" si="10"/>
        <v>1</v>
      </c>
      <c r="N172" s="134">
        <f t="shared" si="11"/>
        <v>0</v>
      </c>
    </row>
    <row r="173" spans="2:14" ht="11.1" customHeight="1" x14ac:dyDescent="0.3">
      <c r="B173" s="19">
        <v>166</v>
      </c>
      <c r="C173" s="22">
        <v>200238022.13503972</v>
      </c>
      <c r="D173" s="23">
        <v>2.0086805785611963</v>
      </c>
      <c r="E173" s="22">
        <v>117438563.23749338</v>
      </c>
      <c r="F173" s="23">
        <v>1.5470982795958925</v>
      </c>
      <c r="G173" s="22">
        <v>82799458.897546336</v>
      </c>
      <c r="H173" s="23">
        <v>0.46158229896530378</v>
      </c>
      <c r="I173" s="23">
        <f t="shared" si="9"/>
        <v>179381789.73316783</v>
      </c>
      <c r="J173" s="4">
        <f t="shared" si="8"/>
        <v>13847468.968959114</v>
      </c>
      <c r="L173" s="22">
        <v>835000000</v>
      </c>
      <c r="M173" s="134">
        <f t="shared" si="10"/>
        <v>1</v>
      </c>
      <c r="N173" s="134">
        <f t="shared" si="11"/>
        <v>0</v>
      </c>
    </row>
    <row r="174" spans="2:14" ht="11.1" customHeight="1" x14ac:dyDescent="0.3">
      <c r="B174" s="19">
        <v>167</v>
      </c>
      <c r="C174" s="22">
        <v>203349829.66835007</v>
      </c>
      <c r="D174" s="23">
        <v>1.7326306127089706</v>
      </c>
      <c r="E174" s="22">
        <v>120592873.93713613</v>
      </c>
      <c r="F174" s="23">
        <v>1.2921525978668975</v>
      </c>
      <c r="G174" s="22">
        <v>82756955.731213942</v>
      </c>
      <c r="H174" s="23">
        <v>0.44047801484207305</v>
      </c>
      <c r="I174" s="23">
        <f t="shared" si="9"/>
        <v>187879878.09308767</v>
      </c>
      <c r="J174" s="4">
        <f t="shared" si="8"/>
        <v>13214340.445262192</v>
      </c>
      <c r="L174" s="22">
        <v>840000000</v>
      </c>
      <c r="M174" s="134">
        <f t="shared" si="10"/>
        <v>1</v>
      </c>
      <c r="N174" s="134">
        <f t="shared" si="11"/>
        <v>0</v>
      </c>
    </row>
    <row r="175" spans="2:14" ht="11.1" customHeight="1" x14ac:dyDescent="0.3">
      <c r="B175" s="19">
        <v>168</v>
      </c>
      <c r="C175" s="22">
        <v>197480237.46189678</v>
      </c>
      <c r="D175" s="23">
        <v>1.9130212168029408</v>
      </c>
      <c r="E175" s="22">
        <v>114166248.92330126</v>
      </c>
      <c r="F175" s="23">
        <v>1.4479031256477799</v>
      </c>
      <c r="G175" s="22">
        <v>83313988.538595513</v>
      </c>
      <c r="H175" s="23">
        <v>0.4651180911551609</v>
      </c>
      <c r="I175" s="23">
        <f t="shared" si="9"/>
        <v>179124377.49234402</v>
      </c>
      <c r="J175" s="4">
        <f t="shared" si="8"/>
        <v>13953542.734654827</v>
      </c>
      <c r="L175" s="22">
        <v>845000000</v>
      </c>
      <c r="M175" s="134">
        <f t="shared" si="10"/>
        <v>1</v>
      </c>
      <c r="N175" s="134">
        <f t="shared" si="11"/>
        <v>0</v>
      </c>
    </row>
    <row r="176" spans="2:14" ht="11.1" customHeight="1" x14ac:dyDescent="0.3">
      <c r="B176" s="19">
        <v>169</v>
      </c>
      <c r="C176" s="22">
        <v>207136923.2166827</v>
      </c>
      <c r="D176" s="23">
        <v>2.081270915613453</v>
      </c>
      <c r="E176" s="22">
        <v>124353837.33655384</v>
      </c>
      <c r="F176" s="23">
        <v>1.5951990969987269</v>
      </c>
      <c r="G176" s="22">
        <v>82783085.88012886</v>
      </c>
      <c r="H176" s="23">
        <v>0.48607181861472615</v>
      </c>
      <c r="I176" s="23">
        <f t="shared" si="9"/>
        <v>170310400.04758021</v>
      </c>
      <c r="J176" s="4">
        <f t="shared" si="8"/>
        <v>14582154.558441784</v>
      </c>
      <c r="L176" s="22">
        <v>850000000</v>
      </c>
      <c r="M176" s="134">
        <f t="shared" si="10"/>
        <v>1</v>
      </c>
      <c r="N176" s="134">
        <f t="shared" si="11"/>
        <v>0</v>
      </c>
    </row>
    <row r="177" spans="2:14" ht="11.1" customHeight="1" x14ac:dyDescent="0.3">
      <c r="B177" s="19">
        <v>170</v>
      </c>
      <c r="C177" s="22">
        <v>201305968.67160714</v>
      </c>
      <c r="D177" s="23">
        <v>2.3408882582950539</v>
      </c>
      <c r="E177" s="22">
        <v>118611801.00104639</v>
      </c>
      <c r="F177" s="23">
        <v>1.8474917642889039</v>
      </c>
      <c r="G177" s="22">
        <v>82694167.670560747</v>
      </c>
      <c r="H177" s="23">
        <v>0.49339649400614993</v>
      </c>
      <c r="I177" s="23">
        <f t="shared" si="9"/>
        <v>167601855.04992667</v>
      </c>
      <c r="J177" s="4">
        <f t="shared" si="8"/>
        <v>14801894.820184497</v>
      </c>
      <c r="L177" s="22">
        <v>855000000</v>
      </c>
      <c r="M177" s="134">
        <f t="shared" si="10"/>
        <v>1</v>
      </c>
      <c r="N177" s="134">
        <f t="shared" si="11"/>
        <v>0</v>
      </c>
    </row>
    <row r="178" spans="2:14" ht="11.1" customHeight="1" x14ac:dyDescent="0.3">
      <c r="B178" s="19">
        <v>171</v>
      </c>
      <c r="C178" s="22">
        <v>203505687.94632939</v>
      </c>
      <c r="D178" s="23">
        <v>1.9872196733371597</v>
      </c>
      <c r="E178" s="22">
        <v>120439267.07546338</v>
      </c>
      <c r="F178" s="23">
        <v>1.5407812702432819</v>
      </c>
      <c r="G178" s="22">
        <v>83066420.870866001</v>
      </c>
      <c r="H178" s="23">
        <v>0.44643840309387772</v>
      </c>
      <c r="I178" s="23">
        <f t="shared" si="9"/>
        <v>186064685.06115204</v>
      </c>
      <c r="J178" s="4">
        <f t="shared" si="8"/>
        <v>13393152.092816332</v>
      </c>
      <c r="L178" s="22">
        <v>860000000</v>
      </c>
      <c r="M178" s="134">
        <f t="shared" si="10"/>
        <v>1</v>
      </c>
      <c r="N178" s="134">
        <f t="shared" si="11"/>
        <v>0</v>
      </c>
    </row>
    <row r="179" spans="2:14" ht="11.1" customHeight="1" x14ac:dyDescent="0.3">
      <c r="B179" s="19">
        <v>172</v>
      </c>
      <c r="C179" s="22">
        <v>201605640.00354904</v>
      </c>
      <c r="D179" s="23">
        <v>2.2929012211401849</v>
      </c>
      <c r="E179" s="22">
        <v>118439114.44781958</v>
      </c>
      <c r="F179" s="23">
        <v>1.8173144005639503</v>
      </c>
      <c r="G179" s="22">
        <v>83166525.555729464</v>
      </c>
      <c r="H179" s="23">
        <v>0.47558682057623458</v>
      </c>
      <c r="I179" s="23">
        <f t="shared" si="9"/>
        <v>174871384.06182602</v>
      </c>
      <c r="J179" s="4">
        <f t="shared" si="8"/>
        <v>14267604.617287038</v>
      </c>
      <c r="L179" s="22">
        <v>865000000</v>
      </c>
      <c r="M179" s="134">
        <f t="shared" si="10"/>
        <v>1</v>
      </c>
      <c r="N179" s="134">
        <f t="shared" si="11"/>
        <v>0</v>
      </c>
    </row>
    <row r="180" spans="2:14" ht="11.1" customHeight="1" x14ac:dyDescent="0.3">
      <c r="B180" s="19">
        <v>173</v>
      </c>
      <c r="C180" s="22">
        <v>201010062.62500995</v>
      </c>
      <c r="D180" s="23">
        <v>2.3925444119544457</v>
      </c>
      <c r="E180" s="22">
        <v>117484644.93337274</v>
      </c>
      <c r="F180" s="23">
        <v>1.9553502575498583</v>
      </c>
      <c r="G180" s="22">
        <v>83525417.691637218</v>
      </c>
      <c r="H180" s="23">
        <v>0.43719415440458742</v>
      </c>
      <c r="I180" s="23">
        <f t="shared" si="9"/>
        <v>191048798.0000329</v>
      </c>
      <c r="J180" s="4">
        <f t="shared" si="8"/>
        <v>13115824.632137623</v>
      </c>
      <c r="L180" s="22">
        <v>870000000</v>
      </c>
      <c r="M180" s="134">
        <f t="shared" si="10"/>
        <v>1</v>
      </c>
      <c r="N180" s="134">
        <f t="shared" si="11"/>
        <v>0</v>
      </c>
    </row>
    <row r="181" spans="2:14" ht="11.1" customHeight="1" x14ac:dyDescent="0.3">
      <c r="B181" s="19">
        <v>174</v>
      </c>
      <c r="C181" s="22">
        <v>206007221.76263225</v>
      </c>
      <c r="D181" s="23">
        <v>1.8776447805082781</v>
      </c>
      <c r="E181" s="22">
        <v>123340678.82328045</v>
      </c>
      <c r="F181" s="23">
        <v>1.4434120980697174</v>
      </c>
      <c r="G181" s="22">
        <v>82666542.939351797</v>
      </c>
      <c r="H181" s="23">
        <v>0.43423268243856072</v>
      </c>
      <c r="I181" s="23">
        <f t="shared" si="9"/>
        <v>190373839.3782652</v>
      </c>
      <c r="J181" s="4">
        <f t="shared" si="8"/>
        <v>13026980.473156821</v>
      </c>
      <c r="L181" s="22">
        <v>875000000</v>
      </c>
      <c r="M181" s="134">
        <f t="shared" si="10"/>
        <v>1</v>
      </c>
      <c r="N181" s="134">
        <f t="shared" si="11"/>
        <v>0</v>
      </c>
    </row>
    <row r="182" spans="2:14" ht="11.1" customHeight="1" x14ac:dyDescent="0.3">
      <c r="B182" s="19">
        <v>175</v>
      </c>
      <c r="C182" s="22">
        <v>202111745.44961455</v>
      </c>
      <c r="D182" s="23">
        <v>1.6220353547051962</v>
      </c>
      <c r="E182" s="22">
        <v>119270134.94423129</v>
      </c>
      <c r="F182" s="23">
        <v>1.2082833774558508</v>
      </c>
      <c r="G182" s="22">
        <v>82841610.505383268</v>
      </c>
      <c r="H182" s="23">
        <v>0.41375197724934543</v>
      </c>
      <c r="I182" s="23">
        <f t="shared" si="9"/>
        <v>200220458.29513755</v>
      </c>
      <c r="J182" s="4">
        <f t="shared" si="8"/>
        <v>12412559.317480363</v>
      </c>
      <c r="L182" s="22">
        <v>880000000</v>
      </c>
      <c r="M182" s="134">
        <f t="shared" si="10"/>
        <v>1</v>
      </c>
      <c r="N182" s="134">
        <f t="shared" si="11"/>
        <v>0</v>
      </c>
    </row>
    <row r="183" spans="2:14" ht="11.1" customHeight="1" x14ac:dyDescent="0.3">
      <c r="B183" s="19">
        <v>176</v>
      </c>
      <c r="C183" s="22">
        <v>204159629.12297195</v>
      </c>
      <c r="D183" s="23">
        <v>1.8976479634458443</v>
      </c>
      <c r="E183" s="22">
        <v>121100700.25793548</v>
      </c>
      <c r="F183" s="23">
        <v>1.4403183638414823</v>
      </c>
      <c r="G183" s="22">
        <v>83058928.865036473</v>
      </c>
      <c r="H183" s="23">
        <v>0.45732959960436204</v>
      </c>
      <c r="I183" s="23">
        <f t="shared" si="9"/>
        <v>181617216.41654322</v>
      </c>
      <c r="J183" s="4">
        <f t="shared" si="8"/>
        <v>13719887.988130862</v>
      </c>
      <c r="L183" s="22">
        <v>885000000</v>
      </c>
      <c r="M183" s="134">
        <f t="shared" si="10"/>
        <v>1</v>
      </c>
      <c r="N183" s="134">
        <f t="shared" si="11"/>
        <v>0</v>
      </c>
    </row>
    <row r="184" spans="2:14" ht="11.1" customHeight="1" x14ac:dyDescent="0.3">
      <c r="B184" s="19">
        <v>177</v>
      </c>
      <c r="C184" s="22">
        <v>201671914.46492013</v>
      </c>
      <c r="D184" s="23">
        <v>1.8949233297457124</v>
      </c>
      <c r="E184" s="22">
        <v>118277302.77056673</v>
      </c>
      <c r="F184" s="23">
        <v>1.4501419809838145</v>
      </c>
      <c r="G184" s="22">
        <v>83394611.694353402</v>
      </c>
      <c r="H184" s="23">
        <v>0.4447813487618979</v>
      </c>
      <c r="I184" s="23">
        <f t="shared" si="9"/>
        <v>187495748.02651298</v>
      </c>
      <c r="J184" s="4">
        <f t="shared" si="8"/>
        <v>13343440.462856937</v>
      </c>
      <c r="L184" s="22">
        <v>890000000</v>
      </c>
      <c r="M184" s="134">
        <f t="shared" si="10"/>
        <v>1</v>
      </c>
      <c r="N184" s="134">
        <f t="shared" si="11"/>
        <v>0</v>
      </c>
    </row>
    <row r="185" spans="2:14" ht="11.1" customHeight="1" x14ac:dyDescent="0.3">
      <c r="B185" s="19">
        <v>178</v>
      </c>
      <c r="C185" s="22">
        <v>202180710.01262888</v>
      </c>
      <c r="D185" s="23">
        <v>1.9388945663581001</v>
      </c>
      <c r="E185" s="22">
        <v>119131311.93972549</v>
      </c>
      <c r="F185" s="23">
        <v>1.4896527163039401</v>
      </c>
      <c r="G185" s="22">
        <v>83049398.072903395</v>
      </c>
      <c r="H185" s="23">
        <v>0.44924185005415995</v>
      </c>
      <c r="I185" s="23">
        <f t="shared" si="9"/>
        <v>184865675.49949116</v>
      </c>
      <c r="J185" s="4">
        <f t="shared" si="8"/>
        <v>13477255.501624798</v>
      </c>
      <c r="L185" s="22">
        <v>895000000</v>
      </c>
      <c r="M185" s="134">
        <f t="shared" si="10"/>
        <v>1</v>
      </c>
      <c r="N185" s="134">
        <f t="shared" si="11"/>
        <v>0</v>
      </c>
    </row>
    <row r="186" spans="2:14" ht="11.1" customHeight="1" x14ac:dyDescent="0.3">
      <c r="B186" s="19">
        <v>179</v>
      </c>
      <c r="C186" s="22">
        <v>203235878.46944359</v>
      </c>
      <c r="D186" s="23">
        <v>2.2241599511799599</v>
      </c>
      <c r="E186" s="22">
        <v>119838145.8085957</v>
      </c>
      <c r="F186" s="23">
        <v>1.8124322400779522</v>
      </c>
      <c r="G186" s="22">
        <v>83397732.660847887</v>
      </c>
      <c r="H186" s="23">
        <v>0.41172771110200768</v>
      </c>
      <c r="I186" s="23">
        <f t="shared" si="9"/>
        <v>202555549.2430425</v>
      </c>
      <c r="J186" s="4">
        <f t="shared" si="8"/>
        <v>12351831.333060231</v>
      </c>
      <c r="L186" s="22">
        <v>900000000</v>
      </c>
      <c r="M186" s="134">
        <f t="shared" si="10"/>
        <v>1</v>
      </c>
      <c r="N186" s="134">
        <f t="shared" si="11"/>
        <v>0</v>
      </c>
    </row>
    <row r="187" spans="2:14" ht="11.1" customHeight="1" x14ac:dyDescent="0.3">
      <c r="B187" s="19">
        <v>180</v>
      </c>
      <c r="C187" s="22">
        <v>202265460.35669112</v>
      </c>
      <c r="D187" s="23">
        <v>2.2566053070593677</v>
      </c>
      <c r="E187" s="22">
        <v>119527862.7188839</v>
      </c>
      <c r="F187" s="23">
        <v>1.7636487651882728</v>
      </c>
      <c r="G187" s="22">
        <v>82737597.63780722</v>
      </c>
      <c r="H187" s="23">
        <v>0.49295654187109483</v>
      </c>
      <c r="I187" s="23">
        <f t="shared" si="9"/>
        <v>167839536.7749123</v>
      </c>
      <c r="J187" s="4">
        <f t="shared" si="8"/>
        <v>14788696.256132845</v>
      </c>
      <c r="L187" s="22">
        <v>905000000</v>
      </c>
      <c r="M187" s="134">
        <f t="shared" si="10"/>
        <v>1</v>
      </c>
      <c r="N187" s="134">
        <f t="shared" si="11"/>
        <v>0</v>
      </c>
    </row>
    <row r="188" spans="2:14" ht="11.1" customHeight="1" x14ac:dyDescent="0.3">
      <c r="B188" s="19">
        <v>181</v>
      </c>
      <c r="C188" s="22">
        <v>199361484.81583846</v>
      </c>
      <c r="D188" s="23">
        <v>1.7654926025775977</v>
      </c>
      <c r="E188" s="22">
        <v>116102163.4730531</v>
      </c>
      <c r="F188" s="23">
        <v>1.2959463666597271</v>
      </c>
      <c r="G188" s="22">
        <v>83259321.342785358</v>
      </c>
      <c r="H188" s="23">
        <v>0.46954623591787059</v>
      </c>
      <c r="I188" s="23">
        <f t="shared" si="9"/>
        <v>177318685.51779518</v>
      </c>
      <c r="J188" s="4">
        <f t="shared" si="8"/>
        <v>14086387.077536117</v>
      </c>
      <c r="L188" s="22">
        <v>910000000</v>
      </c>
      <c r="M188" s="134">
        <f t="shared" si="10"/>
        <v>1</v>
      </c>
      <c r="N188" s="134">
        <f t="shared" si="11"/>
        <v>0</v>
      </c>
    </row>
    <row r="189" spans="2:14" ht="11.1" customHeight="1" x14ac:dyDescent="0.3">
      <c r="B189" s="19">
        <v>182</v>
      </c>
      <c r="C189" s="22">
        <v>202730133.23194826</v>
      </c>
      <c r="D189" s="23">
        <v>1.7970329113966323</v>
      </c>
      <c r="E189" s="22">
        <v>119623998.51602817</v>
      </c>
      <c r="F189" s="23">
        <v>1.3506760468997134</v>
      </c>
      <c r="G189" s="22">
        <v>83106134.715920091</v>
      </c>
      <c r="H189" s="23">
        <v>0.44635686449691891</v>
      </c>
      <c r="I189" s="23">
        <f t="shared" si="9"/>
        <v>186187647.88032907</v>
      </c>
      <c r="J189" s="4">
        <f t="shared" si="8"/>
        <v>13390705.934907567</v>
      </c>
      <c r="L189" s="22">
        <v>915000000</v>
      </c>
      <c r="M189" s="134">
        <f t="shared" si="10"/>
        <v>1</v>
      </c>
      <c r="N189" s="134">
        <f t="shared" si="11"/>
        <v>0</v>
      </c>
    </row>
    <row r="190" spans="2:14" ht="11.1" customHeight="1" x14ac:dyDescent="0.3">
      <c r="B190" s="19">
        <v>183</v>
      </c>
      <c r="C190" s="22">
        <v>200548178.48421896</v>
      </c>
      <c r="D190" s="23">
        <v>1.89841197480982</v>
      </c>
      <c r="E190" s="22">
        <v>117755352.38498724</v>
      </c>
      <c r="F190" s="23">
        <v>1.4454607767237522</v>
      </c>
      <c r="G190" s="22">
        <v>82792826.09923172</v>
      </c>
      <c r="H190" s="23">
        <v>0.45295119808606787</v>
      </c>
      <c r="I190" s="23">
        <f t="shared" si="9"/>
        <v>182785312.08013225</v>
      </c>
      <c r="J190" s="4">
        <f t="shared" si="8"/>
        <v>13588535.942582035</v>
      </c>
      <c r="L190" s="22">
        <v>920000000</v>
      </c>
      <c r="M190" s="134">
        <f t="shared" si="10"/>
        <v>1</v>
      </c>
      <c r="N190" s="134">
        <f t="shared" si="11"/>
        <v>0</v>
      </c>
    </row>
    <row r="191" spans="2:14" ht="11.1" customHeight="1" x14ac:dyDescent="0.3">
      <c r="B191" s="19">
        <v>184</v>
      </c>
      <c r="C191" s="22">
        <v>199587736.08771676</v>
      </c>
      <c r="D191" s="23">
        <v>2.1274823111393291</v>
      </c>
      <c r="E191" s="22">
        <v>116470338.22790006</v>
      </c>
      <c r="F191" s="23">
        <v>1.6393438034186874</v>
      </c>
      <c r="G191" s="22">
        <v>83117397.8598167</v>
      </c>
      <c r="H191" s="23">
        <v>0.48813850772064171</v>
      </c>
      <c r="I191" s="23">
        <f t="shared" si="9"/>
        <v>170274208.12984541</v>
      </c>
      <c r="J191" s="4">
        <f t="shared" si="8"/>
        <v>14644155.231619252</v>
      </c>
      <c r="L191" s="22">
        <v>925000000</v>
      </c>
      <c r="M191" s="134">
        <f t="shared" si="10"/>
        <v>1</v>
      </c>
      <c r="N191" s="134">
        <f t="shared" si="11"/>
        <v>0</v>
      </c>
    </row>
    <row r="192" spans="2:14" ht="11.1" customHeight="1" x14ac:dyDescent="0.3">
      <c r="B192" s="19">
        <v>185</v>
      </c>
      <c r="C192" s="22">
        <v>204120089.03160611</v>
      </c>
      <c r="D192" s="23">
        <v>2.0666924625103174</v>
      </c>
      <c r="E192" s="22">
        <v>121013266.11676718</v>
      </c>
      <c r="F192" s="23">
        <v>1.5972174858477572</v>
      </c>
      <c r="G192" s="22">
        <v>83106822.914838925</v>
      </c>
      <c r="H192" s="23">
        <v>0.46947497666256011</v>
      </c>
      <c r="I192" s="23">
        <f t="shared" si="9"/>
        <v>177020772.23718101</v>
      </c>
      <c r="J192" s="4">
        <f t="shared" si="8"/>
        <v>14084249.299876804</v>
      </c>
      <c r="L192" s="22">
        <v>930000000</v>
      </c>
      <c r="M192" s="134">
        <f t="shared" si="10"/>
        <v>1</v>
      </c>
      <c r="N192" s="134">
        <f t="shared" si="11"/>
        <v>0</v>
      </c>
    </row>
    <row r="193" spans="2:14" ht="11.1" customHeight="1" x14ac:dyDescent="0.3">
      <c r="B193" s="19">
        <v>186</v>
      </c>
      <c r="C193" s="22">
        <v>202193458.97674596</v>
      </c>
      <c r="D193" s="23">
        <v>1.7049191721726444</v>
      </c>
      <c r="E193" s="22">
        <v>119423296.43087249</v>
      </c>
      <c r="F193" s="23">
        <v>1.2533485919573368</v>
      </c>
      <c r="G193" s="22">
        <v>82770162.545873478</v>
      </c>
      <c r="H193" s="23">
        <v>0.4515705802153076</v>
      </c>
      <c r="I193" s="23">
        <f t="shared" si="9"/>
        <v>183293965.93198985</v>
      </c>
      <c r="J193" s="4">
        <f t="shared" si="8"/>
        <v>13547117.406459227</v>
      </c>
      <c r="L193" s="22">
        <v>935000000</v>
      </c>
      <c r="M193" s="134">
        <f t="shared" si="10"/>
        <v>1</v>
      </c>
      <c r="N193" s="134">
        <f t="shared" si="11"/>
        <v>0</v>
      </c>
    </row>
    <row r="194" spans="2:14" ht="11.1" customHeight="1" x14ac:dyDescent="0.3">
      <c r="B194" s="19">
        <v>187</v>
      </c>
      <c r="C194" s="22">
        <v>203479494.18680006</v>
      </c>
      <c r="D194" s="23">
        <v>2.4728373023191002</v>
      </c>
      <c r="E194" s="22">
        <v>120705554.88713545</v>
      </c>
      <c r="F194" s="23">
        <v>2.0204543470204528</v>
      </c>
      <c r="G194" s="22">
        <v>82773939.299664617</v>
      </c>
      <c r="H194" s="23">
        <v>0.45238295529864736</v>
      </c>
      <c r="I194" s="23">
        <f t="shared" si="9"/>
        <v>182973160.96938303</v>
      </c>
      <c r="J194" s="4">
        <f t="shared" si="8"/>
        <v>13571488.65895942</v>
      </c>
      <c r="L194" s="22">
        <v>940000000</v>
      </c>
      <c r="M194" s="134">
        <f t="shared" si="10"/>
        <v>1</v>
      </c>
      <c r="N194" s="134">
        <f t="shared" si="11"/>
        <v>0</v>
      </c>
    </row>
    <row r="195" spans="2:14" ht="11.1" customHeight="1" x14ac:dyDescent="0.3">
      <c r="B195" s="19">
        <v>188</v>
      </c>
      <c r="C195" s="22">
        <v>204558551.94801506</v>
      </c>
      <c r="D195" s="23">
        <v>1.7227707813860147</v>
      </c>
      <c r="E195" s="22">
        <v>122002665.3789625</v>
      </c>
      <c r="F195" s="23">
        <v>1.2809959953901273</v>
      </c>
      <c r="G195" s="22">
        <v>82555886.569052562</v>
      </c>
      <c r="H195" s="23">
        <v>0.44177478599588738</v>
      </c>
      <c r="I195" s="23">
        <f t="shared" si="9"/>
        <v>186873242.17236134</v>
      </c>
      <c r="J195" s="4">
        <f t="shared" si="8"/>
        <v>13253243.579876622</v>
      </c>
      <c r="L195" s="22">
        <v>945000000</v>
      </c>
      <c r="M195" s="134">
        <f t="shared" si="10"/>
        <v>1</v>
      </c>
      <c r="N195" s="134">
        <f t="shared" si="11"/>
        <v>0</v>
      </c>
    </row>
    <row r="196" spans="2:14" ht="11.1" customHeight="1" x14ac:dyDescent="0.3">
      <c r="B196" s="19">
        <v>189</v>
      </c>
      <c r="C196" s="22">
        <v>199038380.63258404</v>
      </c>
      <c r="D196" s="23">
        <v>2.1116258561940491</v>
      </c>
      <c r="E196" s="22">
        <v>115931799.53774408</v>
      </c>
      <c r="F196" s="23">
        <v>1.63119704035279</v>
      </c>
      <c r="G196" s="22">
        <v>83106581.09483996</v>
      </c>
      <c r="H196" s="23">
        <v>0.48042881584125907</v>
      </c>
      <c r="I196" s="23">
        <f t="shared" si="9"/>
        <v>172984172.37799415</v>
      </c>
      <c r="J196" s="4">
        <f t="shared" si="8"/>
        <v>14412864.475237772</v>
      </c>
      <c r="L196" s="22">
        <v>950000000</v>
      </c>
      <c r="M196" s="134">
        <f t="shared" si="10"/>
        <v>1</v>
      </c>
      <c r="N196" s="134">
        <f t="shared" si="11"/>
        <v>0</v>
      </c>
    </row>
    <row r="197" spans="2:14" ht="11.1" customHeight="1" x14ac:dyDescent="0.3">
      <c r="B197" s="19">
        <v>190</v>
      </c>
      <c r="C197" s="22">
        <v>201136989.85698751</v>
      </c>
      <c r="D197" s="23">
        <v>2.1455327837730525</v>
      </c>
      <c r="E197" s="22">
        <v>118266604.94278289</v>
      </c>
      <c r="F197" s="23">
        <v>1.6585309609078716</v>
      </c>
      <c r="G197" s="22">
        <v>82870384.914204612</v>
      </c>
      <c r="H197" s="23">
        <v>0.4870018228651809</v>
      </c>
      <c r="I197" s="23">
        <f t="shared" si="9"/>
        <v>170164424.49158147</v>
      </c>
      <c r="J197" s="4">
        <f t="shared" si="8"/>
        <v>14610054.685955428</v>
      </c>
      <c r="L197" s="22">
        <v>955000000</v>
      </c>
      <c r="M197" s="134">
        <f t="shared" si="10"/>
        <v>1</v>
      </c>
      <c r="N197" s="134">
        <f t="shared" si="11"/>
        <v>0</v>
      </c>
    </row>
    <row r="198" spans="2:14" ht="11.1" customHeight="1" x14ac:dyDescent="0.3">
      <c r="B198" s="19">
        <v>191</v>
      </c>
      <c r="C198" s="22">
        <v>202857191.01704529</v>
      </c>
      <c r="D198" s="23">
        <v>1.8826287427254809</v>
      </c>
      <c r="E198" s="22">
        <v>120079736.56139071</v>
      </c>
      <c r="F198" s="23">
        <v>1.4510870541173042</v>
      </c>
      <c r="G198" s="22">
        <v>82777454.455654576</v>
      </c>
      <c r="H198" s="23">
        <v>0.43154168860817665</v>
      </c>
      <c r="I198" s="23">
        <f t="shared" si="9"/>
        <v>191817978.75109428</v>
      </c>
      <c r="J198" s="4">
        <f t="shared" si="8"/>
        <v>12946250.658245299</v>
      </c>
      <c r="L198" s="22">
        <v>960000000</v>
      </c>
      <c r="M198" s="134">
        <f t="shared" si="10"/>
        <v>1</v>
      </c>
      <c r="N198" s="134">
        <f t="shared" si="11"/>
        <v>0</v>
      </c>
    </row>
    <row r="199" spans="2:14" ht="11.1" customHeight="1" x14ac:dyDescent="0.3">
      <c r="B199" s="19">
        <v>192</v>
      </c>
      <c r="C199" s="22">
        <v>204192616.53461504</v>
      </c>
      <c r="D199" s="23">
        <v>1.9321022391128846</v>
      </c>
      <c r="E199" s="22">
        <v>121020679.92705083</v>
      </c>
      <c r="F199" s="23">
        <v>1.512252728220663</v>
      </c>
      <c r="G199" s="22">
        <v>83171936.607564211</v>
      </c>
      <c r="H199" s="23">
        <v>0.41984951089222156</v>
      </c>
      <c r="I199" s="23">
        <f t="shared" si="9"/>
        <v>198099400.97540104</v>
      </c>
      <c r="J199" s="4">
        <f t="shared" si="8"/>
        <v>12595485.326766647</v>
      </c>
      <c r="L199" s="22">
        <v>965000000</v>
      </c>
      <c r="M199" s="134">
        <f t="shared" si="10"/>
        <v>1</v>
      </c>
      <c r="N199" s="134">
        <f t="shared" si="11"/>
        <v>0</v>
      </c>
    </row>
    <row r="200" spans="2:14" ht="11.1" customHeight="1" x14ac:dyDescent="0.3">
      <c r="B200" s="19">
        <v>193</v>
      </c>
      <c r="C200" s="22">
        <v>202480203.58304289</v>
      </c>
      <c r="D200" s="23">
        <v>1.7372687664238839</v>
      </c>
      <c r="E200" s="22">
        <v>119175610.96835722</v>
      </c>
      <c r="F200" s="23">
        <v>1.2949432869605202</v>
      </c>
      <c r="G200" s="22">
        <v>83304592.61468567</v>
      </c>
      <c r="H200" s="23">
        <v>0.44232547946336376</v>
      </c>
      <c r="I200" s="23">
        <f t="shared" si="9"/>
        <v>188333244.36962599</v>
      </c>
      <c r="J200" s="4">
        <f t="shared" ref="J200:J263" si="12">threshold*H200</f>
        <v>13269764.383900912</v>
      </c>
      <c r="L200" s="22">
        <v>970000000</v>
      </c>
      <c r="M200" s="134">
        <f t="shared" si="10"/>
        <v>1</v>
      </c>
      <c r="N200" s="134">
        <f t="shared" si="11"/>
        <v>0</v>
      </c>
    </row>
    <row r="201" spans="2:14" ht="11.1" customHeight="1" x14ac:dyDescent="0.3">
      <c r="B201" s="19">
        <v>194</v>
      </c>
      <c r="C201" s="22">
        <v>202373192.03609586</v>
      </c>
      <c r="D201" s="23">
        <v>1.9756817379101157</v>
      </c>
      <c r="E201" s="22">
        <v>119687580.71816717</v>
      </c>
      <c r="F201" s="23">
        <v>1.5417882926092983</v>
      </c>
      <c r="G201" s="22">
        <v>82685611.317928687</v>
      </c>
      <c r="H201" s="23">
        <v>0.43389344530081742</v>
      </c>
      <c r="I201" s="23">
        <f t="shared" ref="I201:I264" si="13">G201/H201</f>
        <v>190566629.23451847</v>
      </c>
      <c r="J201" s="4">
        <f t="shared" si="12"/>
        <v>13016803.359024523</v>
      </c>
      <c r="L201" s="22">
        <v>975000000</v>
      </c>
      <c r="M201" s="134">
        <f t="shared" ref="M201:M264" si="14">COUNTIF($I$8:$I$1007,"&lt;"&amp;L201)/1000</f>
        <v>1</v>
      </c>
      <c r="N201" s="134">
        <f t="shared" ref="N201:N264" si="15">1-M201</f>
        <v>0</v>
      </c>
    </row>
    <row r="202" spans="2:14" ht="11.1" customHeight="1" x14ac:dyDescent="0.3">
      <c r="B202" s="19">
        <v>195</v>
      </c>
      <c r="C202" s="22">
        <v>201872283.39612249</v>
      </c>
      <c r="D202" s="23">
        <v>1.9930887632571013</v>
      </c>
      <c r="E202" s="22">
        <v>118828233.92910331</v>
      </c>
      <c r="F202" s="23">
        <v>1.5423760253331267</v>
      </c>
      <c r="G202" s="22">
        <v>83044049.467019171</v>
      </c>
      <c r="H202" s="23">
        <v>0.45071273792397459</v>
      </c>
      <c r="I202" s="23">
        <f t="shared" si="13"/>
        <v>184250504.76613531</v>
      </c>
      <c r="J202" s="4">
        <f t="shared" si="12"/>
        <v>13521382.137719238</v>
      </c>
      <c r="L202" s="22">
        <v>980000000</v>
      </c>
      <c r="M202" s="134">
        <f t="shared" si="14"/>
        <v>1</v>
      </c>
      <c r="N202" s="134">
        <f t="shared" si="15"/>
        <v>0</v>
      </c>
    </row>
    <row r="203" spans="2:14" ht="11.1" customHeight="1" x14ac:dyDescent="0.3">
      <c r="B203" s="19">
        <v>196</v>
      </c>
      <c r="C203" s="22">
        <v>199346012.66256016</v>
      </c>
      <c r="D203" s="23">
        <v>1.9905754420027328</v>
      </c>
      <c r="E203" s="22">
        <v>116438373.57369606</v>
      </c>
      <c r="F203" s="23">
        <v>1.5918822772649515</v>
      </c>
      <c r="G203" s="22">
        <v>82907639.088864103</v>
      </c>
      <c r="H203" s="23">
        <v>0.39869316473778138</v>
      </c>
      <c r="I203" s="23">
        <f t="shared" si="13"/>
        <v>207948483.75038502</v>
      </c>
      <c r="J203" s="4">
        <f t="shared" si="12"/>
        <v>11960794.942133442</v>
      </c>
      <c r="L203" s="22">
        <v>985000000</v>
      </c>
      <c r="M203" s="134">
        <f t="shared" si="14"/>
        <v>1</v>
      </c>
      <c r="N203" s="134">
        <f t="shared" si="15"/>
        <v>0</v>
      </c>
    </row>
    <row r="204" spans="2:14" ht="11.1" customHeight="1" x14ac:dyDescent="0.3">
      <c r="B204" s="19">
        <v>197</v>
      </c>
      <c r="C204" s="22">
        <v>205061910.3016513</v>
      </c>
      <c r="D204" s="23">
        <v>2.0593807135915734</v>
      </c>
      <c r="E204" s="22">
        <v>122057128.95760047</v>
      </c>
      <c r="F204" s="23">
        <v>1.5916120542359518</v>
      </c>
      <c r="G204" s="22">
        <v>83004781.344050825</v>
      </c>
      <c r="H204" s="23">
        <v>0.46776865935562162</v>
      </c>
      <c r="I204" s="23">
        <f t="shared" si="13"/>
        <v>177448359.74773237</v>
      </c>
      <c r="J204" s="4">
        <f t="shared" si="12"/>
        <v>14033059.780668648</v>
      </c>
      <c r="L204" s="22">
        <v>990000000</v>
      </c>
      <c r="M204" s="134">
        <f t="shared" si="14"/>
        <v>1</v>
      </c>
      <c r="N204" s="134">
        <f t="shared" si="15"/>
        <v>0</v>
      </c>
    </row>
    <row r="205" spans="2:14" ht="11.1" customHeight="1" x14ac:dyDescent="0.3">
      <c r="B205" s="19">
        <v>198</v>
      </c>
      <c r="C205" s="22">
        <v>197684789.91391075</v>
      </c>
      <c r="D205" s="23">
        <v>1.862464073433328</v>
      </c>
      <c r="E205" s="22">
        <v>114244166.64475663</v>
      </c>
      <c r="F205" s="23">
        <v>1.4082920052624981</v>
      </c>
      <c r="G205" s="22">
        <v>83440623.269154117</v>
      </c>
      <c r="H205" s="23">
        <v>0.45417206817082989</v>
      </c>
      <c r="I205" s="23">
        <f t="shared" si="13"/>
        <v>183720288.22734472</v>
      </c>
      <c r="J205" s="4">
        <f t="shared" si="12"/>
        <v>13625162.045124896</v>
      </c>
      <c r="L205" s="22">
        <v>995000000</v>
      </c>
      <c r="M205" s="134">
        <f t="shared" si="14"/>
        <v>1</v>
      </c>
      <c r="N205" s="134">
        <f t="shared" si="15"/>
        <v>0</v>
      </c>
    </row>
    <row r="206" spans="2:14" ht="11.1" customHeight="1" x14ac:dyDescent="0.3">
      <c r="B206" s="19">
        <v>199</v>
      </c>
      <c r="C206" s="22">
        <v>201996440.08791661</v>
      </c>
      <c r="D206" s="23">
        <v>2.0893984540829225</v>
      </c>
      <c r="E206" s="22">
        <v>118933710.19471858</v>
      </c>
      <c r="F206" s="23">
        <v>1.6504501436605203</v>
      </c>
      <c r="G206" s="22">
        <v>83062729.893198028</v>
      </c>
      <c r="H206" s="23">
        <v>0.43894831042240212</v>
      </c>
      <c r="I206" s="23">
        <f t="shared" si="13"/>
        <v>189231232.74643967</v>
      </c>
      <c r="J206" s="4">
        <f t="shared" si="12"/>
        <v>13168449.312672064</v>
      </c>
      <c r="L206" s="22">
        <v>1000000000</v>
      </c>
      <c r="M206" s="134">
        <f t="shared" si="14"/>
        <v>1</v>
      </c>
      <c r="N206" s="134">
        <f t="shared" si="15"/>
        <v>0</v>
      </c>
    </row>
    <row r="207" spans="2:14" ht="11.1" customHeight="1" x14ac:dyDescent="0.3">
      <c r="B207" s="19">
        <v>200</v>
      </c>
      <c r="C207" s="22">
        <v>200878911.20890409</v>
      </c>
      <c r="D207" s="23">
        <v>2.2787502356547771</v>
      </c>
      <c r="E207" s="22">
        <v>117829102.49901178</v>
      </c>
      <c r="F207" s="23">
        <v>1.8667476317504872</v>
      </c>
      <c r="G207" s="22">
        <v>83049808.709892303</v>
      </c>
      <c r="H207" s="23">
        <v>0.41200260390428989</v>
      </c>
      <c r="I207" s="23">
        <f t="shared" si="13"/>
        <v>201575931.61519232</v>
      </c>
      <c r="J207" s="4">
        <f t="shared" si="12"/>
        <v>12360078.117128696</v>
      </c>
      <c r="L207" s="22">
        <v>1005000000</v>
      </c>
      <c r="M207" s="134">
        <f t="shared" si="14"/>
        <v>1</v>
      </c>
      <c r="N207" s="134">
        <f t="shared" si="15"/>
        <v>0</v>
      </c>
    </row>
    <row r="208" spans="2:14" ht="11.1" customHeight="1" x14ac:dyDescent="0.3">
      <c r="B208" s="19">
        <v>201</v>
      </c>
      <c r="C208" s="22">
        <v>203307855.18503654</v>
      </c>
      <c r="D208" s="23">
        <v>1.809215915618662</v>
      </c>
      <c r="E208" s="22">
        <v>120275406.63774142</v>
      </c>
      <c r="F208" s="23">
        <v>1.3674010217886974</v>
      </c>
      <c r="G208" s="22">
        <v>83032448.547295123</v>
      </c>
      <c r="H208" s="23">
        <v>0.44181489382996464</v>
      </c>
      <c r="I208" s="23">
        <f t="shared" si="13"/>
        <v>187934924.12062213</v>
      </c>
      <c r="J208" s="4">
        <f t="shared" si="12"/>
        <v>13254446.81489894</v>
      </c>
      <c r="L208" s="22">
        <v>1010000000</v>
      </c>
      <c r="M208" s="134">
        <f t="shared" si="14"/>
        <v>1</v>
      </c>
      <c r="N208" s="134">
        <f t="shared" si="15"/>
        <v>0</v>
      </c>
    </row>
    <row r="209" spans="2:14" ht="11.1" customHeight="1" x14ac:dyDescent="0.3">
      <c r="B209" s="19">
        <v>202</v>
      </c>
      <c r="C209" s="22">
        <v>203181556.41463089</v>
      </c>
      <c r="D209" s="23">
        <v>1.9092239793965442</v>
      </c>
      <c r="E209" s="22">
        <v>120128110.4540983</v>
      </c>
      <c r="F209" s="23">
        <v>1.4726174280286772</v>
      </c>
      <c r="G209" s="22">
        <v>83053445.960532591</v>
      </c>
      <c r="H209" s="23">
        <v>0.43660655136786697</v>
      </c>
      <c r="I209" s="23">
        <f t="shared" si="13"/>
        <v>190224919.21005356</v>
      </c>
      <c r="J209" s="4">
        <f t="shared" si="12"/>
        <v>13098196.54103601</v>
      </c>
      <c r="L209" s="22">
        <v>1015000000</v>
      </c>
      <c r="M209" s="134">
        <f t="shared" si="14"/>
        <v>1</v>
      </c>
      <c r="N209" s="134">
        <f t="shared" si="15"/>
        <v>0</v>
      </c>
    </row>
    <row r="210" spans="2:14" ht="11.1" customHeight="1" x14ac:dyDescent="0.3">
      <c r="B210" s="19">
        <v>203</v>
      </c>
      <c r="C210" s="22">
        <v>203952206.16022906</v>
      </c>
      <c r="D210" s="23">
        <v>1.8138029820069406</v>
      </c>
      <c r="E210" s="22">
        <v>120993170.48634468</v>
      </c>
      <c r="F210" s="23">
        <v>1.3794702161531389</v>
      </c>
      <c r="G210" s="22">
        <v>82959035.673884377</v>
      </c>
      <c r="H210" s="23">
        <v>0.43433276585380165</v>
      </c>
      <c r="I210" s="23">
        <f t="shared" si="13"/>
        <v>191003401.52971274</v>
      </c>
      <c r="J210" s="4">
        <f t="shared" si="12"/>
        <v>13029982.97561405</v>
      </c>
      <c r="L210" s="22">
        <v>1020000000</v>
      </c>
      <c r="M210" s="134">
        <f t="shared" si="14"/>
        <v>1</v>
      </c>
      <c r="N210" s="134">
        <f t="shared" si="15"/>
        <v>0</v>
      </c>
    </row>
    <row r="211" spans="2:14" ht="11.1" customHeight="1" x14ac:dyDescent="0.3">
      <c r="B211" s="19">
        <v>204</v>
      </c>
      <c r="C211" s="22">
        <v>200164961.44325235</v>
      </c>
      <c r="D211" s="23">
        <v>2.138117633003823</v>
      </c>
      <c r="E211" s="22">
        <v>117232869.56748496</v>
      </c>
      <c r="F211" s="23">
        <v>1.6781253760952644</v>
      </c>
      <c r="G211" s="22">
        <v>82932091.875767395</v>
      </c>
      <c r="H211" s="23">
        <v>0.45999225690855861</v>
      </c>
      <c r="I211" s="23">
        <f t="shared" si="13"/>
        <v>180290191.04174483</v>
      </c>
      <c r="J211" s="4">
        <f t="shared" si="12"/>
        <v>13799767.707256759</v>
      </c>
      <c r="L211" s="22">
        <v>1025000000</v>
      </c>
      <c r="M211" s="134">
        <f t="shared" si="14"/>
        <v>1</v>
      </c>
      <c r="N211" s="134">
        <f t="shared" si="15"/>
        <v>0</v>
      </c>
    </row>
    <row r="212" spans="2:14" ht="11.1" customHeight="1" x14ac:dyDescent="0.3">
      <c r="B212" s="19">
        <v>205</v>
      </c>
      <c r="C212" s="22">
        <v>203153606.2141403</v>
      </c>
      <c r="D212" s="23">
        <v>2.1053659710888364</v>
      </c>
      <c r="E212" s="22">
        <v>120468917.56235524</v>
      </c>
      <c r="F212" s="23">
        <v>1.6214772374459776</v>
      </c>
      <c r="G212" s="22">
        <v>82684688.651785061</v>
      </c>
      <c r="H212" s="23">
        <v>0.48388873364285878</v>
      </c>
      <c r="I212" s="23">
        <f t="shared" si="13"/>
        <v>170875415.98522052</v>
      </c>
      <c r="J212" s="4">
        <f t="shared" si="12"/>
        <v>14516662.009285763</v>
      </c>
      <c r="L212" s="22">
        <v>1030000000</v>
      </c>
      <c r="M212" s="134">
        <f t="shared" si="14"/>
        <v>1</v>
      </c>
      <c r="N212" s="134">
        <f t="shared" si="15"/>
        <v>0</v>
      </c>
    </row>
    <row r="213" spans="2:14" ht="11.1" customHeight="1" x14ac:dyDescent="0.3">
      <c r="B213" s="19">
        <v>206</v>
      </c>
      <c r="C213" s="22">
        <v>203156713.45113379</v>
      </c>
      <c r="D213" s="23">
        <v>2.0764339675758183</v>
      </c>
      <c r="E213" s="22">
        <v>120315933.0539583</v>
      </c>
      <c r="F213" s="23">
        <v>1.6136579591888454</v>
      </c>
      <c r="G213" s="22">
        <v>82840780.397175491</v>
      </c>
      <c r="H213" s="23">
        <v>0.46277600838697297</v>
      </c>
      <c r="I213" s="23">
        <f t="shared" si="13"/>
        <v>179008373.15642363</v>
      </c>
      <c r="J213" s="4">
        <f t="shared" si="12"/>
        <v>13883280.251609189</v>
      </c>
      <c r="L213" s="22">
        <v>1035000000</v>
      </c>
      <c r="M213" s="134">
        <f t="shared" si="14"/>
        <v>1</v>
      </c>
      <c r="N213" s="134">
        <f t="shared" si="15"/>
        <v>0</v>
      </c>
    </row>
    <row r="214" spans="2:14" ht="11.1" customHeight="1" x14ac:dyDescent="0.3">
      <c r="B214" s="19">
        <v>207</v>
      </c>
      <c r="C214" s="22">
        <v>199709729.14140272</v>
      </c>
      <c r="D214" s="23">
        <v>1.9763430549652463</v>
      </c>
      <c r="E214" s="22">
        <v>116913408.13712655</v>
      </c>
      <c r="F214" s="23">
        <v>1.5013553768203887</v>
      </c>
      <c r="G214" s="22">
        <v>82796321.004276171</v>
      </c>
      <c r="H214" s="23">
        <v>0.47498767814485765</v>
      </c>
      <c r="I214" s="23">
        <f t="shared" si="13"/>
        <v>174312566.01781923</v>
      </c>
      <c r="J214" s="4">
        <f t="shared" si="12"/>
        <v>14249630.34434573</v>
      </c>
      <c r="L214" s="22">
        <v>1040000000</v>
      </c>
      <c r="M214" s="134">
        <f t="shared" si="14"/>
        <v>1</v>
      </c>
      <c r="N214" s="134">
        <f t="shared" si="15"/>
        <v>0</v>
      </c>
    </row>
    <row r="215" spans="2:14" ht="11.1" customHeight="1" x14ac:dyDescent="0.3">
      <c r="B215" s="19">
        <v>208</v>
      </c>
      <c r="C215" s="22">
        <v>200701313.13971156</v>
      </c>
      <c r="D215" s="23">
        <v>1.9239593971595697</v>
      </c>
      <c r="E215" s="22">
        <v>117870054.93375391</v>
      </c>
      <c r="F215" s="23">
        <v>1.4887100455413445</v>
      </c>
      <c r="G215" s="22">
        <v>82831258.205957651</v>
      </c>
      <c r="H215" s="23">
        <v>0.4352493516182252</v>
      </c>
      <c r="I215" s="23">
        <f t="shared" si="13"/>
        <v>190307597.00846675</v>
      </c>
      <c r="J215" s="4">
        <f t="shared" si="12"/>
        <v>13057480.548546756</v>
      </c>
      <c r="L215" s="22">
        <v>1045000000</v>
      </c>
      <c r="M215" s="134">
        <f t="shared" si="14"/>
        <v>1</v>
      </c>
      <c r="N215" s="134">
        <f t="shared" si="15"/>
        <v>0</v>
      </c>
    </row>
    <row r="216" spans="2:14" ht="11.1" customHeight="1" x14ac:dyDescent="0.3">
      <c r="B216" s="19">
        <v>209</v>
      </c>
      <c r="C216" s="22">
        <v>199734122.59076884</v>
      </c>
      <c r="D216" s="23">
        <v>1.8937151640233647</v>
      </c>
      <c r="E216" s="22">
        <v>116587141.72102232</v>
      </c>
      <c r="F216" s="23">
        <v>1.453768398819375</v>
      </c>
      <c r="G216" s="22">
        <v>83146980.869746521</v>
      </c>
      <c r="H216" s="23">
        <v>0.43994676520398968</v>
      </c>
      <c r="I216" s="23">
        <f t="shared" si="13"/>
        <v>188993277.01885441</v>
      </c>
      <c r="J216" s="4">
        <f t="shared" si="12"/>
        <v>13198402.95611969</v>
      </c>
      <c r="L216" s="22">
        <v>1050000000</v>
      </c>
      <c r="M216" s="134">
        <f t="shared" si="14"/>
        <v>1</v>
      </c>
      <c r="N216" s="134">
        <f t="shared" si="15"/>
        <v>0</v>
      </c>
    </row>
    <row r="217" spans="2:14" ht="11.1" customHeight="1" x14ac:dyDescent="0.3">
      <c r="B217" s="19">
        <v>210</v>
      </c>
      <c r="C217" s="22">
        <v>203255990.81029677</v>
      </c>
      <c r="D217" s="23">
        <v>1.9784123257054205</v>
      </c>
      <c r="E217" s="22">
        <v>120291594.83137934</v>
      </c>
      <c r="F217" s="23">
        <v>1.5501934643116031</v>
      </c>
      <c r="G217" s="22">
        <v>82964395.978917435</v>
      </c>
      <c r="H217" s="23">
        <v>0.42821886139381737</v>
      </c>
      <c r="I217" s="23">
        <f t="shared" si="13"/>
        <v>193742974.58284557</v>
      </c>
      <c r="J217" s="4">
        <f t="shared" si="12"/>
        <v>12846565.841814522</v>
      </c>
      <c r="L217" s="22">
        <v>1055000000</v>
      </c>
      <c r="M217" s="134">
        <f t="shared" si="14"/>
        <v>1</v>
      </c>
      <c r="N217" s="134">
        <f t="shared" si="15"/>
        <v>0</v>
      </c>
    </row>
    <row r="218" spans="2:14" ht="11.1" customHeight="1" x14ac:dyDescent="0.3">
      <c r="B218" s="19">
        <v>211</v>
      </c>
      <c r="C218" s="22">
        <v>201472087.83042747</v>
      </c>
      <c r="D218" s="23">
        <v>2.2607450184864764</v>
      </c>
      <c r="E218" s="22">
        <v>118558470.3967638</v>
      </c>
      <c r="F218" s="23">
        <v>1.774826817355091</v>
      </c>
      <c r="G218" s="22">
        <v>82913617.433663666</v>
      </c>
      <c r="H218" s="23">
        <v>0.4859182011313854</v>
      </c>
      <c r="I218" s="23">
        <f t="shared" si="13"/>
        <v>170632870.38973254</v>
      </c>
      <c r="J218" s="4">
        <f t="shared" si="12"/>
        <v>14577546.033941561</v>
      </c>
      <c r="L218" s="22">
        <v>1060000000</v>
      </c>
      <c r="M218" s="134">
        <f t="shared" si="14"/>
        <v>1</v>
      </c>
      <c r="N218" s="134">
        <f t="shared" si="15"/>
        <v>0</v>
      </c>
    </row>
    <row r="219" spans="2:14" ht="11.1" customHeight="1" x14ac:dyDescent="0.3">
      <c r="B219" s="19">
        <v>212</v>
      </c>
      <c r="C219" s="22">
        <v>199677364.52477112</v>
      </c>
      <c r="D219" s="23">
        <v>1.8588257996591822</v>
      </c>
      <c r="E219" s="22">
        <v>116640916.59723024</v>
      </c>
      <c r="F219" s="23">
        <v>1.4130716379112453</v>
      </c>
      <c r="G219" s="22">
        <v>83036447.927540883</v>
      </c>
      <c r="H219" s="23">
        <v>0.44575416174793681</v>
      </c>
      <c r="I219" s="23">
        <f t="shared" si="13"/>
        <v>186283057.01494715</v>
      </c>
      <c r="J219" s="4">
        <f t="shared" si="12"/>
        <v>13372624.852438103</v>
      </c>
      <c r="L219" s="22">
        <v>1065000000</v>
      </c>
      <c r="M219" s="134">
        <f t="shared" si="14"/>
        <v>1</v>
      </c>
      <c r="N219" s="134">
        <f t="shared" si="15"/>
        <v>0</v>
      </c>
    </row>
    <row r="220" spans="2:14" ht="11.1" customHeight="1" x14ac:dyDescent="0.3">
      <c r="B220" s="19">
        <v>213</v>
      </c>
      <c r="C220" s="22">
        <v>199314757.25938156</v>
      </c>
      <c r="D220" s="23">
        <v>1.9261401761536987</v>
      </c>
      <c r="E220" s="22">
        <v>116276421.70024131</v>
      </c>
      <c r="F220" s="23">
        <v>1.4755747117657194</v>
      </c>
      <c r="G220" s="22">
        <v>83038335.55914025</v>
      </c>
      <c r="H220" s="23">
        <v>0.45056546438797929</v>
      </c>
      <c r="I220" s="23">
        <f t="shared" si="13"/>
        <v>184298047.94722664</v>
      </c>
      <c r="J220" s="4">
        <f t="shared" si="12"/>
        <v>13516963.931639379</v>
      </c>
      <c r="L220" s="22">
        <v>1070000000</v>
      </c>
      <c r="M220" s="134">
        <f t="shared" si="14"/>
        <v>1</v>
      </c>
      <c r="N220" s="134">
        <f t="shared" si="15"/>
        <v>0</v>
      </c>
    </row>
    <row r="221" spans="2:14" ht="11.1" customHeight="1" x14ac:dyDescent="0.3">
      <c r="B221" s="19">
        <v>214</v>
      </c>
      <c r="C221" s="22">
        <v>202181327.88064557</v>
      </c>
      <c r="D221" s="23">
        <v>1.9778566061879099</v>
      </c>
      <c r="E221" s="22">
        <v>119438782.74664098</v>
      </c>
      <c r="F221" s="23">
        <v>1.5057012506018392</v>
      </c>
      <c r="G221" s="22">
        <v>82742545.134004593</v>
      </c>
      <c r="H221" s="23">
        <v>0.47215535558607069</v>
      </c>
      <c r="I221" s="23">
        <f t="shared" si="13"/>
        <v>175244321.92725852</v>
      </c>
      <c r="J221" s="4">
        <f t="shared" si="12"/>
        <v>14164660.667582121</v>
      </c>
      <c r="L221" s="22">
        <v>1075000000</v>
      </c>
      <c r="M221" s="134">
        <f t="shared" si="14"/>
        <v>1</v>
      </c>
      <c r="N221" s="134">
        <f t="shared" si="15"/>
        <v>0</v>
      </c>
    </row>
    <row r="222" spans="2:14" ht="11.1" customHeight="1" x14ac:dyDescent="0.3">
      <c r="B222" s="19">
        <v>215</v>
      </c>
      <c r="C222" s="22">
        <v>203830709.55503157</v>
      </c>
      <c r="D222" s="23">
        <v>2.107892454216878</v>
      </c>
      <c r="E222" s="22">
        <v>120858197.55534275</v>
      </c>
      <c r="F222" s="23">
        <v>1.6759913711096466</v>
      </c>
      <c r="G222" s="22">
        <v>82972511.999688819</v>
      </c>
      <c r="H222" s="23">
        <v>0.43190108310723141</v>
      </c>
      <c r="I222" s="23">
        <f t="shared" si="13"/>
        <v>192109988.24721307</v>
      </c>
      <c r="J222" s="4">
        <f t="shared" si="12"/>
        <v>12957032.493216943</v>
      </c>
      <c r="L222" s="22">
        <v>1080000000</v>
      </c>
      <c r="M222" s="134">
        <f t="shared" si="14"/>
        <v>1</v>
      </c>
      <c r="N222" s="134">
        <f t="shared" si="15"/>
        <v>0</v>
      </c>
    </row>
    <row r="223" spans="2:14" ht="11.1" customHeight="1" x14ac:dyDescent="0.3">
      <c r="B223" s="19">
        <v>216</v>
      </c>
      <c r="C223" s="22">
        <v>199457535.44836399</v>
      </c>
      <c r="D223" s="23">
        <v>2.0595235379812751</v>
      </c>
      <c r="E223" s="22">
        <v>116789545.63254869</v>
      </c>
      <c r="F223" s="23">
        <v>1.6079628357977818</v>
      </c>
      <c r="G223" s="22">
        <v>82667989.8158153</v>
      </c>
      <c r="H223" s="23">
        <v>0.45156070218349331</v>
      </c>
      <c r="I223" s="23">
        <f t="shared" si="13"/>
        <v>183071709.77474225</v>
      </c>
      <c r="J223" s="4">
        <f t="shared" si="12"/>
        <v>13546821.065504799</v>
      </c>
      <c r="L223" s="22">
        <v>1085000000</v>
      </c>
      <c r="M223" s="134">
        <f t="shared" si="14"/>
        <v>1</v>
      </c>
      <c r="N223" s="134">
        <f t="shared" si="15"/>
        <v>0</v>
      </c>
    </row>
    <row r="224" spans="2:14" ht="11.1" customHeight="1" x14ac:dyDescent="0.3">
      <c r="B224" s="19">
        <v>217</v>
      </c>
      <c r="C224" s="22">
        <v>203186988.56313145</v>
      </c>
      <c r="D224" s="23">
        <v>2.0726096886409633</v>
      </c>
      <c r="E224" s="22">
        <v>120119623.40248893</v>
      </c>
      <c r="F224" s="23">
        <v>1.6106701221458031</v>
      </c>
      <c r="G224" s="22">
        <v>83067365.16064252</v>
      </c>
      <c r="H224" s="23">
        <v>0.46193956649516021</v>
      </c>
      <c r="I224" s="23">
        <f t="shared" si="13"/>
        <v>179823014.05981171</v>
      </c>
      <c r="J224" s="4">
        <f t="shared" si="12"/>
        <v>13858186.994854806</v>
      </c>
      <c r="L224" s="22">
        <v>1090000000</v>
      </c>
      <c r="M224" s="134">
        <f t="shared" si="14"/>
        <v>1</v>
      </c>
      <c r="N224" s="134">
        <f t="shared" si="15"/>
        <v>0</v>
      </c>
    </row>
    <row r="225" spans="2:14" ht="11.1" customHeight="1" x14ac:dyDescent="0.3">
      <c r="B225" s="19">
        <v>218</v>
      </c>
      <c r="C225" s="22">
        <v>203165271.18404487</v>
      </c>
      <c r="D225" s="23">
        <v>2.0529319931154091</v>
      </c>
      <c r="E225" s="22">
        <v>120392715.91950615</v>
      </c>
      <c r="F225" s="23">
        <v>1.5993725218882642</v>
      </c>
      <c r="G225" s="22">
        <v>82772555.26453872</v>
      </c>
      <c r="H225" s="23">
        <v>0.45355947122714491</v>
      </c>
      <c r="I225" s="23">
        <f t="shared" si="13"/>
        <v>182495484.0885371</v>
      </c>
      <c r="J225" s="4">
        <f t="shared" si="12"/>
        <v>13606784.136814347</v>
      </c>
      <c r="L225" s="22">
        <v>1095000000</v>
      </c>
      <c r="M225" s="134">
        <f t="shared" si="14"/>
        <v>1</v>
      </c>
      <c r="N225" s="134">
        <f t="shared" si="15"/>
        <v>0</v>
      </c>
    </row>
    <row r="226" spans="2:14" ht="11.1" customHeight="1" x14ac:dyDescent="0.3">
      <c r="B226" s="19">
        <v>219</v>
      </c>
      <c r="C226" s="22">
        <v>201881727.67066398</v>
      </c>
      <c r="D226" s="23">
        <v>2.0303555511357736</v>
      </c>
      <c r="E226" s="22">
        <v>118695101.7025574</v>
      </c>
      <c r="F226" s="23">
        <v>1.5592095728184969</v>
      </c>
      <c r="G226" s="22">
        <v>83186625.968106583</v>
      </c>
      <c r="H226" s="23">
        <v>0.47114597831727667</v>
      </c>
      <c r="I226" s="23">
        <f t="shared" si="13"/>
        <v>176562317.83026594</v>
      </c>
      <c r="J226" s="4">
        <f t="shared" si="12"/>
        <v>14134379.349518301</v>
      </c>
      <c r="L226" s="22">
        <v>1100000000</v>
      </c>
      <c r="M226" s="134">
        <f t="shared" si="14"/>
        <v>1</v>
      </c>
      <c r="N226" s="134">
        <f t="shared" si="15"/>
        <v>0</v>
      </c>
    </row>
    <row r="227" spans="2:14" ht="11.1" customHeight="1" x14ac:dyDescent="0.3">
      <c r="B227" s="19">
        <v>220</v>
      </c>
      <c r="C227" s="22">
        <v>201427933.77405924</v>
      </c>
      <c r="D227" s="23">
        <v>1.8220673686319815</v>
      </c>
      <c r="E227" s="22">
        <v>118824805.02820487</v>
      </c>
      <c r="F227" s="23">
        <v>1.4125261783804341</v>
      </c>
      <c r="G227" s="22">
        <v>82603128.745854363</v>
      </c>
      <c r="H227" s="23">
        <v>0.40954119025154734</v>
      </c>
      <c r="I227" s="23">
        <f t="shared" si="13"/>
        <v>201696754.10455802</v>
      </c>
      <c r="J227" s="4">
        <f t="shared" si="12"/>
        <v>12286235.70754642</v>
      </c>
      <c r="L227" s="22">
        <v>1105000000</v>
      </c>
      <c r="M227" s="134">
        <f t="shared" si="14"/>
        <v>1</v>
      </c>
      <c r="N227" s="134">
        <f t="shared" si="15"/>
        <v>0</v>
      </c>
    </row>
    <row r="228" spans="2:14" ht="11.1" customHeight="1" x14ac:dyDescent="0.3">
      <c r="B228" s="19">
        <v>221</v>
      </c>
      <c r="C228" s="22">
        <v>200106013.66492888</v>
      </c>
      <c r="D228" s="23">
        <v>2.2491096977250038</v>
      </c>
      <c r="E228" s="22">
        <v>116548734.2637001</v>
      </c>
      <c r="F228" s="23">
        <v>1.7665998624411106</v>
      </c>
      <c r="G228" s="22">
        <v>83557279.401228786</v>
      </c>
      <c r="H228" s="23">
        <v>0.48250983528389324</v>
      </c>
      <c r="I228" s="23">
        <f t="shared" si="13"/>
        <v>173172178.66049585</v>
      </c>
      <c r="J228" s="4">
        <f t="shared" si="12"/>
        <v>14475295.058516797</v>
      </c>
      <c r="L228" s="22">
        <v>1110000000</v>
      </c>
      <c r="M228" s="134">
        <f t="shared" si="14"/>
        <v>1</v>
      </c>
      <c r="N228" s="134">
        <f t="shared" si="15"/>
        <v>0</v>
      </c>
    </row>
    <row r="229" spans="2:14" ht="11.1" customHeight="1" x14ac:dyDescent="0.3">
      <c r="B229" s="19">
        <v>222</v>
      </c>
      <c r="C229" s="22">
        <v>202727082.22094023</v>
      </c>
      <c r="D229" s="23">
        <v>2.1754735275378225</v>
      </c>
      <c r="E229" s="22">
        <v>119740306.30687992</v>
      </c>
      <c r="F229" s="23">
        <v>1.7004344500090007</v>
      </c>
      <c r="G229" s="22">
        <v>82986775.91406031</v>
      </c>
      <c r="H229" s="23">
        <v>0.4750390775288218</v>
      </c>
      <c r="I229" s="23">
        <f t="shared" si="13"/>
        <v>174694630.06235588</v>
      </c>
      <c r="J229" s="4">
        <f t="shared" si="12"/>
        <v>14251172.325864654</v>
      </c>
      <c r="L229" s="22">
        <v>1115000000</v>
      </c>
      <c r="M229" s="134">
        <f t="shared" si="14"/>
        <v>1</v>
      </c>
      <c r="N229" s="134">
        <f t="shared" si="15"/>
        <v>0</v>
      </c>
    </row>
    <row r="230" spans="2:14" ht="11.1" customHeight="1" x14ac:dyDescent="0.3">
      <c r="B230" s="19">
        <v>223</v>
      </c>
      <c r="C230" s="22">
        <v>201492545.87927708</v>
      </c>
      <c r="D230" s="23">
        <v>1.6543522130720445</v>
      </c>
      <c r="E230" s="22">
        <v>118379150.4916167</v>
      </c>
      <c r="F230" s="23">
        <v>1.2223415909743771</v>
      </c>
      <c r="G230" s="22">
        <v>83113395.387660384</v>
      </c>
      <c r="H230" s="23">
        <v>0.43201062209766738</v>
      </c>
      <c r="I230" s="23">
        <f t="shared" si="13"/>
        <v>192387388.49543938</v>
      </c>
      <c r="J230" s="4">
        <f t="shared" si="12"/>
        <v>12960318.662930021</v>
      </c>
      <c r="L230" s="22">
        <v>1120000000</v>
      </c>
      <c r="M230" s="134">
        <f t="shared" si="14"/>
        <v>1</v>
      </c>
      <c r="N230" s="134">
        <f t="shared" si="15"/>
        <v>0</v>
      </c>
    </row>
    <row r="231" spans="2:14" ht="11.1" customHeight="1" x14ac:dyDescent="0.3">
      <c r="B231" s="19">
        <v>224</v>
      </c>
      <c r="C231" s="22">
        <v>203020590.50901848</v>
      </c>
      <c r="D231" s="23">
        <v>1.970204112516295</v>
      </c>
      <c r="E231" s="22">
        <v>119879145.07846703</v>
      </c>
      <c r="F231" s="23">
        <v>1.5254918080942941</v>
      </c>
      <c r="G231" s="22">
        <v>83141445.430551454</v>
      </c>
      <c r="H231" s="23">
        <v>0.44471230442200094</v>
      </c>
      <c r="I231" s="23">
        <f t="shared" si="13"/>
        <v>186955576.90631387</v>
      </c>
      <c r="J231" s="4">
        <f t="shared" si="12"/>
        <v>13341369.132660028</v>
      </c>
      <c r="L231" s="22">
        <v>1125000000</v>
      </c>
      <c r="M231" s="134">
        <f t="shared" si="14"/>
        <v>1</v>
      </c>
      <c r="N231" s="134">
        <f t="shared" si="15"/>
        <v>0</v>
      </c>
    </row>
    <row r="232" spans="2:14" ht="11.1" customHeight="1" x14ac:dyDescent="0.3">
      <c r="B232" s="19">
        <v>225</v>
      </c>
      <c r="C232" s="22">
        <v>199836182.85755336</v>
      </c>
      <c r="D232" s="23">
        <v>2.0542863502096651</v>
      </c>
      <c r="E232" s="22">
        <v>116681029.59822382</v>
      </c>
      <c r="F232" s="23">
        <v>1.5552291886220999</v>
      </c>
      <c r="G232" s="22">
        <v>83155153.259329543</v>
      </c>
      <c r="H232" s="23">
        <v>0.49905716158756519</v>
      </c>
      <c r="I232" s="23">
        <f t="shared" si="13"/>
        <v>166624506.48900074</v>
      </c>
      <c r="J232" s="4">
        <f t="shared" si="12"/>
        <v>14971714.847626956</v>
      </c>
      <c r="L232" s="22">
        <v>1130000000</v>
      </c>
      <c r="M232" s="134">
        <f t="shared" si="14"/>
        <v>1</v>
      </c>
      <c r="N232" s="134">
        <f t="shared" si="15"/>
        <v>0</v>
      </c>
    </row>
    <row r="233" spans="2:14" ht="11.1" customHeight="1" x14ac:dyDescent="0.3">
      <c r="B233" s="19">
        <v>226</v>
      </c>
      <c r="C233" s="22">
        <v>198105739.65341473</v>
      </c>
      <c r="D233" s="23">
        <v>2.0507349995220365</v>
      </c>
      <c r="E233" s="22">
        <v>115005119.01133853</v>
      </c>
      <c r="F233" s="23">
        <v>1.5879236344387733</v>
      </c>
      <c r="G233" s="22">
        <v>83100620.642076194</v>
      </c>
      <c r="H233" s="23">
        <v>0.46281136508326326</v>
      </c>
      <c r="I233" s="23">
        <f t="shared" si="13"/>
        <v>179556136.49877799</v>
      </c>
      <c r="J233" s="4">
        <f t="shared" si="12"/>
        <v>13884340.952497898</v>
      </c>
      <c r="L233" s="22">
        <v>1135000000</v>
      </c>
      <c r="M233" s="134">
        <f t="shared" si="14"/>
        <v>1</v>
      </c>
      <c r="N233" s="134">
        <f t="shared" si="15"/>
        <v>0</v>
      </c>
    </row>
    <row r="234" spans="2:14" ht="11.1" customHeight="1" x14ac:dyDescent="0.3">
      <c r="B234" s="19">
        <v>227</v>
      </c>
      <c r="C234" s="22">
        <v>200941900.71625507</v>
      </c>
      <c r="D234" s="23">
        <v>2.1768438095607756</v>
      </c>
      <c r="E234" s="22">
        <v>118133217.04369752</v>
      </c>
      <c r="F234" s="23">
        <v>1.7313749582619398</v>
      </c>
      <c r="G234" s="22">
        <v>82808683.672557548</v>
      </c>
      <c r="H234" s="23">
        <v>0.44546885129883584</v>
      </c>
      <c r="I234" s="23">
        <f t="shared" si="13"/>
        <v>185891075.0574716</v>
      </c>
      <c r="J234" s="4">
        <f t="shared" si="12"/>
        <v>13364065.538965076</v>
      </c>
      <c r="L234" s="22">
        <v>1140000000</v>
      </c>
      <c r="M234" s="134">
        <f t="shared" si="14"/>
        <v>1</v>
      </c>
      <c r="N234" s="134">
        <f t="shared" si="15"/>
        <v>0</v>
      </c>
    </row>
    <row r="235" spans="2:14" ht="11.1" customHeight="1" x14ac:dyDescent="0.3">
      <c r="B235" s="19">
        <v>228</v>
      </c>
      <c r="C235" s="22">
        <v>200033270.77245244</v>
      </c>
      <c r="D235" s="23">
        <v>2.1028885928471648</v>
      </c>
      <c r="E235" s="22">
        <v>117072604.01359646</v>
      </c>
      <c r="F235" s="23">
        <v>1.6464648337008407</v>
      </c>
      <c r="G235" s="22">
        <v>82960666.758855984</v>
      </c>
      <c r="H235" s="23">
        <v>0.45642375914632405</v>
      </c>
      <c r="I235" s="23">
        <f t="shared" si="13"/>
        <v>181762375.63535726</v>
      </c>
      <c r="J235" s="4">
        <f t="shared" si="12"/>
        <v>13692712.774389721</v>
      </c>
      <c r="L235" s="22">
        <v>1145000000</v>
      </c>
      <c r="M235" s="134">
        <f t="shared" si="14"/>
        <v>1</v>
      </c>
      <c r="N235" s="134">
        <f t="shared" si="15"/>
        <v>0</v>
      </c>
    </row>
    <row r="236" spans="2:14" ht="11.1" customHeight="1" x14ac:dyDescent="0.3">
      <c r="B236" s="19">
        <v>229</v>
      </c>
      <c r="C236" s="22">
        <v>204851554.26549405</v>
      </c>
      <c r="D236" s="23">
        <v>1.967815471217484</v>
      </c>
      <c r="E236" s="22">
        <v>121963284.83965784</v>
      </c>
      <c r="F236" s="23">
        <v>1.5228258197068627</v>
      </c>
      <c r="G236" s="22">
        <v>82888269.425836205</v>
      </c>
      <c r="H236" s="23">
        <v>0.44498965151062131</v>
      </c>
      <c r="I236" s="23">
        <f t="shared" si="13"/>
        <v>186270105.70797008</v>
      </c>
      <c r="J236" s="4">
        <f t="shared" si="12"/>
        <v>13349689.545318639</v>
      </c>
      <c r="L236" s="22">
        <v>1150000000</v>
      </c>
      <c r="M236" s="134">
        <f t="shared" si="14"/>
        <v>1</v>
      </c>
      <c r="N236" s="134">
        <f t="shared" si="15"/>
        <v>0</v>
      </c>
    </row>
    <row r="237" spans="2:14" ht="11.1" customHeight="1" x14ac:dyDescent="0.3">
      <c r="B237" s="19">
        <v>230</v>
      </c>
      <c r="C237" s="22">
        <v>203655868.9199208</v>
      </c>
      <c r="D237" s="23">
        <v>1.8596420375240252</v>
      </c>
      <c r="E237" s="22">
        <v>120235384.76469722</v>
      </c>
      <c r="F237" s="23">
        <v>1.4070496398835775</v>
      </c>
      <c r="G237" s="22">
        <v>83420484.155223578</v>
      </c>
      <c r="H237" s="23">
        <v>0.45259239764044779</v>
      </c>
      <c r="I237" s="23">
        <f t="shared" si="13"/>
        <v>184317024.74484596</v>
      </c>
      <c r="J237" s="4">
        <f t="shared" si="12"/>
        <v>13577771.929213434</v>
      </c>
      <c r="L237" s="22">
        <v>1155000000</v>
      </c>
      <c r="M237" s="134">
        <f t="shared" si="14"/>
        <v>1</v>
      </c>
      <c r="N237" s="134">
        <f t="shared" si="15"/>
        <v>0</v>
      </c>
    </row>
    <row r="238" spans="2:14" ht="11.1" customHeight="1" x14ac:dyDescent="0.3">
      <c r="B238" s="19">
        <v>231</v>
      </c>
      <c r="C238" s="22">
        <v>204814628.71835035</v>
      </c>
      <c r="D238" s="23">
        <v>1.9245327309681273</v>
      </c>
      <c r="E238" s="22">
        <v>121698422.73256446</v>
      </c>
      <c r="F238" s="23">
        <v>1.4581328142304852</v>
      </c>
      <c r="G238" s="22">
        <v>83116205.985785887</v>
      </c>
      <c r="H238" s="23">
        <v>0.46639991673764203</v>
      </c>
      <c r="I238" s="23">
        <f t="shared" si="13"/>
        <v>178208020.63423219</v>
      </c>
      <c r="J238" s="4">
        <f t="shared" si="12"/>
        <v>13991997.50212926</v>
      </c>
      <c r="L238" s="22">
        <v>1160000000</v>
      </c>
      <c r="M238" s="134">
        <f t="shared" si="14"/>
        <v>1</v>
      </c>
      <c r="N238" s="134">
        <f t="shared" si="15"/>
        <v>0</v>
      </c>
    </row>
    <row r="239" spans="2:14" ht="11.1" customHeight="1" x14ac:dyDescent="0.3">
      <c r="B239" s="19">
        <v>232</v>
      </c>
      <c r="C239" s="22">
        <v>200001176.56750467</v>
      </c>
      <c r="D239" s="23">
        <v>2.0623714937819999</v>
      </c>
      <c r="E239" s="22">
        <v>116675037.2028289</v>
      </c>
      <c r="F239" s="23">
        <v>1.6097745299800066</v>
      </c>
      <c r="G239" s="22">
        <v>83326139.364675775</v>
      </c>
      <c r="H239" s="23">
        <v>0.45259696380199332</v>
      </c>
      <c r="I239" s="23">
        <f t="shared" si="13"/>
        <v>184106713.10011292</v>
      </c>
      <c r="J239" s="4">
        <f t="shared" si="12"/>
        <v>13577908.914059799</v>
      </c>
      <c r="L239" s="22">
        <v>1165000000</v>
      </c>
      <c r="M239" s="134">
        <f t="shared" si="14"/>
        <v>1</v>
      </c>
      <c r="N239" s="134">
        <f t="shared" si="15"/>
        <v>0</v>
      </c>
    </row>
    <row r="240" spans="2:14" ht="11.1" customHeight="1" x14ac:dyDescent="0.3">
      <c r="B240" s="19">
        <v>233</v>
      </c>
      <c r="C240" s="22">
        <v>202658429.79130721</v>
      </c>
      <c r="D240" s="23">
        <v>1.9871249921926315</v>
      </c>
      <c r="E240" s="22">
        <v>119744435.13648151</v>
      </c>
      <c r="F240" s="23">
        <v>1.5412429559822145</v>
      </c>
      <c r="G240" s="22">
        <v>82913994.654825702</v>
      </c>
      <c r="H240" s="23">
        <v>0.445882036210417</v>
      </c>
      <c r="I240" s="23">
        <f t="shared" si="13"/>
        <v>185955001.37102991</v>
      </c>
      <c r="J240" s="4">
        <f t="shared" si="12"/>
        <v>13376461.08631251</v>
      </c>
      <c r="L240" s="22">
        <v>1170000000</v>
      </c>
      <c r="M240" s="134">
        <f t="shared" si="14"/>
        <v>1</v>
      </c>
      <c r="N240" s="134">
        <f t="shared" si="15"/>
        <v>0</v>
      </c>
    </row>
    <row r="241" spans="2:14" ht="11.1" customHeight="1" x14ac:dyDescent="0.3">
      <c r="B241" s="19">
        <v>234</v>
      </c>
      <c r="C241" s="22">
        <v>205902728.00559026</v>
      </c>
      <c r="D241" s="23">
        <v>2.452487418035425</v>
      </c>
      <c r="E241" s="22">
        <v>122345918.14316875</v>
      </c>
      <c r="F241" s="23">
        <v>1.9627420778774138</v>
      </c>
      <c r="G241" s="22">
        <v>83556809.862421513</v>
      </c>
      <c r="H241" s="23">
        <v>0.48974534015801119</v>
      </c>
      <c r="I241" s="23">
        <f t="shared" si="13"/>
        <v>170612771.5997518</v>
      </c>
      <c r="J241" s="4">
        <f t="shared" si="12"/>
        <v>14692360.204740336</v>
      </c>
      <c r="L241" s="22">
        <v>1175000000</v>
      </c>
      <c r="M241" s="134">
        <f t="shared" si="14"/>
        <v>1</v>
      </c>
      <c r="N241" s="134">
        <f t="shared" si="15"/>
        <v>0</v>
      </c>
    </row>
    <row r="242" spans="2:14" ht="11.1" customHeight="1" x14ac:dyDescent="0.3">
      <c r="B242" s="19">
        <v>235</v>
      </c>
      <c r="C242" s="22">
        <v>200580267.86490124</v>
      </c>
      <c r="D242" s="23">
        <v>2.161481715685952</v>
      </c>
      <c r="E242" s="22">
        <v>117713102.13451128</v>
      </c>
      <c r="F242" s="23">
        <v>1.6760436723510925</v>
      </c>
      <c r="G242" s="22">
        <v>82867165.730389968</v>
      </c>
      <c r="H242" s="23">
        <v>0.48543804333485951</v>
      </c>
      <c r="I242" s="23">
        <f t="shared" si="13"/>
        <v>170705956.95613304</v>
      </c>
      <c r="J242" s="4">
        <f t="shared" si="12"/>
        <v>14563141.300045785</v>
      </c>
      <c r="L242" s="22">
        <v>1180000000</v>
      </c>
      <c r="M242" s="134">
        <f t="shared" si="14"/>
        <v>1</v>
      </c>
      <c r="N242" s="134">
        <f t="shared" si="15"/>
        <v>0</v>
      </c>
    </row>
    <row r="243" spans="2:14" ht="11.1" customHeight="1" x14ac:dyDescent="0.3">
      <c r="B243" s="19">
        <v>236</v>
      </c>
      <c r="C243" s="22">
        <v>202111963.48712337</v>
      </c>
      <c r="D243" s="23">
        <v>2.220854726251464</v>
      </c>
      <c r="E243" s="22">
        <v>119011391.16013546</v>
      </c>
      <c r="F243" s="23">
        <v>1.7153803944668038</v>
      </c>
      <c r="G243" s="22">
        <v>83100572.326987907</v>
      </c>
      <c r="H243" s="23">
        <v>0.50547433178466017</v>
      </c>
      <c r="I243" s="23">
        <f t="shared" si="13"/>
        <v>164401171.53642142</v>
      </c>
      <c r="J243" s="4">
        <f t="shared" si="12"/>
        <v>15164229.953539805</v>
      </c>
      <c r="L243" s="22">
        <v>1185000000</v>
      </c>
      <c r="M243" s="134">
        <f t="shared" si="14"/>
        <v>1</v>
      </c>
      <c r="N243" s="134">
        <f t="shared" si="15"/>
        <v>0</v>
      </c>
    </row>
    <row r="244" spans="2:14" ht="11.1" customHeight="1" x14ac:dyDescent="0.3">
      <c r="B244" s="19">
        <v>237</v>
      </c>
      <c r="C244" s="22">
        <v>201955903.6917702</v>
      </c>
      <c r="D244" s="23">
        <v>2.2224019076884889</v>
      </c>
      <c r="E244" s="22">
        <v>118876764.02424555</v>
      </c>
      <c r="F244" s="23">
        <v>1.7395429206810771</v>
      </c>
      <c r="G244" s="22">
        <v>83079139.667524651</v>
      </c>
      <c r="H244" s="23">
        <v>0.48285898700741181</v>
      </c>
      <c r="I244" s="23">
        <f t="shared" si="13"/>
        <v>172056732.71697727</v>
      </c>
      <c r="J244" s="4">
        <f t="shared" si="12"/>
        <v>14485769.610222355</v>
      </c>
      <c r="L244" s="22">
        <v>1190000000</v>
      </c>
      <c r="M244" s="134">
        <f t="shared" si="14"/>
        <v>1</v>
      </c>
      <c r="N244" s="134">
        <f t="shared" si="15"/>
        <v>0</v>
      </c>
    </row>
    <row r="245" spans="2:14" ht="11.1" customHeight="1" x14ac:dyDescent="0.3">
      <c r="B245" s="19">
        <v>238</v>
      </c>
      <c r="C245" s="22">
        <v>201813509.44856775</v>
      </c>
      <c r="D245" s="23">
        <v>2.1812723164359484</v>
      </c>
      <c r="E245" s="22">
        <v>119321254.26623999</v>
      </c>
      <c r="F245" s="23">
        <v>1.7107960568488316</v>
      </c>
      <c r="G245" s="22">
        <v>82492255.182327762</v>
      </c>
      <c r="H245" s="23">
        <v>0.47047625958711681</v>
      </c>
      <c r="I245" s="23">
        <f t="shared" si="13"/>
        <v>175337763.5987877</v>
      </c>
      <c r="J245" s="4">
        <f t="shared" si="12"/>
        <v>14114287.787613504</v>
      </c>
      <c r="L245" s="22">
        <v>1195000000</v>
      </c>
      <c r="M245" s="134">
        <f t="shared" si="14"/>
        <v>1</v>
      </c>
      <c r="N245" s="134">
        <f t="shared" si="15"/>
        <v>0</v>
      </c>
    </row>
    <row r="246" spans="2:14" ht="11.1" customHeight="1" x14ac:dyDescent="0.3">
      <c r="B246" s="19">
        <v>239</v>
      </c>
      <c r="C246" s="22">
        <v>201444509.54821146</v>
      </c>
      <c r="D246" s="23">
        <v>2.1391297850905526</v>
      </c>
      <c r="E246" s="22">
        <v>118442903.45030528</v>
      </c>
      <c r="F246" s="23">
        <v>1.6620302569691485</v>
      </c>
      <c r="G246" s="22">
        <v>83001606.097906172</v>
      </c>
      <c r="H246" s="23">
        <v>0.4770995281214041</v>
      </c>
      <c r="I246" s="23">
        <f t="shared" si="13"/>
        <v>173971260.09478119</v>
      </c>
      <c r="J246" s="4">
        <f t="shared" si="12"/>
        <v>14312985.843642123</v>
      </c>
      <c r="L246" s="22">
        <v>1200000000</v>
      </c>
      <c r="M246" s="134">
        <f t="shared" si="14"/>
        <v>1</v>
      </c>
      <c r="N246" s="134">
        <f t="shared" si="15"/>
        <v>0</v>
      </c>
    </row>
    <row r="247" spans="2:14" ht="11.1" customHeight="1" x14ac:dyDescent="0.3">
      <c r="B247" s="19">
        <v>240</v>
      </c>
      <c r="C247" s="22">
        <v>204465019.17506918</v>
      </c>
      <c r="D247" s="23">
        <v>2.2919238708002578</v>
      </c>
      <c r="E247" s="22">
        <v>121728775.77153456</v>
      </c>
      <c r="F247" s="23">
        <v>1.8039193883356865</v>
      </c>
      <c r="G247" s="22">
        <v>82736243.403534621</v>
      </c>
      <c r="H247" s="23">
        <v>0.48800448246457129</v>
      </c>
      <c r="I247" s="23">
        <f t="shared" si="13"/>
        <v>169539925.09595689</v>
      </c>
      <c r="J247" s="4">
        <f t="shared" si="12"/>
        <v>14640134.473937139</v>
      </c>
      <c r="L247" s="22">
        <v>1205000000</v>
      </c>
      <c r="M247" s="134">
        <f t="shared" si="14"/>
        <v>1</v>
      </c>
      <c r="N247" s="134">
        <f t="shared" si="15"/>
        <v>0</v>
      </c>
    </row>
    <row r="248" spans="2:14" ht="11.1" customHeight="1" x14ac:dyDescent="0.3">
      <c r="B248" s="19">
        <v>241</v>
      </c>
      <c r="C248" s="22">
        <v>202078497.64257684</v>
      </c>
      <c r="D248" s="23">
        <v>2.0964224020483524</v>
      </c>
      <c r="E248" s="22">
        <v>119334874.84120131</v>
      </c>
      <c r="F248" s="23">
        <v>1.6314222250669648</v>
      </c>
      <c r="G248" s="22">
        <v>82743622.801375538</v>
      </c>
      <c r="H248" s="23">
        <v>0.46500017698138763</v>
      </c>
      <c r="I248" s="23">
        <f t="shared" si="13"/>
        <v>177943207.1155695</v>
      </c>
      <c r="J248" s="4">
        <f t="shared" si="12"/>
        <v>13950005.309441628</v>
      </c>
      <c r="L248" s="22">
        <v>1210000000</v>
      </c>
      <c r="M248" s="134">
        <f t="shared" si="14"/>
        <v>1</v>
      </c>
      <c r="N248" s="134">
        <f t="shared" si="15"/>
        <v>0</v>
      </c>
    </row>
    <row r="249" spans="2:14" ht="11.1" customHeight="1" x14ac:dyDescent="0.3">
      <c r="B249" s="19">
        <v>242</v>
      </c>
      <c r="C249" s="22">
        <v>201326325.60605228</v>
      </c>
      <c r="D249" s="23">
        <v>1.9489345687656368</v>
      </c>
      <c r="E249" s="22">
        <v>118384159.13900074</v>
      </c>
      <c r="F249" s="23">
        <v>1.5230333251794479</v>
      </c>
      <c r="G249" s="22">
        <v>82942166.467051536</v>
      </c>
      <c r="H249" s="23">
        <v>0.42590124358618886</v>
      </c>
      <c r="I249" s="23">
        <f t="shared" si="13"/>
        <v>194745067.58575988</v>
      </c>
      <c r="J249" s="4">
        <f t="shared" si="12"/>
        <v>12777037.307585666</v>
      </c>
      <c r="L249" s="22">
        <v>1215000000</v>
      </c>
      <c r="M249" s="134">
        <f t="shared" si="14"/>
        <v>1</v>
      </c>
      <c r="N249" s="134">
        <f t="shared" si="15"/>
        <v>0</v>
      </c>
    </row>
    <row r="250" spans="2:14" ht="11.1" customHeight="1" x14ac:dyDescent="0.3">
      <c r="B250" s="19">
        <v>243</v>
      </c>
      <c r="C250" s="22">
        <v>197735876.78416991</v>
      </c>
      <c r="D250" s="23">
        <v>2.1409029213321755</v>
      </c>
      <c r="E250" s="22">
        <v>114907269.52623187</v>
      </c>
      <c r="F250" s="23">
        <v>1.6775421887651332</v>
      </c>
      <c r="G250" s="22">
        <v>82828607.257938042</v>
      </c>
      <c r="H250" s="23">
        <v>0.46336073256704235</v>
      </c>
      <c r="I250" s="23">
        <f t="shared" si="13"/>
        <v>178756207.49963704</v>
      </c>
      <c r="J250" s="4">
        <f t="shared" si="12"/>
        <v>13900821.977011271</v>
      </c>
      <c r="L250" s="22">
        <v>1220000000</v>
      </c>
      <c r="M250" s="134">
        <f t="shared" si="14"/>
        <v>1</v>
      </c>
      <c r="N250" s="134">
        <f t="shared" si="15"/>
        <v>0</v>
      </c>
    </row>
    <row r="251" spans="2:14" ht="11.1" customHeight="1" x14ac:dyDescent="0.3">
      <c r="B251" s="19">
        <v>244</v>
      </c>
      <c r="C251" s="22">
        <v>201150652.61827061</v>
      </c>
      <c r="D251" s="23">
        <v>1.9013077028176861</v>
      </c>
      <c r="E251" s="22">
        <v>118069232.56752299</v>
      </c>
      <c r="F251" s="23">
        <v>1.4502293906211721</v>
      </c>
      <c r="G251" s="22">
        <v>83081420.050747618</v>
      </c>
      <c r="H251" s="23">
        <v>0.45107831219651406</v>
      </c>
      <c r="I251" s="23">
        <f t="shared" si="13"/>
        <v>184184027.03997186</v>
      </c>
      <c r="J251" s="4">
        <f t="shared" si="12"/>
        <v>13532349.365895422</v>
      </c>
      <c r="L251" s="22">
        <v>1225000000</v>
      </c>
      <c r="M251" s="134">
        <f t="shared" si="14"/>
        <v>1</v>
      </c>
      <c r="N251" s="134">
        <f t="shared" si="15"/>
        <v>0</v>
      </c>
    </row>
    <row r="252" spans="2:14" ht="11.1" customHeight="1" x14ac:dyDescent="0.3">
      <c r="B252" s="19">
        <v>245</v>
      </c>
      <c r="C252" s="22">
        <v>201929857.04543886</v>
      </c>
      <c r="D252" s="23">
        <v>1.8278615466461208</v>
      </c>
      <c r="E252" s="22">
        <v>119041772.6239273</v>
      </c>
      <c r="F252" s="23">
        <v>1.3942499012843557</v>
      </c>
      <c r="G252" s="22">
        <v>82888084.421511561</v>
      </c>
      <c r="H252" s="23">
        <v>0.43361164536176511</v>
      </c>
      <c r="I252" s="23">
        <f t="shared" si="13"/>
        <v>191157422.33435053</v>
      </c>
      <c r="J252" s="4">
        <f t="shared" si="12"/>
        <v>13008349.360852953</v>
      </c>
      <c r="L252" s="22">
        <v>1230000000</v>
      </c>
      <c r="M252" s="134">
        <f t="shared" si="14"/>
        <v>1</v>
      </c>
      <c r="N252" s="134">
        <f t="shared" si="15"/>
        <v>0</v>
      </c>
    </row>
    <row r="253" spans="2:14" ht="11.1" customHeight="1" x14ac:dyDescent="0.3">
      <c r="B253" s="19">
        <v>246</v>
      </c>
      <c r="C253" s="22">
        <v>202396906.33463836</v>
      </c>
      <c r="D253" s="23">
        <v>2.0155592305891754</v>
      </c>
      <c r="E253" s="22">
        <v>119457398.77462871</v>
      </c>
      <c r="F253" s="23">
        <v>1.5644408413109874</v>
      </c>
      <c r="G253" s="22">
        <v>82939507.560009643</v>
      </c>
      <c r="H253" s="23">
        <v>0.45111838927818804</v>
      </c>
      <c r="I253" s="23">
        <f t="shared" si="13"/>
        <v>183853084.98001379</v>
      </c>
      <c r="J253" s="4">
        <f t="shared" si="12"/>
        <v>13533551.678345641</v>
      </c>
      <c r="L253" s="22">
        <v>1235000000</v>
      </c>
      <c r="M253" s="134">
        <f t="shared" si="14"/>
        <v>1</v>
      </c>
      <c r="N253" s="134">
        <f t="shared" si="15"/>
        <v>0</v>
      </c>
    </row>
    <row r="254" spans="2:14" ht="11.1" customHeight="1" x14ac:dyDescent="0.3">
      <c r="B254" s="19">
        <v>247</v>
      </c>
      <c r="C254" s="22">
        <v>203382049.11299726</v>
      </c>
      <c r="D254" s="23">
        <v>1.7034212751669024</v>
      </c>
      <c r="E254" s="22">
        <v>120480593.29419537</v>
      </c>
      <c r="F254" s="23">
        <v>1.2888552670420967</v>
      </c>
      <c r="G254" s="22">
        <v>82901455.818801895</v>
      </c>
      <c r="H254" s="23">
        <v>0.41456600812480571</v>
      </c>
      <c r="I254" s="23">
        <f t="shared" si="13"/>
        <v>199971667.223243</v>
      </c>
      <c r="J254" s="4">
        <f t="shared" si="12"/>
        <v>12436980.24374417</v>
      </c>
      <c r="L254" s="22">
        <v>1240000000</v>
      </c>
      <c r="M254" s="134">
        <f t="shared" si="14"/>
        <v>1</v>
      </c>
      <c r="N254" s="134">
        <f t="shared" si="15"/>
        <v>0</v>
      </c>
    </row>
    <row r="255" spans="2:14" ht="11.1" customHeight="1" x14ac:dyDescent="0.3">
      <c r="B255" s="19">
        <v>248</v>
      </c>
      <c r="C255" s="22">
        <v>204633177.34975147</v>
      </c>
      <c r="D255" s="23">
        <v>1.8678683658237134</v>
      </c>
      <c r="E255" s="22">
        <v>121619908.99346405</v>
      </c>
      <c r="F255" s="23">
        <v>1.4536505504556143</v>
      </c>
      <c r="G255" s="22">
        <v>83013268.35628742</v>
      </c>
      <c r="H255" s="23">
        <v>0.4142178153680991</v>
      </c>
      <c r="I255" s="23">
        <f t="shared" si="13"/>
        <v>200409700.58836505</v>
      </c>
      <c r="J255" s="4">
        <f t="shared" si="12"/>
        <v>12426534.461042972</v>
      </c>
      <c r="L255" s="22">
        <v>1245000000</v>
      </c>
      <c r="M255" s="134">
        <f t="shared" si="14"/>
        <v>1</v>
      </c>
      <c r="N255" s="134">
        <f t="shared" si="15"/>
        <v>0</v>
      </c>
    </row>
    <row r="256" spans="2:14" ht="11.1" customHeight="1" x14ac:dyDescent="0.3">
      <c r="B256" s="19">
        <v>249</v>
      </c>
      <c r="C256" s="22">
        <v>200370415.10591909</v>
      </c>
      <c r="D256" s="23">
        <v>2.2828981928555021</v>
      </c>
      <c r="E256" s="22">
        <v>117390446.79366359</v>
      </c>
      <c r="F256" s="23">
        <v>1.7998822316490783</v>
      </c>
      <c r="G256" s="22">
        <v>82979968.312255502</v>
      </c>
      <c r="H256" s="23">
        <v>0.48301596120642376</v>
      </c>
      <c r="I256" s="23">
        <f t="shared" si="13"/>
        <v>171795499.47997025</v>
      </c>
      <c r="J256" s="4">
        <f t="shared" si="12"/>
        <v>14490478.836192712</v>
      </c>
      <c r="L256" s="22">
        <v>1250000000</v>
      </c>
      <c r="M256" s="134">
        <f t="shared" si="14"/>
        <v>1</v>
      </c>
      <c r="N256" s="134">
        <f t="shared" si="15"/>
        <v>0</v>
      </c>
    </row>
    <row r="257" spans="2:14" ht="11.1" customHeight="1" x14ac:dyDescent="0.3">
      <c r="B257" s="19">
        <v>250</v>
      </c>
      <c r="C257" s="22">
        <v>199655295.93168196</v>
      </c>
      <c r="D257" s="23">
        <v>1.9573085330486206</v>
      </c>
      <c r="E257" s="22">
        <v>116470109.98117535</v>
      </c>
      <c r="F257" s="23">
        <v>1.4938097110604462</v>
      </c>
      <c r="G257" s="22">
        <v>83185185.950506613</v>
      </c>
      <c r="H257" s="23">
        <v>0.46349882198817438</v>
      </c>
      <c r="I257" s="23">
        <f t="shared" si="13"/>
        <v>179472270.4875159</v>
      </c>
      <c r="J257" s="4">
        <f t="shared" si="12"/>
        <v>13904964.659645231</v>
      </c>
      <c r="L257" s="22">
        <v>1255000000</v>
      </c>
      <c r="M257" s="134">
        <f t="shared" si="14"/>
        <v>1</v>
      </c>
      <c r="N257" s="134">
        <f t="shared" si="15"/>
        <v>0</v>
      </c>
    </row>
    <row r="258" spans="2:14" ht="11.1" customHeight="1" x14ac:dyDescent="0.3">
      <c r="B258" s="19">
        <v>251</v>
      </c>
      <c r="C258" s="22">
        <v>200441568.19219938</v>
      </c>
      <c r="D258" s="23">
        <v>1.9667759989720339</v>
      </c>
      <c r="E258" s="22">
        <v>117431232.42247134</v>
      </c>
      <c r="F258" s="23">
        <v>1.5169519277056189</v>
      </c>
      <c r="G258" s="22">
        <v>83010335.769728035</v>
      </c>
      <c r="H258" s="23">
        <v>0.44982407126641499</v>
      </c>
      <c r="I258" s="23">
        <f t="shared" si="13"/>
        <v>184539559.06811383</v>
      </c>
      <c r="J258" s="4">
        <f t="shared" si="12"/>
        <v>13494722.137992449</v>
      </c>
      <c r="L258" s="22">
        <v>1260000000</v>
      </c>
      <c r="M258" s="134">
        <f t="shared" si="14"/>
        <v>1</v>
      </c>
      <c r="N258" s="134">
        <f t="shared" si="15"/>
        <v>0</v>
      </c>
    </row>
    <row r="259" spans="2:14" ht="11.1" customHeight="1" x14ac:dyDescent="0.3">
      <c r="B259" s="19">
        <v>252</v>
      </c>
      <c r="C259" s="22">
        <v>201544930.8339867</v>
      </c>
      <c r="D259" s="23">
        <v>2.0841649258905997</v>
      </c>
      <c r="E259" s="22">
        <v>118747963.43025836</v>
      </c>
      <c r="F259" s="23">
        <v>1.6327857294056831</v>
      </c>
      <c r="G259" s="22">
        <v>82796967.403728336</v>
      </c>
      <c r="H259" s="23">
        <v>0.45137919648491653</v>
      </c>
      <c r="I259" s="23">
        <f t="shared" si="13"/>
        <v>183431066.49243882</v>
      </c>
      <c r="J259" s="4">
        <f t="shared" si="12"/>
        <v>13541375.894547496</v>
      </c>
      <c r="L259" s="22">
        <v>1265000000</v>
      </c>
      <c r="M259" s="134">
        <f t="shared" si="14"/>
        <v>1</v>
      </c>
      <c r="N259" s="134">
        <f t="shared" si="15"/>
        <v>0</v>
      </c>
    </row>
    <row r="260" spans="2:14" ht="11.1" customHeight="1" x14ac:dyDescent="0.3">
      <c r="B260" s="19">
        <v>253</v>
      </c>
      <c r="C260" s="22">
        <v>201843562.71858546</v>
      </c>
      <c r="D260" s="23">
        <v>1.8815946879730949</v>
      </c>
      <c r="E260" s="22">
        <v>118539100.81229524</v>
      </c>
      <c r="F260" s="23">
        <v>1.4624088401291298</v>
      </c>
      <c r="G260" s="22">
        <v>83304461.906290218</v>
      </c>
      <c r="H260" s="23">
        <v>0.41918584784396518</v>
      </c>
      <c r="I260" s="23">
        <f t="shared" si="13"/>
        <v>198729185.00172958</v>
      </c>
      <c r="J260" s="4">
        <f t="shared" si="12"/>
        <v>12575575.435318956</v>
      </c>
      <c r="L260" s="22">
        <v>1270000000</v>
      </c>
      <c r="M260" s="134">
        <f t="shared" si="14"/>
        <v>1</v>
      </c>
      <c r="N260" s="134">
        <f t="shared" si="15"/>
        <v>0</v>
      </c>
    </row>
    <row r="261" spans="2:14" ht="11.1" customHeight="1" x14ac:dyDescent="0.3">
      <c r="B261" s="19">
        <v>254</v>
      </c>
      <c r="C261" s="22">
        <v>199852212.65870216</v>
      </c>
      <c r="D261" s="23">
        <v>2.1841959517822369</v>
      </c>
      <c r="E261" s="22">
        <v>116636445.51626629</v>
      </c>
      <c r="F261" s="23">
        <v>1.7257112472094291</v>
      </c>
      <c r="G261" s="22">
        <v>83215767.142435879</v>
      </c>
      <c r="H261" s="23">
        <v>0.45848470457280777</v>
      </c>
      <c r="I261" s="23">
        <f t="shared" si="13"/>
        <v>181501730.1830647</v>
      </c>
      <c r="J261" s="4">
        <f t="shared" si="12"/>
        <v>13754541.137184232</v>
      </c>
      <c r="L261" s="22">
        <v>1275000000</v>
      </c>
      <c r="M261" s="134">
        <f t="shared" si="14"/>
        <v>1</v>
      </c>
      <c r="N261" s="134">
        <f t="shared" si="15"/>
        <v>0</v>
      </c>
    </row>
    <row r="262" spans="2:14" ht="11.1" customHeight="1" x14ac:dyDescent="0.3">
      <c r="B262" s="19">
        <v>255</v>
      </c>
      <c r="C262" s="22">
        <v>202575216.14754745</v>
      </c>
      <c r="D262" s="23">
        <v>1.9653400058139541</v>
      </c>
      <c r="E262" s="22">
        <v>119371951.95392947</v>
      </c>
      <c r="F262" s="23">
        <v>1.4992717507253026</v>
      </c>
      <c r="G262" s="22">
        <v>83203264.193617985</v>
      </c>
      <c r="H262" s="23">
        <v>0.46606825508865146</v>
      </c>
      <c r="I262" s="23">
        <f t="shared" si="13"/>
        <v>178521629.15020201</v>
      </c>
      <c r="J262" s="4">
        <f t="shared" si="12"/>
        <v>13982047.652659545</v>
      </c>
      <c r="L262" s="22">
        <v>1280000000</v>
      </c>
      <c r="M262" s="134">
        <f t="shared" si="14"/>
        <v>1</v>
      </c>
      <c r="N262" s="134">
        <f t="shared" si="15"/>
        <v>0</v>
      </c>
    </row>
    <row r="263" spans="2:14" ht="11.1" customHeight="1" x14ac:dyDescent="0.3">
      <c r="B263" s="19">
        <v>256</v>
      </c>
      <c r="C263" s="22">
        <v>200123858.25559554</v>
      </c>
      <c r="D263" s="23">
        <v>2.0261157973683592</v>
      </c>
      <c r="E263" s="22">
        <v>116777894.08880071</v>
      </c>
      <c r="F263" s="23">
        <v>1.5471537328715881</v>
      </c>
      <c r="G263" s="22">
        <v>83345964.166794822</v>
      </c>
      <c r="H263" s="23">
        <v>0.47896206449677114</v>
      </c>
      <c r="I263" s="23">
        <f t="shared" si="13"/>
        <v>174013706.60610363</v>
      </c>
      <c r="J263" s="4">
        <f t="shared" si="12"/>
        <v>14368861.934903134</v>
      </c>
      <c r="L263" s="22">
        <v>1285000000</v>
      </c>
      <c r="M263" s="134">
        <f t="shared" si="14"/>
        <v>1</v>
      </c>
      <c r="N263" s="134">
        <f t="shared" si="15"/>
        <v>0</v>
      </c>
    </row>
    <row r="264" spans="2:14" ht="11.1" customHeight="1" x14ac:dyDescent="0.3">
      <c r="B264" s="19">
        <v>257</v>
      </c>
      <c r="C264" s="22">
        <v>203027071.40656117</v>
      </c>
      <c r="D264" s="23">
        <v>1.8798057076046322</v>
      </c>
      <c r="E264" s="22">
        <v>120535314.20163833</v>
      </c>
      <c r="F264" s="23">
        <v>1.4327953440407661</v>
      </c>
      <c r="G264" s="22">
        <v>82491757.20492284</v>
      </c>
      <c r="H264" s="23">
        <v>0.44701036356386603</v>
      </c>
      <c r="I264" s="23">
        <f t="shared" si="13"/>
        <v>184541039.60195306</v>
      </c>
      <c r="J264" s="4">
        <f t="shared" ref="J264:J327" si="16">threshold*H264</f>
        <v>13410310.906915981</v>
      </c>
      <c r="L264" s="22">
        <v>1290000000</v>
      </c>
      <c r="M264" s="134">
        <f t="shared" si="14"/>
        <v>1</v>
      </c>
      <c r="N264" s="134">
        <f t="shared" si="15"/>
        <v>0</v>
      </c>
    </row>
    <row r="265" spans="2:14" ht="11.1" customHeight="1" x14ac:dyDescent="0.3">
      <c r="B265" s="19">
        <v>258</v>
      </c>
      <c r="C265" s="22">
        <v>199925892.37251896</v>
      </c>
      <c r="D265" s="23">
        <v>1.9505553863761034</v>
      </c>
      <c r="E265" s="22">
        <v>117278476.10253271</v>
      </c>
      <c r="F265" s="23">
        <v>1.4977871230956352</v>
      </c>
      <c r="G265" s="22">
        <v>82647416.269986242</v>
      </c>
      <c r="H265" s="23">
        <v>0.45276826328046815</v>
      </c>
      <c r="I265" s="23">
        <f t="shared" ref="I265:I328" si="17">G265/H265</f>
        <v>182538006.68619335</v>
      </c>
      <c r="J265" s="4">
        <f t="shared" si="16"/>
        <v>13583047.898414044</v>
      </c>
      <c r="L265" s="22">
        <v>1295000000</v>
      </c>
      <c r="M265" s="134">
        <f t="shared" ref="M265:M306" si="18">COUNTIF($I$8:$I$1007,"&lt;"&amp;L265)/1000</f>
        <v>1</v>
      </c>
      <c r="N265" s="134">
        <f t="shared" ref="N265:N306" si="19">1-M265</f>
        <v>0</v>
      </c>
    </row>
    <row r="266" spans="2:14" ht="11.1" customHeight="1" x14ac:dyDescent="0.3">
      <c r="B266" s="19">
        <v>259</v>
      </c>
      <c r="C266" s="22">
        <v>204787048.42417499</v>
      </c>
      <c r="D266" s="23">
        <v>2.070669075399</v>
      </c>
      <c r="E266" s="22">
        <v>121888439.88538684</v>
      </c>
      <c r="F266" s="23">
        <v>1.5985770512216761</v>
      </c>
      <c r="G266" s="22">
        <v>82898608.538788155</v>
      </c>
      <c r="H266" s="23">
        <v>0.47209202417732388</v>
      </c>
      <c r="I266" s="23">
        <f t="shared" si="17"/>
        <v>175598409.40598133</v>
      </c>
      <c r="J266" s="4">
        <f t="shared" si="16"/>
        <v>14162760.725319717</v>
      </c>
      <c r="L266" s="22">
        <v>1300000000</v>
      </c>
      <c r="M266" s="134">
        <f t="shared" si="18"/>
        <v>1</v>
      </c>
      <c r="N266" s="134">
        <f t="shared" si="19"/>
        <v>0</v>
      </c>
    </row>
    <row r="267" spans="2:14" ht="11.1" customHeight="1" x14ac:dyDescent="0.3">
      <c r="B267" s="19">
        <v>260</v>
      </c>
      <c r="C267" s="22">
        <v>201348686.86387277</v>
      </c>
      <c r="D267" s="23">
        <v>1.9084050351980251</v>
      </c>
      <c r="E267" s="22">
        <v>118161138.67513253</v>
      </c>
      <c r="F267" s="23">
        <v>1.4415943442597359</v>
      </c>
      <c r="G267" s="22">
        <v>83187548.188740239</v>
      </c>
      <c r="H267" s="23">
        <v>0.4668106909382892</v>
      </c>
      <c r="I267" s="23">
        <f t="shared" si="17"/>
        <v>178204033.89119756</v>
      </c>
      <c r="J267" s="4">
        <f t="shared" si="16"/>
        <v>14004320.728148676</v>
      </c>
      <c r="L267" s="22">
        <v>1305000000</v>
      </c>
      <c r="M267" s="134">
        <f t="shared" si="18"/>
        <v>1</v>
      </c>
      <c r="N267" s="134">
        <f t="shared" si="19"/>
        <v>0</v>
      </c>
    </row>
    <row r="268" spans="2:14" ht="11.1" customHeight="1" x14ac:dyDescent="0.3">
      <c r="B268" s="19">
        <v>261</v>
      </c>
      <c r="C268" s="22">
        <v>204530019.50281218</v>
      </c>
      <c r="D268" s="23">
        <v>1.9082318893893373</v>
      </c>
      <c r="E268" s="22">
        <v>121537394.68858953</v>
      </c>
      <c r="F268" s="23">
        <v>1.4560875184291577</v>
      </c>
      <c r="G268" s="22">
        <v>82992624.814222649</v>
      </c>
      <c r="H268" s="23">
        <v>0.45214437096017956</v>
      </c>
      <c r="I268" s="23">
        <f t="shared" si="17"/>
        <v>183553373.97649881</v>
      </c>
      <c r="J268" s="4">
        <f t="shared" si="16"/>
        <v>13564331.128805388</v>
      </c>
      <c r="L268" s="22">
        <v>1310000000</v>
      </c>
      <c r="M268" s="134">
        <f t="shared" si="18"/>
        <v>1</v>
      </c>
      <c r="N268" s="134">
        <f t="shared" si="19"/>
        <v>0</v>
      </c>
    </row>
    <row r="269" spans="2:14" ht="11.1" customHeight="1" x14ac:dyDescent="0.3">
      <c r="B269" s="19">
        <v>262</v>
      </c>
      <c r="C269" s="22">
        <v>199457723.7820628</v>
      </c>
      <c r="D269" s="23">
        <v>2.0111785980923762</v>
      </c>
      <c r="E269" s="22">
        <v>116430332.1679215</v>
      </c>
      <c r="F269" s="23">
        <v>1.5419585042273372</v>
      </c>
      <c r="G269" s="22">
        <v>83027391.6141413</v>
      </c>
      <c r="H269" s="23">
        <v>0.46922009386503905</v>
      </c>
      <c r="I269" s="23">
        <f t="shared" si="17"/>
        <v>176947647.16965067</v>
      </c>
      <c r="J269" s="4">
        <f t="shared" si="16"/>
        <v>14076602.815951172</v>
      </c>
      <c r="L269" s="22">
        <v>1315000000</v>
      </c>
      <c r="M269" s="134">
        <f t="shared" si="18"/>
        <v>1</v>
      </c>
      <c r="N269" s="134">
        <f t="shared" si="19"/>
        <v>0</v>
      </c>
    </row>
    <row r="270" spans="2:14" ht="11.1" customHeight="1" x14ac:dyDescent="0.3">
      <c r="B270" s="19">
        <v>263</v>
      </c>
      <c r="C270" s="22">
        <v>201653843.51710257</v>
      </c>
      <c r="D270" s="23">
        <v>2.0268006262215987</v>
      </c>
      <c r="E270" s="22">
        <v>118545871.51390114</v>
      </c>
      <c r="F270" s="23">
        <v>1.5594214963712354</v>
      </c>
      <c r="G270" s="22">
        <v>83107972.003201425</v>
      </c>
      <c r="H270" s="23">
        <v>0.46737912985036334</v>
      </c>
      <c r="I270" s="23">
        <f t="shared" si="17"/>
        <v>177817036.95201233</v>
      </c>
      <c r="J270" s="4">
        <f t="shared" si="16"/>
        <v>14021373.895510901</v>
      </c>
      <c r="L270" s="22">
        <v>1320000000</v>
      </c>
      <c r="M270" s="134">
        <f t="shared" si="18"/>
        <v>1</v>
      </c>
      <c r="N270" s="134">
        <f t="shared" si="19"/>
        <v>0</v>
      </c>
    </row>
    <row r="271" spans="2:14" ht="11.1" customHeight="1" x14ac:dyDescent="0.3">
      <c r="B271" s="19">
        <v>264</v>
      </c>
      <c r="C271" s="22">
        <v>200756512.91448671</v>
      </c>
      <c r="D271" s="23">
        <v>2.061145867351367</v>
      </c>
      <c r="E271" s="22">
        <v>117488331.61574566</v>
      </c>
      <c r="F271" s="23">
        <v>1.6275507718080218</v>
      </c>
      <c r="G271" s="22">
        <v>83268181.298741043</v>
      </c>
      <c r="H271" s="23">
        <v>0.43359509554334519</v>
      </c>
      <c r="I271" s="23">
        <f t="shared" si="17"/>
        <v>192041335.69452927</v>
      </c>
      <c r="J271" s="4">
        <f t="shared" si="16"/>
        <v>13007852.866300356</v>
      </c>
      <c r="L271" s="22">
        <v>1325000000</v>
      </c>
      <c r="M271" s="134">
        <f t="shared" si="18"/>
        <v>1</v>
      </c>
      <c r="N271" s="134">
        <f t="shared" si="19"/>
        <v>0</v>
      </c>
    </row>
    <row r="272" spans="2:14" ht="11.1" customHeight="1" x14ac:dyDescent="0.3">
      <c r="B272" s="19">
        <v>265</v>
      </c>
      <c r="C272" s="22">
        <v>203326401.94852954</v>
      </c>
      <c r="D272" s="23">
        <v>2.05390295077938</v>
      </c>
      <c r="E272" s="22">
        <v>120119342.60961071</v>
      </c>
      <c r="F272" s="23">
        <v>1.5917699444581488</v>
      </c>
      <c r="G272" s="22">
        <v>83207059.338918835</v>
      </c>
      <c r="H272" s="23">
        <v>0.46213300632123122</v>
      </c>
      <c r="I272" s="23">
        <f t="shared" si="17"/>
        <v>180050024.99449509</v>
      </c>
      <c r="J272" s="4">
        <f t="shared" si="16"/>
        <v>13863990.189636936</v>
      </c>
      <c r="L272" s="22">
        <v>1330000000</v>
      </c>
      <c r="M272" s="134">
        <f t="shared" si="18"/>
        <v>1</v>
      </c>
      <c r="N272" s="134">
        <f t="shared" si="19"/>
        <v>0</v>
      </c>
    </row>
    <row r="273" spans="2:14" ht="11.1" customHeight="1" x14ac:dyDescent="0.3">
      <c r="B273" s="19">
        <v>266</v>
      </c>
      <c r="C273" s="22">
        <v>200448295.958711</v>
      </c>
      <c r="D273" s="23">
        <v>2.0358023436278385</v>
      </c>
      <c r="E273" s="22">
        <v>117416474.48582083</v>
      </c>
      <c r="F273" s="23">
        <v>1.579509776990158</v>
      </c>
      <c r="G273" s="22">
        <v>83031821.472890168</v>
      </c>
      <c r="H273" s="23">
        <v>0.45629256663768047</v>
      </c>
      <c r="I273" s="23">
        <f t="shared" si="17"/>
        <v>181970576.6515843</v>
      </c>
      <c r="J273" s="4">
        <f t="shared" si="16"/>
        <v>13688776.999130415</v>
      </c>
      <c r="L273" s="22">
        <v>1335000000</v>
      </c>
      <c r="M273" s="134">
        <f t="shared" si="18"/>
        <v>1</v>
      </c>
      <c r="N273" s="134">
        <f t="shared" si="19"/>
        <v>0</v>
      </c>
    </row>
    <row r="274" spans="2:14" ht="11.1" customHeight="1" x14ac:dyDescent="0.3">
      <c r="B274" s="19">
        <v>267</v>
      </c>
      <c r="C274" s="22">
        <v>201869833.51172784</v>
      </c>
      <c r="D274" s="23">
        <v>1.9982864932677411</v>
      </c>
      <c r="E274" s="22">
        <v>118935203.447422</v>
      </c>
      <c r="F274" s="23">
        <v>1.5396915287172852</v>
      </c>
      <c r="G274" s="22">
        <v>82934630.064305842</v>
      </c>
      <c r="H274" s="23">
        <v>0.4585949645504559</v>
      </c>
      <c r="I274" s="23">
        <f t="shared" si="17"/>
        <v>180845051.6799801</v>
      </c>
      <c r="J274" s="4">
        <f t="shared" si="16"/>
        <v>13757848.936513677</v>
      </c>
      <c r="L274" s="22">
        <v>1340000000</v>
      </c>
      <c r="M274" s="134">
        <f t="shared" si="18"/>
        <v>1</v>
      </c>
      <c r="N274" s="134">
        <f t="shared" si="19"/>
        <v>0</v>
      </c>
    </row>
    <row r="275" spans="2:14" ht="11.1" customHeight="1" x14ac:dyDescent="0.3">
      <c r="B275" s="19">
        <v>268</v>
      </c>
      <c r="C275" s="22">
        <v>201667490.70894197</v>
      </c>
      <c r="D275" s="23">
        <v>1.9197224307314009</v>
      </c>
      <c r="E275" s="22">
        <v>118675636.50813685</v>
      </c>
      <c r="F275" s="23">
        <v>1.4480152403949635</v>
      </c>
      <c r="G275" s="22">
        <v>82991854.200805113</v>
      </c>
      <c r="H275" s="23">
        <v>0.47170719033643738</v>
      </c>
      <c r="I275" s="23">
        <f t="shared" si="17"/>
        <v>175939345.2145865</v>
      </c>
      <c r="J275" s="4">
        <f t="shared" si="16"/>
        <v>14151215.710093122</v>
      </c>
      <c r="L275" s="22">
        <v>1345000000</v>
      </c>
      <c r="M275" s="134">
        <f t="shared" si="18"/>
        <v>1</v>
      </c>
      <c r="N275" s="134">
        <f t="shared" si="19"/>
        <v>0</v>
      </c>
    </row>
    <row r="276" spans="2:14" ht="11.1" customHeight="1" x14ac:dyDescent="0.3">
      <c r="B276" s="19">
        <v>269</v>
      </c>
      <c r="C276" s="22">
        <v>199367023.30057532</v>
      </c>
      <c r="D276" s="23">
        <v>2.0311216382424537</v>
      </c>
      <c r="E276" s="22">
        <v>116097740.15007162</v>
      </c>
      <c r="F276" s="23">
        <v>1.5887632410105768</v>
      </c>
      <c r="G276" s="22">
        <v>83269283.150503695</v>
      </c>
      <c r="H276" s="23">
        <v>0.44235839723187698</v>
      </c>
      <c r="I276" s="23">
        <f t="shared" si="17"/>
        <v>188239408.74994922</v>
      </c>
      <c r="J276" s="4">
        <f t="shared" si="16"/>
        <v>13270751.916956309</v>
      </c>
      <c r="L276" s="22">
        <v>1350000000</v>
      </c>
      <c r="M276" s="134">
        <f t="shared" si="18"/>
        <v>1</v>
      </c>
      <c r="N276" s="134">
        <f t="shared" si="19"/>
        <v>0</v>
      </c>
    </row>
    <row r="277" spans="2:14" ht="11.1" customHeight="1" x14ac:dyDescent="0.3">
      <c r="B277" s="19">
        <v>270</v>
      </c>
      <c r="C277" s="22">
        <v>203232223.89310455</v>
      </c>
      <c r="D277" s="23">
        <v>2.1555104104032066</v>
      </c>
      <c r="E277" s="22">
        <v>120050224.93313812</v>
      </c>
      <c r="F277" s="23">
        <v>1.6504218995070798</v>
      </c>
      <c r="G277" s="22">
        <v>83181998.959966436</v>
      </c>
      <c r="H277" s="23">
        <v>0.50508851089612672</v>
      </c>
      <c r="I277" s="23">
        <f t="shared" si="17"/>
        <v>164687964.91210055</v>
      </c>
      <c r="J277" s="4">
        <f t="shared" si="16"/>
        <v>15152655.326883802</v>
      </c>
      <c r="L277" s="22">
        <v>1355000000</v>
      </c>
      <c r="M277" s="134">
        <f t="shared" si="18"/>
        <v>1</v>
      </c>
      <c r="N277" s="134">
        <f t="shared" si="19"/>
        <v>0</v>
      </c>
    </row>
    <row r="278" spans="2:14" ht="11.1" customHeight="1" x14ac:dyDescent="0.3">
      <c r="B278" s="19">
        <v>271</v>
      </c>
      <c r="C278" s="22">
        <v>202837921.025967</v>
      </c>
      <c r="D278" s="23">
        <v>1.9303376691152534</v>
      </c>
      <c r="E278" s="22">
        <v>119950020.90850133</v>
      </c>
      <c r="F278" s="23">
        <v>1.4636517907840487</v>
      </c>
      <c r="G278" s="22">
        <v>82887900.117465675</v>
      </c>
      <c r="H278" s="23">
        <v>0.46668587833120467</v>
      </c>
      <c r="I278" s="23">
        <f t="shared" si="17"/>
        <v>177609617.01661035</v>
      </c>
      <c r="J278" s="4">
        <f t="shared" si="16"/>
        <v>14000576.349936141</v>
      </c>
      <c r="L278" s="22">
        <v>1360000000</v>
      </c>
      <c r="M278" s="134">
        <f t="shared" si="18"/>
        <v>1</v>
      </c>
      <c r="N278" s="134">
        <f t="shared" si="19"/>
        <v>0</v>
      </c>
    </row>
    <row r="279" spans="2:14" ht="11.1" customHeight="1" x14ac:dyDescent="0.3">
      <c r="B279" s="19">
        <v>272</v>
      </c>
      <c r="C279" s="22">
        <v>198988297.36027613</v>
      </c>
      <c r="D279" s="23">
        <v>1.8875718956998939</v>
      </c>
      <c r="E279" s="22">
        <v>115763675.61632626</v>
      </c>
      <c r="F279" s="23">
        <v>1.4586924574745006</v>
      </c>
      <c r="G279" s="22">
        <v>83224621.743949875</v>
      </c>
      <c r="H279" s="23">
        <v>0.42887943822539332</v>
      </c>
      <c r="I279" s="23">
        <f t="shared" si="17"/>
        <v>194051321.48166078</v>
      </c>
      <c r="J279" s="4">
        <f t="shared" si="16"/>
        <v>12866383.146761799</v>
      </c>
      <c r="L279" s="22">
        <v>1365000000</v>
      </c>
      <c r="M279" s="134">
        <f t="shared" si="18"/>
        <v>1</v>
      </c>
      <c r="N279" s="134">
        <f t="shared" si="19"/>
        <v>0</v>
      </c>
    </row>
    <row r="280" spans="2:14" ht="11.1" customHeight="1" x14ac:dyDescent="0.3">
      <c r="B280" s="19">
        <v>273</v>
      </c>
      <c r="C280" s="22">
        <v>204367767.3292166</v>
      </c>
      <c r="D280" s="23">
        <v>2.1501631383253761</v>
      </c>
      <c r="E280" s="22">
        <v>121155248.8198133</v>
      </c>
      <c r="F280" s="23">
        <v>1.6491138445698574</v>
      </c>
      <c r="G280" s="22">
        <v>83212518.509403303</v>
      </c>
      <c r="H280" s="23">
        <v>0.50104929375551865</v>
      </c>
      <c r="I280" s="23">
        <f t="shared" si="17"/>
        <v>166076510.92709833</v>
      </c>
      <c r="J280" s="4">
        <f t="shared" si="16"/>
        <v>15031478.812665559</v>
      </c>
      <c r="L280" s="22">
        <v>1370000000</v>
      </c>
      <c r="M280" s="134">
        <f t="shared" si="18"/>
        <v>1</v>
      </c>
      <c r="N280" s="134">
        <f t="shared" si="19"/>
        <v>0</v>
      </c>
    </row>
    <row r="281" spans="2:14" ht="11.1" customHeight="1" x14ac:dyDescent="0.3">
      <c r="B281" s="19">
        <v>274</v>
      </c>
      <c r="C281" s="22">
        <v>200311024.04863688</v>
      </c>
      <c r="D281" s="23">
        <v>2.2494811783184794</v>
      </c>
      <c r="E281" s="22">
        <v>117294890.61804006</v>
      </c>
      <c r="F281" s="23">
        <v>1.7734572950875422</v>
      </c>
      <c r="G281" s="22">
        <v>83016133.430596828</v>
      </c>
      <c r="H281" s="23">
        <v>0.47602388323093714</v>
      </c>
      <c r="I281" s="23">
        <f t="shared" si="17"/>
        <v>174394891.42254356</v>
      </c>
      <c r="J281" s="4">
        <f t="shared" si="16"/>
        <v>14280716.496928114</v>
      </c>
      <c r="L281" s="22">
        <v>1375000000</v>
      </c>
      <c r="M281" s="134">
        <f t="shared" si="18"/>
        <v>1</v>
      </c>
      <c r="N281" s="134">
        <f t="shared" si="19"/>
        <v>0</v>
      </c>
    </row>
    <row r="282" spans="2:14" ht="11.1" customHeight="1" x14ac:dyDescent="0.3">
      <c r="B282" s="19">
        <v>275</v>
      </c>
      <c r="C282" s="22">
        <v>201422141.02699843</v>
      </c>
      <c r="D282" s="23">
        <v>1.9743958185685289</v>
      </c>
      <c r="E282" s="22">
        <v>118200908.61831684</v>
      </c>
      <c r="F282" s="23">
        <v>1.5583508323469251</v>
      </c>
      <c r="G282" s="22">
        <v>83221232.408681586</v>
      </c>
      <c r="H282" s="23">
        <v>0.4160449862216038</v>
      </c>
      <c r="I282" s="23">
        <f t="shared" si="17"/>
        <v>200029408.27258116</v>
      </c>
      <c r="J282" s="4">
        <f t="shared" si="16"/>
        <v>12481349.586648114</v>
      </c>
      <c r="L282" s="22">
        <v>1380000000</v>
      </c>
      <c r="M282" s="134">
        <f t="shared" si="18"/>
        <v>1</v>
      </c>
      <c r="N282" s="134">
        <f t="shared" si="19"/>
        <v>0</v>
      </c>
    </row>
    <row r="283" spans="2:14" ht="11.1" customHeight="1" x14ac:dyDescent="0.3">
      <c r="B283" s="19">
        <v>276</v>
      </c>
      <c r="C283" s="22">
        <v>201992657.91260153</v>
      </c>
      <c r="D283" s="23">
        <v>1.8578747980772754</v>
      </c>
      <c r="E283" s="22">
        <v>119181205.40208632</v>
      </c>
      <c r="F283" s="23">
        <v>1.4341150627237211</v>
      </c>
      <c r="G283" s="22">
        <v>82811452.510515213</v>
      </c>
      <c r="H283" s="23">
        <v>0.42375973535355427</v>
      </c>
      <c r="I283" s="23">
        <f t="shared" si="17"/>
        <v>195420767.00945494</v>
      </c>
      <c r="J283" s="4">
        <f t="shared" si="16"/>
        <v>12712792.060606629</v>
      </c>
      <c r="L283" s="22">
        <v>1385000000</v>
      </c>
      <c r="M283" s="134">
        <f t="shared" si="18"/>
        <v>1</v>
      </c>
      <c r="N283" s="134">
        <f t="shared" si="19"/>
        <v>0</v>
      </c>
    </row>
    <row r="284" spans="2:14" ht="11.1" customHeight="1" x14ac:dyDescent="0.3">
      <c r="B284" s="19">
        <v>277</v>
      </c>
      <c r="C284" s="22">
        <v>199439879.74770632</v>
      </c>
      <c r="D284" s="23">
        <v>2.6158396770138177</v>
      </c>
      <c r="E284" s="22">
        <v>116208025.10989106</v>
      </c>
      <c r="F284" s="23">
        <v>2.0777151583206952</v>
      </c>
      <c r="G284" s="22">
        <v>83231854.637815267</v>
      </c>
      <c r="H284" s="23">
        <v>0.5381245186931225</v>
      </c>
      <c r="I284" s="23">
        <f t="shared" si="17"/>
        <v>154670251.48742589</v>
      </c>
      <c r="J284" s="4">
        <f t="shared" si="16"/>
        <v>16143735.560793675</v>
      </c>
      <c r="L284" s="22">
        <v>1390000000</v>
      </c>
      <c r="M284" s="134">
        <f t="shared" si="18"/>
        <v>1</v>
      </c>
      <c r="N284" s="134">
        <f t="shared" si="19"/>
        <v>0</v>
      </c>
    </row>
    <row r="285" spans="2:14" ht="11.1" customHeight="1" x14ac:dyDescent="0.3">
      <c r="B285" s="19">
        <v>278</v>
      </c>
      <c r="C285" s="22">
        <v>202016535.90251058</v>
      </c>
      <c r="D285" s="23">
        <v>2.0285729031040889</v>
      </c>
      <c r="E285" s="22">
        <v>118771377.7240876</v>
      </c>
      <c r="F285" s="23">
        <v>1.5698792419724903</v>
      </c>
      <c r="G285" s="22">
        <v>83245158.178422987</v>
      </c>
      <c r="H285" s="23">
        <v>0.4586936611315986</v>
      </c>
      <c r="I285" s="23">
        <f t="shared" si="17"/>
        <v>181483123.12199157</v>
      </c>
      <c r="J285" s="4">
        <f t="shared" si="16"/>
        <v>13760809.833947958</v>
      </c>
      <c r="L285" s="22">
        <v>1395000000</v>
      </c>
      <c r="M285" s="134">
        <f t="shared" si="18"/>
        <v>1</v>
      </c>
      <c r="N285" s="134">
        <f t="shared" si="19"/>
        <v>0</v>
      </c>
    </row>
    <row r="286" spans="2:14" ht="11.1" customHeight="1" x14ac:dyDescent="0.3">
      <c r="B286" s="19">
        <v>279</v>
      </c>
      <c r="C286" s="22">
        <v>203395126.22695574</v>
      </c>
      <c r="D286" s="23">
        <v>2.0873818545221221</v>
      </c>
      <c r="E286" s="22">
        <v>120707312.30281411</v>
      </c>
      <c r="F286" s="23">
        <v>1.6285642615551572</v>
      </c>
      <c r="G286" s="22">
        <v>82687813.924141631</v>
      </c>
      <c r="H286" s="23">
        <v>0.45881759296696489</v>
      </c>
      <c r="I286" s="23">
        <f t="shared" si="17"/>
        <v>180219362.09864384</v>
      </c>
      <c r="J286" s="4">
        <f t="shared" si="16"/>
        <v>13764527.789008947</v>
      </c>
      <c r="L286" s="22">
        <v>1400000000</v>
      </c>
      <c r="M286" s="134">
        <f t="shared" si="18"/>
        <v>1</v>
      </c>
      <c r="N286" s="134">
        <f t="shared" si="19"/>
        <v>0</v>
      </c>
    </row>
    <row r="287" spans="2:14" ht="11.1" customHeight="1" x14ac:dyDescent="0.3">
      <c r="B287" s="19">
        <v>280</v>
      </c>
      <c r="C287" s="22">
        <v>199716430.34778598</v>
      </c>
      <c r="D287" s="23">
        <v>2.3260980538857488</v>
      </c>
      <c r="E287" s="22">
        <v>116693776.42376749</v>
      </c>
      <c r="F287" s="23">
        <v>1.874830374201305</v>
      </c>
      <c r="G287" s="22">
        <v>83022653.924018487</v>
      </c>
      <c r="H287" s="23">
        <v>0.4512676796844437</v>
      </c>
      <c r="I287" s="23">
        <f t="shared" si="17"/>
        <v>183976512.52594343</v>
      </c>
      <c r="J287" s="4">
        <f t="shared" si="16"/>
        <v>13538030.390533311</v>
      </c>
      <c r="L287" s="22">
        <v>1405000000</v>
      </c>
      <c r="M287" s="134">
        <f t="shared" si="18"/>
        <v>1</v>
      </c>
      <c r="N287" s="134">
        <f t="shared" si="19"/>
        <v>0</v>
      </c>
    </row>
    <row r="288" spans="2:14" ht="11.1" customHeight="1" x14ac:dyDescent="0.3">
      <c r="B288" s="19">
        <v>281</v>
      </c>
      <c r="C288" s="22">
        <v>198408177.92732012</v>
      </c>
      <c r="D288" s="23">
        <v>2.238350530110377</v>
      </c>
      <c r="E288" s="22">
        <v>115488420.8923634</v>
      </c>
      <c r="F288" s="23">
        <v>1.7355749415656023</v>
      </c>
      <c r="G288" s="22">
        <v>82919757.034956723</v>
      </c>
      <c r="H288" s="23">
        <v>0.50277558854477467</v>
      </c>
      <c r="I288" s="23">
        <f t="shared" si="17"/>
        <v>164923991.78519842</v>
      </c>
      <c r="J288" s="4">
        <f t="shared" si="16"/>
        <v>15083267.65634324</v>
      </c>
      <c r="L288" s="22">
        <v>1410000000</v>
      </c>
      <c r="M288" s="134">
        <f t="shared" si="18"/>
        <v>1</v>
      </c>
      <c r="N288" s="134">
        <f t="shared" si="19"/>
        <v>0</v>
      </c>
    </row>
    <row r="289" spans="2:14" ht="11.1" customHeight="1" x14ac:dyDescent="0.3">
      <c r="B289" s="19">
        <v>282</v>
      </c>
      <c r="C289" s="22">
        <v>201798162.40329045</v>
      </c>
      <c r="D289" s="23">
        <v>1.9702545831545941</v>
      </c>
      <c r="E289" s="22">
        <v>118798656.33646062</v>
      </c>
      <c r="F289" s="23">
        <v>1.5106329759465438</v>
      </c>
      <c r="G289" s="22">
        <v>82999506.06682983</v>
      </c>
      <c r="H289" s="23">
        <v>0.45962160720805034</v>
      </c>
      <c r="I289" s="23">
        <f t="shared" si="17"/>
        <v>180582254.54413772</v>
      </c>
      <c r="J289" s="4">
        <f t="shared" si="16"/>
        <v>13788648.216241511</v>
      </c>
      <c r="L289" s="22">
        <v>1415000000</v>
      </c>
      <c r="M289" s="134">
        <f t="shared" si="18"/>
        <v>1</v>
      </c>
      <c r="N289" s="134">
        <f t="shared" si="19"/>
        <v>0</v>
      </c>
    </row>
    <row r="290" spans="2:14" ht="11.1" customHeight="1" x14ac:dyDescent="0.3">
      <c r="B290" s="19">
        <v>283</v>
      </c>
      <c r="C290" s="22">
        <v>201016739.75491643</v>
      </c>
      <c r="D290" s="23">
        <v>1.831996632209326</v>
      </c>
      <c r="E290" s="22">
        <v>117993286.2797164</v>
      </c>
      <c r="F290" s="23">
        <v>1.3971574199276371</v>
      </c>
      <c r="G290" s="22">
        <v>83023453.475200027</v>
      </c>
      <c r="H290" s="23">
        <v>0.43483921228168887</v>
      </c>
      <c r="I290" s="23">
        <f t="shared" si="17"/>
        <v>190929086.26974845</v>
      </c>
      <c r="J290" s="4">
        <f t="shared" si="16"/>
        <v>13045176.368450666</v>
      </c>
      <c r="L290" s="22">
        <v>1420000000</v>
      </c>
      <c r="M290" s="134">
        <f t="shared" si="18"/>
        <v>1</v>
      </c>
      <c r="N290" s="134">
        <f t="shared" si="19"/>
        <v>0</v>
      </c>
    </row>
    <row r="291" spans="2:14" ht="11.1" customHeight="1" x14ac:dyDescent="0.3">
      <c r="B291" s="19">
        <v>284</v>
      </c>
      <c r="C291" s="22">
        <v>200457010.14326543</v>
      </c>
      <c r="D291" s="23">
        <v>1.7932803177593861</v>
      </c>
      <c r="E291" s="22">
        <v>117737225.48615931</v>
      </c>
      <c r="F291" s="23">
        <v>1.3392309106874154</v>
      </c>
      <c r="G291" s="22">
        <v>82719784.657106116</v>
      </c>
      <c r="H291" s="23">
        <v>0.45404940707197072</v>
      </c>
      <c r="I291" s="23">
        <f t="shared" si="17"/>
        <v>182182342.64535517</v>
      </c>
      <c r="J291" s="4">
        <f t="shared" si="16"/>
        <v>13621482.212159121</v>
      </c>
      <c r="L291" s="22">
        <v>1425000000</v>
      </c>
      <c r="M291" s="134">
        <f t="shared" si="18"/>
        <v>1</v>
      </c>
      <c r="N291" s="134">
        <f t="shared" si="19"/>
        <v>0</v>
      </c>
    </row>
    <row r="292" spans="2:14" ht="11.1" customHeight="1" x14ac:dyDescent="0.3">
      <c r="B292" s="19">
        <v>285</v>
      </c>
      <c r="C292" s="22">
        <v>200266084.2156994</v>
      </c>
      <c r="D292" s="23">
        <v>2.2014078634318706</v>
      </c>
      <c r="E292" s="22">
        <v>117332736.35104349</v>
      </c>
      <c r="F292" s="23">
        <v>1.7364757033702491</v>
      </c>
      <c r="G292" s="22">
        <v>82933347.864655912</v>
      </c>
      <c r="H292" s="23">
        <v>0.46493216006162141</v>
      </c>
      <c r="I292" s="23">
        <f t="shared" si="17"/>
        <v>178377309.61365214</v>
      </c>
      <c r="J292" s="4">
        <f t="shared" si="16"/>
        <v>13947964.801848643</v>
      </c>
      <c r="L292" s="22">
        <v>1430000000</v>
      </c>
      <c r="M292" s="134">
        <f t="shared" si="18"/>
        <v>1</v>
      </c>
      <c r="N292" s="134">
        <f t="shared" si="19"/>
        <v>0</v>
      </c>
    </row>
    <row r="293" spans="2:14" ht="11.1" customHeight="1" x14ac:dyDescent="0.3">
      <c r="B293" s="19">
        <v>286</v>
      </c>
      <c r="C293" s="22">
        <v>203267046.1766389</v>
      </c>
      <c r="D293" s="23">
        <v>1.8534542935995542</v>
      </c>
      <c r="E293" s="22">
        <v>120402541.17087582</v>
      </c>
      <c r="F293" s="23">
        <v>1.3971656787573989</v>
      </c>
      <c r="G293" s="22">
        <v>82864505.005763084</v>
      </c>
      <c r="H293" s="23">
        <v>0.45628861484215522</v>
      </c>
      <c r="I293" s="23">
        <f t="shared" si="17"/>
        <v>181605462.66189122</v>
      </c>
      <c r="J293" s="4">
        <f t="shared" si="16"/>
        <v>13688658.445264656</v>
      </c>
      <c r="L293" s="22">
        <v>1435000000</v>
      </c>
      <c r="M293" s="134">
        <f t="shared" si="18"/>
        <v>1</v>
      </c>
      <c r="N293" s="134">
        <f t="shared" si="19"/>
        <v>0</v>
      </c>
    </row>
    <row r="294" spans="2:14" ht="11.1" customHeight="1" x14ac:dyDescent="0.3">
      <c r="B294" s="19">
        <v>287</v>
      </c>
      <c r="C294" s="22">
        <v>203241158.60727355</v>
      </c>
      <c r="D294" s="23">
        <v>1.8073244050197976</v>
      </c>
      <c r="E294" s="22">
        <v>120433130.06735401</v>
      </c>
      <c r="F294" s="23">
        <v>1.3769566426101336</v>
      </c>
      <c r="G294" s="22">
        <v>82808028.53991954</v>
      </c>
      <c r="H294" s="23">
        <v>0.43036776240966401</v>
      </c>
      <c r="I294" s="23">
        <f t="shared" si="17"/>
        <v>192412247.78610432</v>
      </c>
      <c r="J294" s="4">
        <f t="shared" si="16"/>
        <v>12911032.87228992</v>
      </c>
      <c r="L294" s="22">
        <v>1440000000</v>
      </c>
      <c r="M294" s="134">
        <f t="shared" si="18"/>
        <v>1</v>
      </c>
      <c r="N294" s="134">
        <f t="shared" si="19"/>
        <v>0</v>
      </c>
    </row>
    <row r="295" spans="2:14" ht="11.1" customHeight="1" x14ac:dyDescent="0.3">
      <c r="B295" s="19">
        <v>288</v>
      </c>
      <c r="C295" s="22">
        <v>200413873.32497245</v>
      </c>
      <c r="D295" s="23">
        <v>1.9653000702037668</v>
      </c>
      <c r="E295" s="22">
        <v>117165041.04129319</v>
      </c>
      <c r="F295" s="23">
        <v>1.4992791619641557</v>
      </c>
      <c r="G295" s="22">
        <v>83248832.283679262</v>
      </c>
      <c r="H295" s="23">
        <v>0.46602090823961118</v>
      </c>
      <c r="I295" s="23">
        <f t="shared" si="17"/>
        <v>178637547.82623553</v>
      </c>
      <c r="J295" s="4">
        <f t="shared" si="16"/>
        <v>13980627.247188335</v>
      </c>
      <c r="L295" s="22">
        <v>1445000000</v>
      </c>
      <c r="M295" s="134">
        <f t="shared" si="18"/>
        <v>1</v>
      </c>
      <c r="N295" s="134">
        <f t="shared" si="19"/>
        <v>0</v>
      </c>
    </row>
    <row r="296" spans="2:14" ht="11.1" customHeight="1" x14ac:dyDescent="0.3">
      <c r="B296" s="19">
        <v>289</v>
      </c>
      <c r="C296" s="22">
        <v>202570220.10226336</v>
      </c>
      <c r="D296" s="23">
        <v>2.2539200061048028</v>
      </c>
      <c r="E296" s="22">
        <v>119473743.01573029</v>
      </c>
      <c r="F296" s="23">
        <v>1.8286078428973782</v>
      </c>
      <c r="G296" s="22">
        <v>83096477.08653307</v>
      </c>
      <c r="H296" s="23">
        <v>0.4253121632074246</v>
      </c>
      <c r="I296" s="23">
        <f t="shared" si="17"/>
        <v>195377617.37137753</v>
      </c>
      <c r="J296" s="4">
        <f t="shared" si="16"/>
        <v>12759364.896222739</v>
      </c>
      <c r="L296" s="22">
        <v>1450000000</v>
      </c>
      <c r="M296" s="134">
        <f t="shared" si="18"/>
        <v>1</v>
      </c>
      <c r="N296" s="134">
        <f t="shared" si="19"/>
        <v>0</v>
      </c>
    </row>
    <row r="297" spans="2:14" ht="11.1" customHeight="1" x14ac:dyDescent="0.3">
      <c r="B297" s="19">
        <v>290</v>
      </c>
      <c r="C297" s="22">
        <v>206069601.34430894</v>
      </c>
      <c r="D297" s="23">
        <v>2.1657137610415123</v>
      </c>
      <c r="E297" s="22">
        <v>123165144.39395407</v>
      </c>
      <c r="F297" s="23">
        <v>1.6908120870862877</v>
      </c>
      <c r="G297" s="22">
        <v>82904456.950354874</v>
      </c>
      <c r="H297" s="23">
        <v>0.47490167395522453</v>
      </c>
      <c r="I297" s="23">
        <f t="shared" si="17"/>
        <v>174571835.59679642</v>
      </c>
      <c r="J297" s="4">
        <f t="shared" si="16"/>
        <v>14247050.218656735</v>
      </c>
      <c r="L297" s="22">
        <v>1455000000</v>
      </c>
      <c r="M297" s="134">
        <f t="shared" si="18"/>
        <v>1</v>
      </c>
      <c r="N297" s="134">
        <f t="shared" si="19"/>
        <v>0</v>
      </c>
    </row>
    <row r="298" spans="2:14" ht="11.1" customHeight="1" x14ac:dyDescent="0.3">
      <c r="B298" s="19">
        <v>291</v>
      </c>
      <c r="C298" s="22">
        <v>202060708.85540846</v>
      </c>
      <c r="D298" s="23">
        <v>2.1266669871030599</v>
      </c>
      <c r="E298" s="22">
        <v>119053147.69692063</v>
      </c>
      <c r="F298" s="23">
        <v>1.6485015502517508</v>
      </c>
      <c r="G298" s="22">
        <v>83007561.158487827</v>
      </c>
      <c r="H298" s="23">
        <v>0.47816543685130908</v>
      </c>
      <c r="I298" s="23">
        <f t="shared" si="17"/>
        <v>173595903.76311529</v>
      </c>
      <c r="J298" s="4">
        <f t="shared" si="16"/>
        <v>14344963.105539272</v>
      </c>
      <c r="L298" s="22">
        <v>1460000000</v>
      </c>
      <c r="M298" s="134">
        <f t="shared" si="18"/>
        <v>1</v>
      </c>
      <c r="N298" s="134">
        <f t="shared" si="19"/>
        <v>0</v>
      </c>
    </row>
    <row r="299" spans="2:14" ht="11.1" customHeight="1" x14ac:dyDescent="0.3">
      <c r="B299" s="19">
        <v>292</v>
      </c>
      <c r="C299" s="22">
        <v>198485490.58014095</v>
      </c>
      <c r="D299" s="23">
        <v>2.053254819097726</v>
      </c>
      <c r="E299" s="22">
        <v>115249346.76505573</v>
      </c>
      <c r="F299" s="23">
        <v>1.5952418310410994</v>
      </c>
      <c r="G299" s="22">
        <v>83236143.815085217</v>
      </c>
      <c r="H299" s="23">
        <v>0.4580129880566266</v>
      </c>
      <c r="I299" s="23">
        <f t="shared" si="17"/>
        <v>181733151.64764342</v>
      </c>
      <c r="J299" s="4">
        <f t="shared" si="16"/>
        <v>13740389.641698798</v>
      </c>
      <c r="L299" s="22">
        <v>1465000000</v>
      </c>
      <c r="M299" s="134">
        <f t="shared" si="18"/>
        <v>1</v>
      </c>
      <c r="N299" s="134">
        <f t="shared" si="19"/>
        <v>0</v>
      </c>
    </row>
    <row r="300" spans="2:14" ht="11.1" customHeight="1" x14ac:dyDescent="0.3">
      <c r="B300" s="19">
        <v>293</v>
      </c>
      <c r="C300" s="22">
        <v>203226471.61371922</v>
      </c>
      <c r="D300" s="23">
        <v>2.1642194387974727</v>
      </c>
      <c r="E300" s="22">
        <v>120162806.53971542</v>
      </c>
      <c r="F300" s="23">
        <v>1.7143925698105775</v>
      </c>
      <c r="G300" s="22">
        <v>83063665.074003801</v>
      </c>
      <c r="H300" s="23">
        <v>0.44982686898689517</v>
      </c>
      <c r="I300" s="23">
        <f t="shared" si="17"/>
        <v>184656966.49264342</v>
      </c>
      <c r="J300" s="4">
        <f t="shared" si="16"/>
        <v>13494806.069606856</v>
      </c>
      <c r="L300" s="22">
        <v>1470000000</v>
      </c>
      <c r="M300" s="134">
        <f t="shared" si="18"/>
        <v>1</v>
      </c>
      <c r="N300" s="134">
        <f t="shared" si="19"/>
        <v>0</v>
      </c>
    </row>
    <row r="301" spans="2:14" ht="11.1" customHeight="1" x14ac:dyDescent="0.3">
      <c r="B301" s="19">
        <v>294</v>
      </c>
      <c r="C301" s="22">
        <v>199297207.37779161</v>
      </c>
      <c r="D301" s="23">
        <v>1.8354418446560701</v>
      </c>
      <c r="E301" s="22">
        <v>116261560.49389954</v>
      </c>
      <c r="F301" s="23">
        <v>1.3905604897171335</v>
      </c>
      <c r="G301" s="22">
        <v>83035646.883892074</v>
      </c>
      <c r="H301" s="23">
        <v>0.44488135493893655</v>
      </c>
      <c r="I301" s="23">
        <f t="shared" si="17"/>
        <v>186646722.68697205</v>
      </c>
      <c r="J301" s="4">
        <f t="shared" si="16"/>
        <v>13346440.648168096</v>
      </c>
      <c r="L301" s="22">
        <v>1475000000</v>
      </c>
      <c r="M301" s="134">
        <f t="shared" si="18"/>
        <v>1</v>
      </c>
      <c r="N301" s="134">
        <f t="shared" si="19"/>
        <v>0</v>
      </c>
    </row>
    <row r="302" spans="2:14" ht="11.1" customHeight="1" x14ac:dyDescent="0.3">
      <c r="B302" s="19">
        <v>295</v>
      </c>
      <c r="C302" s="22">
        <v>200743352.76761469</v>
      </c>
      <c r="D302" s="23">
        <v>2.5316311657158024</v>
      </c>
      <c r="E302" s="22">
        <v>117800157.40160805</v>
      </c>
      <c r="F302" s="23">
        <v>2.0683697544093298</v>
      </c>
      <c r="G302" s="22">
        <v>82943195.366006643</v>
      </c>
      <c r="H302" s="23">
        <v>0.46326141130647258</v>
      </c>
      <c r="I302" s="23">
        <f t="shared" si="17"/>
        <v>179041882.92327937</v>
      </c>
      <c r="J302" s="4">
        <f t="shared" si="16"/>
        <v>13897842.339194177</v>
      </c>
      <c r="L302" s="22">
        <v>1480000000</v>
      </c>
      <c r="M302" s="134">
        <f t="shared" si="18"/>
        <v>1</v>
      </c>
      <c r="N302" s="134">
        <f t="shared" si="19"/>
        <v>0</v>
      </c>
    </row>
    <row r="303" spans="2:14" ht="11.1" customHeight="1" x14ac:dyDescent="0.3">
      <c r="B303" s="19">
        <v>296</v>
      </c>
      <c r="C303" s="22">
        <v>205076789.11035261</v>
      </c>
      <c r="D303" s="23">
        <v>2.0182826634358957</v>
      </c>
      <c r="E303" s="22">
        <v>122178857.85464877</v>
      </c>
      <c r="F303" s="23">
        <v>1.5481222892913722</v>
      </c>
      <c r="G303" s="22">
        <v>82897931.255703837</v>
      </c>
      <c r="H303" s="23">
        <v>0.4701603741445235</v>
      </c>
      <c r="I303" s="23">
        <f t="shared" si="17"/>
        <v>176318413.49143916</v>
      </c>
      <c r="J303" s="4">
        <f t="shared" si="16"/>
        <v>14104811.224335704</v>
      </c>
      <c r="L303" s="22">
        <v>1485000000</v>
      </c>
      <c r="M303" s="134">
        <f t="shared" si="18"/>
        <v>1</v>
      </c>
      <c r="N303" s="134">
        <f t="shared" si="19"/>
        <v>0</v>
      </c>
    </row>
    <row r="304" spans="2:14" ht="11.1" customHeight="1" x14ac:dyDescent="0.3">
      <c r="B304" s="19">
        <v>297</v>
      </c>
      <c r="C304" s="22">
        <v>202302217.72957897</v>
      </c>
      <c r="D304" s="23">
        <v>1.9485893615396188</v>
      </c>
      <c r="E304" s="22">
        <v>119720720.28348342</v>
      </c>
      <c r="F304" s="23">
        <v>1.5052941437449039</v>
      </c>
      <c r="G304" s="22">
        <v>82581497.446095556</v>
      </c>
      <c r="H304" s="23">
        <v>0.44329521779471492</v>
      </c>
      <c r="I304" s="23">
        <f t="shared" si="17"/>
        <v>186290070.65972483</v>
      </c>
      <c r="J304" s="4">
        <f t="shared" si="16"/>
        <v>13298856.533841448</v>
      </c>
      <c r="L304" s="22">
        <v>1490000000</v>
      </c>
      <c r="M304" s="134">
        <f t="shared" si="18"/>
        <v>1</v>
      </c>
      <c r="N304" s="134">
        <f t="shared" si="19"/>
        <v>0</v>
      </c>
    </row>
    <row r="305" spans="2:14" ht="11.1" customHeight="1" x14ac:dyDescent="0.3">
      <c r="B305" s="19">
        <v>298</v>
      </c>
      <c r="C305" s="22">
        <v>201470907.07405892</v>
      </c>
      <c r="D305" s="23">
        <v>2.1411921083229521</v>
      </c>
      <c r="E305" s="22">
        <v>118342650.96526793</v>
      </c>
      <c r="F305" s="23">
        <v>1.678907433332107</v>
      </c>
      <c r="G305" s="22">
        <v>83128256.108790994</v>
      </c>
      <c r="H305" s="23">
        <v>0.46228467499084513</v>
      </c>
      <c r="I305" s="23">
        <f t="shared" si="17"/>
        <v>179820488.55596873</v>
      </c>
      <c r="J305" s="4">
        <f t="shared" si="16"/>
        <v>13868540.249725355</v>
      </c>
      <c r="L305" s="22">
        <v>1495000000</v>
      </c>
      <c r="M305" s="134">
        <f t="shared" si="18"/>
        <v>1</v>
      </c>
      <c r="N305" s="134">
        <f t="shared" si="19"/>
        <v>0</v>
      </c>
    </row>
    <row r="306" spans="2:14" ht="11.1" customHeight="1" x14ac:dyDescent="0.3">
      <c r="B306" s="19">
        <v>299</v>
      </c>
      <c r="C306" s="22">
        <v>202932979.71802613</v>
      </c>
      <c r="D306" s="23">
        <v>2.4193705720353549</v>
      </c>
      <c r="E306" s="22">
        <v>119843409.18941768</v>
      </c>
      <c r="F306" s="23">
        <v>1.9491231368629676</v>
      </c>
      <c r="G306" s="22">
        <v>83089570.528608456</v>
      </c>
      <c r="H306" s="23">
        <v>0.47024743517238732</v>
      </c>
      <c r="I306" s="23">
        <f t="shared" si="17"/>
        <v>176693298.70592228</v>
      </c>
      <c r="J306" s="4">
        <f t="shared" si="16"/>
        <v>14107423.05517162</v>
      </c>
      <c r="L306" s="22">
        <v>1500000000</v>
      </c>
      <c r="M306" s="134">
        <f t="shared" si="18"/>
        <v>1</v>
      </c>
      <c r="N306" s="134">
        <f t="shared" si="19"/>
        <v>0</v>
      </c>
    </row>
    <row r="307" spans="2:14" ht="11.1" customHeight="1" x14ac:dyDescent="0.3">
      <c r="B307" s="19">
        <v>300</v>
      </c>
      <c r="C307" s="22">
        <v>205963834.22227791</v>
      </c>
      <c r="D307" s="23">
        <v>1.9670514309758578</v>
      </c>
      <c r="E307" s="22">
        <v>122911050.43974394</v>
      </c>
      <c r="F307" s="23">
        <v>1.5244624446028698</v>
      </c>
      <c r="G307" s="22">
        <v>83052783.782533973</v>
      </c>
      <c r="H307" s="23">
        <v>0.44258898637298794</v>
      </c>
      <c r="I307" s="23">
        <f t="shared" si="17"/>
        <v>187652170.16164514</v>
      </c>
      <c r="J307" s="4">
        <f t="shared" si="16"/>
        <v>13277669.591189638</v>
      </c>
      <c r="L307" s="22"/>
      <c r="M307" s="22"/>
      <c r="N307" s="19"/>
    </row>
    <row r="308" spans="2:14" ht="11.1" customHeight="1" x14ac:dyDescent="0.3">
      <c r="B308" s="19">
        <v>301</v>
      </c>
      <c r="C308" s="22">
        <v>198889755.40693423</v>
      </c>
      <c r="D308" s="23">
        <v>1.9480835044559814</v>
      </c>
      <c r="E308" s="22">
        <v>115776708.95718694</v>
      </c>
      <c r="F308" s="23">
        <v>1.4991611488647778</v>
      </c>
      <c r="G308" s="22">
        <v>83113046.449747294</v>
      </c>
      <c r="H308" s="23">
        <v>0.44892235559120364</v>
      </c>
      <c r="I308" s="23">
        <f t="shared" si="17"/>
        <v>185139023.29567087</v>
      </c>
      <c r="J308" s="4">
        <f t="shared" si="16"/>
        <v>13467670.667736109</v>
      </c>
      <c r="L308" s="22"/>
      <c r="M308" s="22"/>
      <c r="N308" s="19"/>
    </row>
    <row r="309" spans="2:14" ht="11.1" customHeight="1" x14ac:dyDescent="0.3">
      <c r="B309" s="19">
        <v>302</v>
      </c>
      <c r="C309" s="22">
        <v>202510402.67707574</v>
      </c>
      <c r="D309" s="23">
        <v>2.2158140076936008</v>
      </c>
      <c r="E309" s="22">
        <v>119670490.21945697</v>
      </c>
      <c r="F309" s="23">
        <v>1.7782141554009778</v>
      </c>
      <c r="G309" s="22">
        <v>82839912.457618773</v>
      </c>
      <c r="H309" s="23">
        <v>0.43759985229262299</v>
      </c>
      <c r="I309" s="23">
        <f t="shared" si="17"/>
        <v>189305165.49220344</v>
      </c>
      <c r="J309" s="4">
        <f t="shared" si="16"/>
        <v>13127995.56877869</v>
      </c>
      <c r="L309" s="22"/>
      <c r="M309" s="22"/>
      <c r="N309" s="19"/>
    </row>
    <row r="310" spans="2:14" ht="11.1" customHeight="1" x14ac:dyDescent="0.3">
      <c r="B310" s="19">
        <v>303</v>
      </c>
      <c r="C310" s="22">
        <v>203427919.81074944</v>
      </c>
      <c r="D310" s="23">
        <v>2.0192098547479911</v>
      </c>
      <c r="E310" s="22">
        <v>120424877.56540315</v>
      </c>
      <c r="F310" s="23">
        <v>1.5297122521812243</v>
      </c>
      <c r="G310" s="22">
        <v>83003042.245346293</v>
      </c>
      <c r="H310" s="23">
        <v>0.48949760256676678</v>
      </c>
      <c r="I310" s="23">
        <f t="shared" si="17"/>
        <v>169567821.8036314</v>
      </c>
      <c r="J310" s="4">
        <f t="shared" si="16"/>
        <v>14684928.077003004</v>
      </c>
      <c r="L310" s="22"/>
      <c r="M310" s="22"/>
      <c r="N310" s="19"/>
    </row>
    <row r="311" spans="2:14" ht="11.1" customHeight="1" x14ac:dyDescent="0.3">
      <c r="B311" s="19">
        <v>304</v>
      </c>
      <c r="C311" s="22">
        <v>201398008.65010488</v>
      </c>
      <c r="D311" s="23">
        <v>2.0871736311776266</v>
      </c>
      <c r="E311" s="22">
        <v>118453732.40446131</v>
      </c>
      <c r="F311" s="23">
        <v>1.6260224014522089</v>
      </c>
      <c r="G311" s="22">
        <v>82944276.245643571</v>
      </c>
      <c r="H311" s="23">
        <v>0.46115122972541767</v>
      </c>
      <c r="I311" s="23">
        <f t="shared" si="17"/>
        <v>179863504.41921386</v>
      </c>
      <c r="J311" s="4">
        <f t="shared" si="16"/>
        <v>13834536.89176253</v>
      </c>
      <c r="L311" s="22"/>
      <c r="M311" s="22"/>
      <c r="N311" s="19"/>
    </row>
    <row r="312" spans="2:14" ht="11.1" customHeight="1" x14ac:dyDescent="0.3">
      <c r="B312" s="19">
        <v>305</v>
      </c>
      <c r="C312" s="22">
        <v>201210459.92072436</v>
      </c>
      <c r="D312" s="23">
        <v>1.7227929650116292</v>
      </c>
      <c r="E312" s="22">
        <v>118426616.67816021</v>
      </c>
      <c r="F312" s="23">
        <v>1.2717380433710861</v>
      </c>
      <c r="G312" s="22">
        <v>82783843.242564157</v>
      </c>
      <c r="H312" s="23">
        <v>0.45105492164054306</v>
      </c>
      <c r="I312" s="23">
        <f t="shared" si="17"/>
        <v>183533843.15477365</v>
      </c>
      <c r="J312" s="4">
        <f t="shared" si="16"/>
        <v>13531647.649216292</v>
      </c>
      <c r="L312" s="22"/>
      <c r="M312" s="22"/>
      <c r="N312" s="19"/>
    </row>
    <row r="313" spans="2:14" ht="11.1" customHeight="1" x14ac:dyDescent="0.3">
      <c r="B313" s="19">
        <v>306</v>
      </c>
      <c r="C313" s="22">
        <v>203420026.97311053</v>
      </c>
      <c r="D313" s="23">
        <v>2.2363958816146461</v>
      </c>
      <c r="E313" s="22">
        <v>120429887.91475284</v>
      </c>
      <c r="F313" s="23">
        <v>1.7506282282951662</v>
      </c>
      <c r="G313" s="22">
        <v>82990139.058357686</v>
      </c>
      <c r="H313" s="23">
        <v>0.48576765331947991</v>
      </c>
      <c r="I313" s="23">
        <f t="shared" si="17"/>
        <v>170843279.68576509</v>
      </c>
      <c r="J313" s="4">
        <f t="shared" si="16"/>
        <v>14573029.599584397</v>
      </c>
      <c r="L313" s="22"/>
      <c r="M313" s="22"/>
      <c r="N313" s="19"/>
    </row>
    <row r="314" spans="2:14" ht="11.1" customHeight="1" x14ac:dyDescent="0.3">
      <c r="B314" s="19">
        <v>307</v>
      </c>
      <c r="C314" s="22">
        <v>200948885.25458917</v>
      </c>
      <c r="D314" s="23">
        <v>1.8021535638430823</v>
      </c>
      <c r="E314" s="22">
        <v>117326278.99820022</v>
      </c>
      <c r="F314" s="23">
        <v>1.3428324385903441</v>
      </c>
      <c r="G314" s="22">
        <v>83622606.256388947</v>
      </c>
      <c r="H314" s="23">
        <v>0.45932112525273827</v>
      </c>
      <c r="I314" s="23">
        <f t="shared" si="17"/>
        <v>182056956.79765695</v>
      </c>
      <c r="J314" s="4">
        <f t="shared" si="16"/>
        <v>13779633.757582149</v>
      </c>
      <c r="L314" s="22"/>
      <c r="M314" s="22"/>
      <c r="N314" s="19"/>
    </row>
    <row r="315" spans="2:14" ht="11.1" customHeight="1" x14ac:dyDescent="0.3">
      <c r="B315" s="19">
        <v>308</v>
      </c>
      <c r="C315" s="22">
        <v>203252886.69261158</v>
      </c>
      <c r="D315" s="23">
        <v>2.1323490991397525</v>
      </c>
      <c r="E315" s="22">
        <v>119789986.85657915</v>
      </c>
      <c r="F315" s="23">
        <v>1.6472669264671334</v>
      </c>
      <c r="G315" s="22">
        <v>83462899.83603242</v>
      </c>
      <c r="H315" s="23">
        <v>0.48508217267261911</v>
      </c>
      <c r="I315" s="23">
        <f t="shared" si="17"/>
        <v>172059301.57396519</v>
      </c>
      <c r="J315" s="4">
        <f t="shared" si="16"/>
        <v>14552465.180178573</v>
      </c>
      <c r="L315" s="22"/>
      <c r="M315" s="22"/>
      <c r="N315" s="19"/>
    </row>
    <row r="316" spans="2:14" ht="11.1" customHeight="1" x14ac:dyDescent="0.3">
      <c r="B316" s="19">
        <v>309</v>
      </c>
      <c r="C316" s="22">
        <v>203262727.53767762</v>
      </c>
      <c r="D316" s="23">
        <v>1.9345346492742126</v>
      </c>
      <c r="E316" s="22">
        <v>120433949.17516257</v>
      </c>
      <c r="F316" s="23">
        <v>1.4997756939513742</v>
      </c>
      <c r="G316" s="22">
        <v>82828778.362515047</v>
      </c>
      <c r="H316" s="23">
        <v>0.43475895532283837</v>
      </c>
      <c r="I316" s="23">
        <f t="shared" si="17"/>
        <v>190516554.85971299</v>
      </c>
      <c r="J316" s="4">
        <f t="shared" si="16"/>
        <v>13042768.659685152</v>
      </c>
      <c r="L316" s="22"/>
      <c r="M316" s="22"/>
      <c r="N316" s="19"/>
    </row>
    <row r="317" spans="2:14" ht="11.1" customHeight="1" x14ac:dyDescent="0.3">
      <c r="B317" s="19">
        <v>310</v>
      </c>
      <c r="C317" s="22">
        <v>200859837.20143512</v>
      </c>
      <c r="D317" s="23">
        <v>1.7937795379673882</v>
      </c>
      <c r="E317" s="22">
        <v>117730632.73381789</v>
      </c>
      <c r="F317" s="23">
        <v>1.3365440135256044</v>
      </c>
      <c r="G317" s="22">
        <v>83129204.467617229</v>
      </c>
      <c r="H317" s="23">
        <v>0.45723552444178384</v>
      </c>
      <c r="I317" s="23">
        <f t="shared" si="17"/>
        <v>181808280.46793947</v>
      </c>
      <c r="J317" s="4">
        <f t="shared" si="16"/>
        <v>13717065.733253514</v>
      </c>
      <c r="L317" s="22"/>
      <c r="M317" s="22"/>
      <c r="N317" s="19"/>
    </row>
    <row r="318" spans="2:14" ht="11.1" customHeight="1" x14ac:dyDescent="0.3">
      <c r="B318" s="19">
        <v>311</v>
      </c>
      <c r="C318" s="22">
        <v>202686656.51993087</v>
      </c>
      <c r="D318" s="23">
        <v>2.2221586877711603</v>
      </c>
      <c r="E318" s="22">
        <v>119578385.39848813</v>
      </c>
      <c r="F318" s="23">
        <v>1.7370792441648615</v>
      </c>
      <c r="G318" s="22">
        <v>83108271.121442735</v>
      </c>
      <c r="H318" s="23">
        <v>0.48507944360629884</v>
      </c>
      <c r="I318" s="23">
        <f t="shared" si="17"/>
        <v>171329196.10771063</v>
      </c>
      <c r="J318" s="4">
        <f t="shared" si="16"/>
        <v>14552383.308188966</v>
      </c>
      <c r="L318" s="22"/>
      <c r="M318" s="22"/>
      <c r="N318" s="19"/>
    </row>
    <row r="319" spans="2:14" ht="11.1" customHeight="1" x14ac:dyDescent="0.3">
      <c r="B319" s="19">
        <v>312</v>
      </c>
      <c r="C319" s="22">
        <v>201115402.43758333</v>
      </c>
      <c r="D319" s="23">
        <v>2.246705426145025</v>
      </c>
      <c r="E319" s="22">
        <v>118255779.83076353</v>
      </c>
      <c r="F319" s="23">
        <v>1.7804128876176637</v>
      </c>
      <c r="G319" s="22">
        <v>82859622.606819794</v>
      </c>
      <c r="H319" s="23">
        <v>0.4662925385273613</v>
      </c>
      <c r="I319" s="23">
        <f t="shared" si="17"/>
        <v>177698795.84285417</v>
      </c>
      <c r="J319" s="4">
        <f t="shared" si="16"/>
        <v>13988776.155820839</v>
      </c>
      <c r="L319" s="22"/>
      <c r="M319" s="22"/>
      <c r="N319" s="19"/>
    </row>
    <row r="320" spans="2:14" ht="11.1" customHeight="1" x14ac:dyDescent="0.3">
      <c r="B320" s="19">
        <v>313</v>
      </c>
      <c r="C320" s="22">
        <v>200731686.32469779</v>
      </c>
      <c r="D320" s="23">
        <v>1.9751691429210638</v>
      </c>
      <c r="E320" s="22">
        <v>117722541.87831363</v>
      </c>
      <c r="F320" s="23">
        <v>1.5069588298561305</v>
      </c>
      <c r="G320" s="22">
        <v>83009144.446384162</v>
      </c>
      <c r="H320" s="23">
        <v>0.46821031306493333</v>
      </c>
      <c r="I320" s="23">
        <f t="shared" si="17"/>
        <v>177290294.83140007</v>
      </c>
      <c r="J320" s="4">
        <f t="shared" si="16"/>
        <v>14046309.391948</v>
      </c>
      <c r="L320" s="22"/>
      <c r="M320" s="22"/>
      <c r="N320" s="19"/>
    </row>
    <row r="321" spans="2:14" ht="11.1" customHeight="1" x14ac:dyDescent="0.3">
      <c r="B321" s="19">
        <v>314</v>
      </c>
      <c r="C321" s="22">
        <v>197427109.66797888</v>
      </c>
      <c r="D321" s="23">
        <v>2.1329214687829454</v>
      </c>
      <c r="E321" s="22">
        <v>114071692.69093676</v>
      </c>
      <c r="F321" s="23">
        <v>1.6327979131594066</v>
      </c>
      <c r="G321" s="22">
        <v>83355416.977042124</v>
      </c>
      <c r="H321" s="23">
        <v>0.50012355562353883</v>
      </c>
      <c r="I321" s="23">
        <f t="shared" si="17"/>
        <v>166669648.00951463</v>
      </c>
      <c r="J321" s="4">
        <f t="shared" si="16"/>
        <v>15003706.668706166</v>
      </c>
      <c r="L321" s="22"/>
      <c r="M321" s="22"/>
      <c r="N321" s="19"/>
    </row>
    <row r="322" spans="2:14" ht="11.1" customHeight="1" x14ac:dyDescent="0.3">
      <c r="B322" s="19">
        <v>315</v>
      </c>
      <c r="C322" s="22">
        <v>202145195.8301242</v>
      </c>
      <c r="D322" s="23">
        <v>1.990739375108689</v>
      </c>
      <c r="E322" s="22">
        <v>119036746.12077372</v>
      </c>
      <c r="F322" s="23">
        <v>1.5162167015297388</v>
      </c>
      <c r="G322" s="22">
        <v>83108449.709350482</v>
      </c>
      <c r="H322" s="23">
        <v>0.47452267357895028</v>
      </c>
      <c r="I322" s="23">
        <f t="shared" si="17"/>
        <v>175141156.23291293</v>
      </c>
      <c r="J322" s="4">
        <f t="shared" si="16"/>
        <v>14235680.207368508</v>
      </c>
      <c r="L322" s="22"/>
      <c r="M322" s="22"/>
      <c r="N322" s="19"/>
    </row>
    <row r="323" spans="2:14" ht="11.1" customHeight="1" x14ac:dyDescent="0.3">
      <c r="B323" s="19">
        <v>316</v>
      </c>
      <c r="C323" s="22">
        <v>204662779.12561059</v>
      </c>
      <c r="D323" s="23">
        <v>1.8844135281670316</v>
      </c>
      <c r="E323" s="22">
        <v>122086534.49300978</v>
      </c>
      <c r="F323" s="23">
        <v>1.439160947107937</v>
      </c>
      <c r="G323" s="22">
        <v>82576244.632600814</v>
      </c>
      <c r="H323" s="23">
        <v>0.4452525810590946</v>
      </c>
      <c r="I323" s="23">
        <f t="shared" si="17"/>
        <v>185459328.3573603</v>
      </c>
      <c r="J323" s="4">
        <f t="shared" si="16"/>
        <v>13357577.431772837</v>
      </c>
      <c r="L323" s="22"/>
      <c r="M323" s="22"/>
      <c r="N323" s="19"/>
    </row>
    <row r="324" spans="2:14" ht="11.1" customHeight="1" x14ac:dyDescent="0.3">
      <c r="B324" s="19">
        <v>317</v>
      </c>
      <c r="C324" s="22">
        <v>201331078.33353388</v>
      </c>
      <c r="D324" s="23">
        <v>2.0475909872894715</v>
      </c>
      <c r="E324" s="22">
        <v>118129959.7621924</v>
      </c>
      <c r="F324" s="23">
        <v>1.5877904600809563</v>
      </c>
      <c r="G324" s="22">
        <v>83201118.571341485</v>
      </c>
      <c r="H324" s="23">
        <v>0.45980052720851528</v>
      </c>
      <c r="I324" s="23">
        <f t="shared" si="17"/>
        <v>180950463.62052244</v>
      </c>
      <c r="J324" s="4">
        <f t="shared" si="16"/>
        <v>13794015.816255458</v>
      </c>
      <c r="L324" s="22"/>
      <c r="M324" s="22"/>
      <c r="N324" s="19"/>
    </row>
    <row r="325" spans="2:14" ht="11.1" customHeight="1" x14ac:dyDescent="0.3">
      <c r="B325" s="19">
        <v>318</v>
      </c>
      <c r="C325" s="22">
        <v>201916257.12942004</v>
      </c>
      <c r="D325" s="23">
        <v>2.094120988137171</v>
      </c>
      <c r="E325" s="22">
        <v>119062855.96832485</v>
      </c>
      <c r="F325" s="23">
        <v>1.6165425080862341</v>
      </c>
      <c r="G325" s="22">
        <v>82853401.161095187</v>
      </c>
      <c r="H325" s="23">
        <v>0.47757848005093684</v>
      </c>
      <c r="I325" s="23">
        <f t="shared" si="17"/>
        <v>173486462.69040081</v>
      </c>
      <c r="J325" s="4">
        <f t="shared" si="16"/>
        <v>14327354.401528105</v>
      </c>
      <c r="L325" s="22"/>
      <c r="M325" s="22"/>
      <c r="N325" s="19"/>
    </row>
    <row r="326" spans="2:14" ht="11.1" customHeight="1" x14ac:dyDescent="0.3">
      <c r="B326" s="19">
        <v>319</v>
      </c>
      <c r="C326" s="22">
        <v>202014874.73754933</v>
      </c>
      <c r="D326" s="23">
        <v>2.496840836121986</v>
      </c>
      <c r="E326" s="22">
        <v>118590875.05139269</v>
      </c>
      <c r="F326" s="23">
        <v>2.0159491093383104</v>
      </c>
      <c r="G326" s="22">
        <v>83423999.686156645</v>
      </c>
      <c r="H326" s="23">
        <v>0.48089172678367564</v>
      </c>
      <c r="I326" s="23">
        <f t="shared" si="17"/>
        <v>173477718.662613</v>
      </c>
      <c r="J326" s="4">
        <f t="shared" si="16"/>
        <v>14426751.803510269</v>
      </c>
      <c r="L326" s="22"/>
      <c r="M326" s="22"/>
      <c r="N326" s="19"/>
    </row>
    <row r="327" spans="2:14" ht="11.1" customHeight="1" x14ac:dyDescent="0.3">
      <c r="B327" s="19">
        <v>320</v>
      </c>
      <c r="C327" s="22">
        <v>203301379.72867823</v>
      </c>
      <c r="D327" s="23">
        <v>1.8879006738900628</v>
      </c>
      <c r="E327" s="22">
        <v>120020074.18031122</v>
      </c>
      <c r="F327" s="23">
        <v>1.4164623303592876</v>
      </c>
      <c r="G327" s="22">
        <v>83281305.548367009</v>
      </c>
      <c r="H327" s="23">
        <v>0.47143834353077518</v>
      </c>
      <c r="I327" s="23">
        <f t="shared" si="17"/>
        <v>176653652.99869898</v>
      </c>
      <c r="J327" s="4">
        <f t="shared" si="16"/>
        <v>14143150.305923255</v>
      </c>
      <c r="L327" s="22"/>
      <c r="M327" s="22"/>
      <c r="N327" s="19"/>
    </row>
    <row r="328" spans="2:14" ht="11.1" customHeight="1" x14ac:dyDescent="0.3">
      <c r="B328" s="19">
        <v>321</v>
      </c>
      <c r="C328" s="22">
        <v>204151175.35831395</v>
      </c>
      <c r="D328" s="23">
        <v>1.79465666066014</v>
      </c>
      <c r="E328" s="22">
        <v>121032880.85710607</v>
      </c>
      <c r="F328" s="23">
        <v>1.361394567748581</v>
      </c>
      <c r="G328" s="22">
        <v>83118294.501207873</v>
      </c>
      <c r="H328" s="23">
        <v>0.43326209291155893</v>
      </c>
      <c r="I328" s="23">
        <f t="shared" si="17"/>
        <v>191842988.0228979</v>
      </c>
      <c r="J328" s="4">
        <f t="shared" ref="J328:J391" si="20">threshold*H328</f>
        <v>12997862.787346767</v>
      </c>
      <c r="L328" s="22"/>
      <c r="M328" s="22"/>
      <c r="N328" s="19"/>
    </row>
    <row r="329" spans="2:14" ht="11.1" customHeight="1" x14ac:dyDescent="0.3">
      <c r="B329" s="19">
        <v>322</v>
      </c>
      <c r="C329" s="22">
        <v>200647278.76521087</v>
      </c>
      <c r="D329" s="23">
        <v>1.8991545192750805</v>
      </c>
      <c r="E329" s="22">
        <v>117486904.73484921</v>
      </c>
      <c r="F329" s="23">
        <v>1.4452650061800574</v>
      </c>
      <c r="G329" s="22">
        <v>83160374.030361652</v>
      </c>
      <c r="H329" s="23">
        <v>0.45388951309502312</v>
      </c>
      <c r="I329" s="23">
        <f t="shared" ref="I329:I392" si="21">G329/H329</f>
        <v>183217218.35629144</v>
      </c>
      <c r="J329" s="4">
        <f t="shared" si="20"/>
        <v>13616685.392850693</v>
      </c>
      <c r="L329" s="22"/>
      <c r="M329" s="22"/>
      <c r="N329" s="19"/>
    </row>
    <row r="330" spans="2:14" ht="11.1" customHeight="1" x14ac:dyDescent="0.3">
      <c r="B330" s="19">
        <v>323</v>
      </c>
      <c r="C330" s="22">
        <v>202629896.22616976</v>
      </c>
      <c r="D330" s="23">
        <v>1.9703748454341361</v>
      </c>
      <c r="E330" s="22">
        <v>119806462.04686321</v>
      </c>
      <c r="F330" s="23">
        <v>1.5107424739757387</v>
      </c>
      <c r="G330" s="22">
        <v>82823434.179306552</v>
      </c>
      <c r="H330" s="23">
        <v>0.45963237145839742</v>
      </c>
      <c r="I330" s="23">
        <f t="shared" si="21"/>
        <v>180194954.32079923</v>
      </c>
      <c r="J330" s="4">
        <f t="shared" si="20"/>
        <v>13788971.143751923</v>
      </c>
      <c r="L330" s="22"/>
      <c r="M330" s="22"/>
      <c r="N330" s="19"/>
    </row>
    <row r="331" spans="2:14" ht="11.1" customHeight="1" x14ac:dyDescent="0.3">
      <c r="B331" s="19">
        <v>324</v>
      </c>
      <c r="C331" s="22">
        <v>200534629.4227818</v>
      </c>
      <c r="D331" s="23">
        <v>2.1759468465126899</v>
      </c>
      <c r="E331" s="22">
        <v>117440641.70449392</v>
      </c>
      <c r="F331" s="23">
        <v>1.7786027786415231</v>
      </c>
      <c r="G331" s="22">
        <v>83093987.71828787</v>
      </c>
      <c r="H331" s="23">
        <v>0.39734406787116683</v>
      </c>
      <c r="I331" s="23">
        <f t="shared" si="21"/>
        <v>209123513.94467002</v>
      </c>
      <c r="J331" s="4">
        <f t="shared" si="20"/>
        <v>11920322.036135005</v>
      </c>
      <c r="L331" s="22"/>
      <c r="M331" s="22"/>
      <c r="N331" s="19"/>
    </row>
    <row r="332" spans="2:14" ht="11.1" customHeight="1" x14ac:dyDescent="0.3">
      <c r="B332" s="19">
        <v>325</v>
      </c>
      <c r="C332" s="22">
        <v>201902665.48715129</v>
      </c>
      <c r="D332" s="23">
        <v>1.9184033027197696</v>
      </c>
      <c r="E332" s="22">
        <v>118964813.51832666</v>
      </c>
      <c r="F332" s="23">
        <v>1.4686744276983219</v>
      </c>
      <c r="G332" s="22">
        <v>82937851.96882464</v>
      </c>
      <c r="H332" s="23">
        <v>0.44972887502144765</v>
      </c>
      <c r="I332" s="23">
        <f t="shared" si="21"/>
        <v>184417449.21286035</v>
      </c>
      <c r="J332" s="4">
        <f t="shared" si="20"/>
        <v>13491866.25064343</v>
      </c>
      <c r="L332" s="22"/>
      <c r="M332" s="22"/>
      <c r="N332" s="19"/>
    </row>
    <row r="333" spans="2:14" ht="11.1" customHeight="1" x14ac:dyDescent="0.3">
      <c r="B333" s="19">
        <v>326</v>
      </c>
      <c r="C333" s="22">
        <v>202875709.19472089</v>
      </c>
      <c r="D333" s="23">
        <v>1.7784616338111867</v>
      </c>
      <c r="E333" s="22">
        <v>119752576.19035996</v>
      </c>
      <c r="F333" s="23">
        <v>1.3174770202560901</v>
      </c>
      <c r="G333" s="22">
        <v>83123133.004360929</v>
      </c>
      <c r="H333" s="23">
        <v>0.46098461355509657</v>
      </c>
      <c r="I333" s="23">
        <f t="shared" si="21"/>
        <v>180316502.0266476</v>
      </c>
      <c r="J333" s="4">
        <f t="shared" si="20"/>
        <v>13829538.406652898</v>
      </c>
      <c r="L333" s="22"/>
      <c r="M333" s="22"/>
      <c r="N333" s="19"/>
    </row>
    <row r="334" spans="2:14" ht="11.1" customHeight="1" x14ac:dyDescent="0.3">
      <c r="B334" s="19">
        <v>327</v>
      </c>
      <c r="C334" s="22">
        <v>205801380.36562502</v>
      </c>
      <c r="D334" s="23">
        <v>1.9155173902994465</v>
      </c>
      <c r="E334" s="22">
        <v>122489373.57125193</v>
      </c>
      <c r="F334" s="23">
        <v>1.4553065443370869</v>
      </c>
      <c r="G334" s="22">
        <v>83312006.794373095</v>
      </c>
      <c r="H334" s="23">
        <v>0.4602108459623595</v>
      </c>
      <c r="I334" s="23">
        <f t="shared" si="21"/>
        <v>181030081.15803328</v>
      </c>
      <c r="J334" s="4">
        <f t="shared" si="20"/>
        <v>13806325.378870785</v>
      </c>
      <c r="L334" s="22"/>
      <c r="M334" s="22"/>
      <c r="N334" s="19"/>
    </row>
    <row r="335" spans="2:14" ht="11.1" customHeight="1" x14ac:dyDescent="0.3">
      <c r="B335" s="19">
        <v>328</v>
      </c>
      <c r="C335" s="22">
        <v>203463906.31715995</v>
      </c>
      <c r="D335" s="23">
        <v>2.3927674126079439</v>
      </c>
      <c r="E335" s="22">
        <v>120595436.74217348</v>
      </c>
      <c r="F335" s="23">
        <v>1.9207617866162612</v>
      </c>
      <c r="G335" s="22">
        <v>82868469.574986473</v>
      </c>
      <c r="H335" s="23">
        <v>0.47200562599168272</v>
      </c>
      <c r="I335" s="23">
        <f t="shared" si="21"/>
        <v>175566698.80974409</v>
      </c>
      <c r="J335" s="4">
        <f t="shared" si="20"/>
        <v>14160168.779750481</v>
      </c>
      <c r="L335" s="22"/>
      <c r="M335" s="22"/>
      <c r="N335" s="19"/>
    </row>
    <row r="336" spans="2:14" ht="11.1" customHeight="1" x14ac:dyDescent="0.3">
      <c r="B336" s="19">
        <v>329</v>
      </c>
      <c r="C336" s="22">
        <v>200851057.94110981</v>
      </c>
      <c r="D336" s="23">
        <v>2.0405769558890383</v>
      </c>
      <c r="E336" s="22">
        <v>117274392.35991085</v>
      </c>
      <c r="F336" s="23">
        <v>1.5921157665147954</v>
      </c>
      <c r="G336" s="22">
        <v>83576665.581198961</v>
      </c>
      <c r="H336" s="23">
        <v>0.44846118937424295</v>
      </c>
      <c r="I336" s="23">
        <f t="shared" si="21"/>
        <v>186363207.25505155</v>
      </c>
      <c r="J336" s="4">
        <f t="shared" si="20"/>
        <v>13453835.681227289</v>
      </c>
      <c r="L336" s="22"/>
      <c r="M336" s="22"/>
      <c r="N336" s="19"/>
    </row>
    <row r="337" spans="2:14" ht="11.1" customHeight="1" x14ac:dyDescent="0.3">
      <c r="B337" s="19">
        <v>330</v>
      </c>
      <c r="C337" s="22">
        <v>201362321.22067383</v>
      </c>
      <c r="D337" s="23">
        <v>1.9169607031868459</v>
      </c>
      <c r="E337" s="22">
        <v>118417731.03243248</v>
      </c>
      <c r="F337" s="23">
        <v>1.4833631160117295</v>
      </c>
      <c r="G337" s="22">
        <v>82944590.188241348</v>
      </c>
      <c r="H337" s="23">
        <v>0.43359758717511632</v>
      </c>
      <c r="I337" s="23">
        <f t="shared" si="21"/>
        <v>191293938.53094172</v>
      </c>
      <c r="J337" s="4">
        <f t="shared" si="20"/>
        <v>13007927.615253489</v>
      </c>
      <c r="L337" s="22"/>
      <c r="M337" s="22"/>
      <c r="N337" s="19"/>
    </row>
    <row r="338" spans="2:14" ht="11.1" customHeight="1" x14ac:dyDescent="0.3">
      <c r="B338" s="19">
        <v>331</v>
      </c>
      <c r="C338" s="22">
        <v>201370843.96140215</v>
      </c>
      <c r="D338" s="23">
        <v>2.1602201661786613</v>
      </c>
      <c r="E338" s="22">
        <v>118251504.84251809</v>
      </c>
      <c r="F338" s="23">
        <v>1.6719270157771249</v>
      </c>
      <c r="G338" s="22">
        <v>83119339.118884057</v>
      </c>
      <c r="H338" s="23">
        <v>0.48829315040153642</v>
      </c>
      <c r="I338" s="23">
        <f t="shared" si="21"/>
        <v>170224257.80605936</v>
      </c>
      <c r="J338" s="4">
        <f t="shared" si="20"/>
        <v>14648794.512046093</v>
      </c>
      <c r="L338" s="22"/>
      <c r="M338" s="22"/>
      <c r="N338" s="19"/>
    </row>
    <row r="339" spans="2:14" ht="11.1" customHeight="1" x14ac:dyDescent="0.3">
      <c r="B339" s="19">
        <v>332</v>
      </c>
      <c r="C339" s="22">
        <v>202109370.66864452</v>
      </c>
      <c r="D339" s="23">
        <v>1.9163641920595256</v>
      </c>
      <c r="E339" s="22">
        <v>119081713.70884372</v>
      </c>
      <c r="F339" s="23">
        <v>1.4434980607773706</v>
      </c>
      <c r="G339" s="22">
        <v>83027656.959800795</v>
      </c>
      <c r="H339" s="23">
        <v>0.47286613128215493</v>
      </c>
      <c r="I339" s="23">
        <f t="shared" si="21"/>
        <v>175583852.31497779</v>
      </c>
      <c r="J339" s="4">
        <f t="shared" si="20"/>
        <v>14185983.938464647</v>
      </c>
      <c r="L339" s="22"/>
      <c r="M339" s="22"/>
      <c r="N339" s="19"/>
    </row>
    <row r="340" spans="2:14" ht="11.1" customHeight="1" x14ac:dyDescent="0.3">
      <c r="B340" s="19">
        <v>333</v>
      </c>
      <c r="C340" s="22">
        <v>201355073.39012712</v>
      </c>
      <c r="D340" s="23">
        <v>1.9762065048259003</v>
      </c>
      <c r="E340" s="22">
        <v>118464728.79051912</v>
      </c>
      <c r="F340" s="23">
        <v>1.5343511060218595</v>
      </c>
      <c r="G340" s="22">
        <v>82890344.599608004</v>
      </c>
      <c r="H340" s="23">
        <v>0.44185539880404079</v>
      </c>
      <c r="I340" s="23">
        <f t="shared" si="21"/>
        <v>187596088.72940168</v>
      </c>
      <c r="J340" s="4">
        <f t="shared" si="20"/>
        <v>13255661.964121224</v>
      </c>
      <c r="L340" s="22"/>
      <c r="M340" s="22"/>
      <c r="N340" s="19"/>
    </row>
    <row r="341" spans="2:14" ht="11.1" customHeight="1" x14ac:dyDescent="0.3">
      <c r="B341" s="19">
        <v>334</v>
      </c>
      <c r="C341" s="22">
        <v>201369858.34510455</v>
      </c>
      <c r="D341" s="23">
        <v>2.1299445952545288</v>
      </c>
      <c r="E341" s="22">
        <v>118632775.34538382</v>
      </c>
      <c r="F341" s="23">
        <v>1.6684075622386954</v>
      </c>
      <c r="G341" s="22">
        <v>82737082.999720722</v>
      </c>
      <c r="H341" s="23">
        <v>0.46153703301583349</v>
      </c>
      <c r="I341" s="23">
        <f t="shared" si="21"/>
        <v>179264234.67926213</v>
      </c>
      <c r="J341" s="4">
        <f t="shared" si="20"/>
        <v>13846110.990475005</v>
      </c>
      <c r="L341" s="22"/>
      <c r="M341" s="22"/>
      <c r="N341" s="19"/>
    </row>
    <row r="342" spans="2:14" ht="11.1" customHeight="1" x14ac:dyDescent="0.3">
      <c r="B342" s="19">
        <v>335</v>
      </c>
      <c r="C342" s="22">
        <v>201022532.0688341</v>
      </c>
      <c r="D342" s="23">
        <v>2.0921970781182115</v>
      </c>
      <c r="E342" s="22">
        <v>118083706.83767954</v>
      </c>
      <c r="F342" s="23">
        <v>1.6247333954006082</v>
      </c>
      <c r="G342" s="22">
        <v>82938825.231154561</v>
      </c>
      <c r="H342" s="23">
        <v>0.4674636827176033</v>
      </c>
      <c r="I342" s="23">
        <f t="shared" si="21"/>
        <v>177423034.76708424</v>
      </c>
      <c r="J342" s="4">
        <f t="shared" si="20"/>
        <v>14023910.4815281</v>
      </c>
      <c r="L342" s="22"/>
      <c r="M342" s="22"/>
      <c r="N342" s="19"/>
    </row>
    <row r="343" spans="2:14" ht="11.1" customHeight="1" x14ac:dyDescent="0.3">
      <c r="B343" s="19">
        <v>336</v>
      </c>
      <c r="C343" s="22">
        <v>202627667.36524892</v>
      </c>
      <c r="D343" s="23">
        <v>1.9325152805724388</v>
      </c>
      <c r="E343" s="22">
        <v>119721024.50277396</v>
      </c>
      <c r="F343" s="23">
        <v>1.4780893529379131</v>
      </c>
      <c r="G343" s="22">
        <v>82906642.862474963</v>
      </c>
      <c r="H343" s="23">
        <v>0.45442592763452572</v>
      </c>
      <c r="I343" s="23">
        <f t="shared" si="21"/>
        <v>182442589.25549915</v>
      </c>
      <c r="J343" s="4">
        <f t="shared" si="20"/>
        <v>13632777.829035772</v>
      </c>
      <c r="L343" s="22"/>
      <c r="M343" s="22"/>
      <c r="N343" s="19"/>
    </row>
    <row r="344" spans="2:14" ht="11.1" customHeight="1" x14ac:dyDescent="0.3">
      <c r="B344" s="19">
        <v>337</v>
      </c>
      <c r="C344" s="22">
        <v>202265396.5782539</v>
      </c>
      <c r="D344" s="23">
        <v>1.7588037631086599</v>
      </c>
      <c r="E344" s="22">
        <v>119426095.42060827</v>
      </c>
      <c r="F344" s="23">
        <v>1.3399581177228579</v>
      </c>
      <c r="G344" s="22">
        <v>82839301.157645628</v>
      </c>
      <c r="H344" s="23">
        <v>0.41884564538580205</v>
      </c>
      <c r="I344" s="23">
        <f t="shared" si="21"/>
        <v>197780022.4742499</v>
      </c>
      <c r="J344" s="4">
        <f t="shared" si="20"/>
        <v>12565369.361574061</v>
      </c>
      <c r="L344" s="22"/>
      <c r="M344" s="22"/>
      <c r="N344" s="19"/>
    </row>
    <row r="345" spans="2:14" ht="11.1" customHeight="1" x14ac:dyDescent="0.3">
      <c r="B345" s="19">
        <v>338</v>
      </c>
      <c r="C345" s="22">
        <v>200851151.40564701</v>
      </c>
      <c r="D345" s="23">
        <v>2.2057055409038218</v>
      </c>
      <c r="E345" s="22">
        <v>117603129.49134158</v>
      </c>
      <c r="F345" s="23">
        <v>1.745373585410233</v>
      </c>
      <c r="G345" s="22">
        <v>83248021.914305434</v>
      </c>
      <c r="H345" s="23">
        <v>0.46033195549358874</v>
      </c>
      <c r="I345" s="23">
        <f t="shared" si="21"/>
        <v>180843456.38147831</v>
      </c>
      <c r="J345" s="4">
        <f t="shared" si="20"/>
        <v>13809958.664807662</v>
      </c>
      <c r="L345" s="22"/>
      <c r="M345" s="22"/>
      <c r="N345" s="19"/>
    </row>
    <row r="346" spans="2:14" ht="11.1" customHeight="1" x14ac:dyDescent="0.3">
      <c r="B346" s="19">
        <v>339</v>
      </c>
      <c r="C346" s="22">
        <v>204312829.72753748</v>
      </c>
      <c r="D346" s="23">
        <v>1.9494190729620635</v>
      </c>
      <c r="E346" s="22">
        <v>121561965.01253609</v>
      </c>
      <c r="F346" s="23">
        <v>1.4876282598085488</v>
      </c>
      <c r="G346" s="22">
        <v>82750864.715001389</v>
      </c>
      <c r="H346" s="23">
        <v>0.46179081315351467</v>
      </c>
      <c r="I346" s="23">
        <f t="shared" si="21"/>
        <v>179195562.9214569</v>
      </c>
      <c r="J346" s="4">
        <f t="shared" si="20"/>
        <v>13853724.394605439</v>
      </c>
      <c r="L346" s="22"/>
      <c r="M346" s="22"/>
      <c r="N346" s="19"/>
    </row>
    <row r="347" spans="2:14" ht="11.1" customHeight="1" x14ac:dyDescent="0.3">
      <c r="B347" s="19">
        <v>340</v>
      </c>
      <c r="C347" s="22">
        <v>203275240.11750063</v>
      </c>
      <c r="D347" s="23">
        <v>1.890151337751959</v>
      </c>
      <c r="E347" s="22">
        <v>120449667.44175179</v>
      </c>
      <c r="F347" s="23">
        <v>1.4558326272098256</v>
      </c>
      <c r="G347" s="22">
        <v>82825572.67574884</v>
      </c>
      <c r="H347" s="23">
        <v>0.43431871054213333</v>
      </c>
      <c r="I347" s="23">
        <f t="shared" si="21"/>
        <v>190702289.96665323</v>
      </c>
      <c r="J347" s="4">
        <f t="shared" si="20"/>
        <v>13029561.316264</v>
      </c>
      <c r="L347" s="22"/>
      <c r="M347" s="22"/>
      <c r="N347" s="19"/>
    </row>
    <row r="348" spans="2:14" ht="11.1" customHeight="1" x14ac:dyDescent="0.3">
      <c r="B348" s="19">
        <v>341</v>
      </c>
      <c r="C348" s="22">
        <v>201389630.90039781</v>
      </c>
      <c r="D348" s="23">
        <v>2.2299389650230901</v>
      </c>
      <c r="E348" s="22">
        <v>118516086.99470764</v>
      </c>
      <c r="F348" s="23">
        <v>1.7705343227800503</v>
      </c>
      <c r="G348" s="22">
        <v>82873543.905690163</v>
      </c>
      <c r="H348" s="23">
        <v>0.45940464224303978</v>
      </c>
      <c r="I348" s="23">
        <f t="shared" si="21"/>
        <v>180393353.23443988</v>
      </c>
      <c r="J348" s="4">
        <f t="shared" si="20"/>
        <v>13782139.267291194</v>
      </c>
      <c r="L348" s="22"/>
      <c r="M348" s="22"/>
      <c r="N348" s="19"/>
    </row>
    <row r="349" spans="2:14" ht="11.1" customHeight="1" x14ac:dyDescent="0.3">
      <c r="B349" s="19">
        <v>342</v>
      </c>
      <c r="C349" s="22">
        <v>202812187.10653946</v>
      </c>
      <c r="D349" s="23">
        <v>1.8920138756739673</v>
      </c>
      <c r="E349" s="22">
        <v>120282933.75412112</v>
      </c>
      <c r="F349" s="23">
        <v>1.433048717977139</v>
      </c>
      <c r="G349" s="22">
        <v>82529253.352418333</v>
      </c>
      <c r="H349" s="23">
        <v>0.45896515769682833</v>
      </c>
      <c r="I349" s="23">
        <f t="shared" si="21"/>
        <v>179815944.56225243</v>
      </c>
      <c r="J349" s="4">
        <f t="shared" si="20"/>
        <v>13768954.730904849</v>
      </c>
      <c r="L349" s="22"/>
      <c r="M349" s="22"/>
      <c r="N349" s="19"/>
    </row>
    <row r="350" spans="2:14" ht="11.1" customHeight="1" x14ac:dyDescent="0.3">
      <c r="B350" s="19">
        <v>343</v>
      </c>
      <c r="C350" s="22">
        <v>201547352.75208926</v>
      </c>
      <c r="D350" s="23">
        <v>2.2553823013083845</v>
      </c>
      <c r="E350" s="22">
        <v>118652252.86944616</v>
      </c>
      <c r="F350" s="23">
        <v>1.7573281144395052</v>
      </c>
      <c r="G350" s="22">
        <v>82895099.882643104</v>
      </c>
      <c r="H350" s="23">
        <v>0.49805418686887926</v>
      </c>
      <c r="I350" s="23">
        <f t="shared" si="21"/>
        <v>166437913.9221383</v>
      </c>
      <c r="J350" s="4">
        <f t="shared" si="20"/>
        <v>14941625.606066378</v>
      </c>
      <c r="L350" s="22"/>
      <c r="M350" s="22"/>
      <c r="N350" s="19"/>
    </row>
    <row r="351" spans="2:14" ht="11.1" customHeight="1" x14ac:dyDescent="0.3">
      <c r="B351" s="19">
        <v>344</v>
      </c>
      <c r="C351" s="22">
        <v>203495934.7647973</v>
      </c>
      <c r="D351" s="23">
        <v>1.8507932654007972</v>
      </c>
      <c r="E351" s="22">
        <v>120399107.7401831</v>
      </c>
      <c r="F351" s="23">
        <v>1.3968131402744877</v>
      </c>
      <c r="G351" s="22">
        <v>83096827.0246142</v>
      </c>
      <c r="H351" s="23">
        <v>0.45398012512630959</v>
      </c>
      <c r="I351" s="23">
        <f t="shared" si="21"/>
        <v>183040671.66265133</v>
      </c>
      <c r="J351" s="4">
        <f t="shared" si="20"/>
        <v>13619403.753789287</v>
      </c>
      <c r="L351" s="22"/>
      <c r="M351" s="22"/>
      <c r="N351" s="19"/>
    </row>
    <row r="352" spans="2:14" ht="11.1" customHeight="1" x14ac:dyDescent="0.3">
      <c r="B352" s="19">
        <v>345</v>
      </c>
      <c r="C352" s="22">
        <v>201193892.72129813</v>
      </c>
      <c r="D352" s="23">
        <v>1.9688876989605752</v>
      </c>
      <c r="E352" s="22">
        <v>118253675.75932531</v>
      </c>
      <c r="F352" s="23">
        <v>1.5309809720084164</v>
      </c>
      <c r="G352" s="22">
        <v>82940216.961972818</v>
      </c>
      <c r="H352" s="23">
        <v>0.43790672695215882</v>
      </c>
      <c r="I352" s="23">
        <f t="shared" si="21"/>
        <v>189401559.41252306</v>
      </c>
      <c r="J352" s="4">
        <f t="shared" si="20"/>
        <v>13137201.808564765</v>
      </c>
      <c r="L352" s="22"/>
      <c r="M352" s="22"/>
      <c r="N352" s="19"/>
    </row>
    <row r="353" spans="2:14" ht="11.1" customHeight="1" x14ac:dyDescent="0.3">
      <c r="B353" s="19">
        <v>346</v>
      </c>
      <c r="C353" s="22">
        <v>201976267.1062966</v>
      </c>
      <c r="D353" s="23">
        <v>1.9491765973215056</v>
      </c>
      <c r="E353" s="22">
        <v>119133231.37660672</v>
      </c>
      <c r="F353" s="23">
        <v>1.4769475336373035</v>
      </c>
      <c r="G353" s="22">
        <v>82843035.729689881</v>
      </c>
      <c r="H353" s="23">
        <v>0.47222906368420214</v>
      </c>
      <c r="I353" s="23">
        <f t="shared" si="21"/>
        <v>175429769.36525497</v>
      </c>
      <c r="J353" s="4">
        <f t="shared" si="20"/>
        <v>14166871.910526065</v>
      </c>
      <c r="L353" s="22"/>
      <c r="M353" s="22"/>
      <c r="N353" s="19"/>
    </row>
    <row r="354" spans="2:14" ht="11.1" customHeight="1" x14ac:dyDescent="0.3">
      <c r="B354" s="19">
        <v>347</v>
      </c>
      <c r="C354" s="22">
        <v>203263993.5859094</v>
      </c>
      <c r="D354" s="23">
        <v>2.0491566309017699</v>
      </c>
      <c r="E354" s="22">
        <v>120407666.87245628</v>
      </c>
      <c r="F354" s="23">
        <v>1.562976020226196</v>
      </c>
      <c r="G354" s="22">
        <v>82856326.713453114</v>
      </c>
      <c r="H354" s="23">
        <v>0.48618061067557394</v>
      </c>
      <c r="I354" s="23">
        <f t="shared" si="21"/>
        <v>170422935.20985919</v>
      </c>
      <c r="J354" s="4">
        <f t="shared" si="20"/>
        <v>14585418.320267219</v>
      </c>
      <c r="L354" s="22"/>
      <c r="M354" s="22"/>
      <c r="N354" s="19"/>
    </row>
    <row r="355" spans="2:14" ht="11.1" customHeight="1" x14ac:dyDescent="0.3">
      <c r="B355" s="19">
        <v>348</v>
      </c>
      <c r="C355" s="22">
        <v>201768594.78199011</v>
      </c>
      <c r="D355" s="23">
        <v>2.0388191472364876</v>
      </c>
      <c r="E355" s="22">
        <v>118496116.57626696</v>
      </c>
      <c r="F355" s="23">
        <v>1.5754021472760995</v>
      </c>
      <c r="G355" s="22">
        <v>83272478.205723152</v>
      </c>
      <c r="H355" s="23">
        <v>0.4634169999603881</v>
      </c>
      <c r="I355" s="23">
        <f t="shared" si="21"/>
        <v>179692325.08268172</v>
      </c>
      <c r="J355" s="4">
        <f t="shared" si="20"/>
        <v>13902509.998811644</v>
      </c>
      <c r="L355" s="22"/>
      <c r="M355" s="22"/>
      <c r="N355" s="19"/>
    </row>
    <row r="356" spans="2:14" ht="11.1" customHeight="1" x14ac:dyDescent="0.3">
      <c r="B356" s="19">
        <v>349</v>
      </c>
      <c r="C356" s="22">
        <v>202012230.6030089</v>
      </c>
      <c r="D356" s="23">
        <v>1.8536213545988267</v>
      </c>
      <c r="E356" s="22">
        <v>118671822.03968164</v>
      </c>
      <c r="F356" s="23">
        <v>1.4071615820102779</v>
      </c>
      <c r="G356" s="22">
        <v>83340408.563327253</v>
      </c>
      <c r="H356" s="23">
        <v>0.44645977258854885</v>
      </c>
      <c r="I356" s="23">
        <f t="shared" si="21"/>
        <v>186669468.74098918</v>
      </c>
      <c r="J356" s="4">
        <f t="shared" si="20"/>
        <v>13393793.177656466</v>
      </c>
      <c r="L356" s="22"/>
      <c r="M356" s="22"/>
      <c r="N356" s="19"/>
    </row>
    <row r="357" spans="2:14" ht="11.1" customHeight="1" x14ac:dyDescent="0.3">
      <c r="B357" s="19">
        <v>350</v>
      </c>
      <c r="C357" s="22">
        <v>202043497.49922135</v>
      </c>
      <c r="D357" s="23">
        <v>2.0567511342790086</v>
      </c>
      <c r="E357" s="22">
        <v>119062920.97525473</v>
      </c>
      <c r="F357" s="23">
        <v>1.5963065520680955</v>
      </c>
      <c r="G357" s="22">
        <v>82980576.523966625</v>
      </c>
      <c r="H357" s="23">
        <v>0.46044458221091311</v>
      </c>
      <c r="I357" s="23">
        <f t="shared" si="21"/>
        <v>180218379.64846811</v>
      </c>
      <c r="J357" s="4">
        <f t="shared" si="20"/>
        <v>13813337.466327393</v>
      </c>
      <c r="L357" s="22"/>
      <c r="M357" s="22"/>
      <c r="N357" s="19"/>
    </row>
    <row r="358" spans="2:14" ht="11.1" customHeight="1" x14ac:dyDescent="0.3">
      <c r="B358" s="19">
        <v>351</v>
      </c>
      <c r="C358" s="22">
        <v>202822578.7358011</v>
      </c>
      <c r="D358" s="23">
        <v>2.2439207374578958</v>
      </c>
      <c r="E358" s="22">
        <v>119877762.59797703</v>
      </c>
      <c r="F358" s="23">
        <v>1.762007270453493</v>
      </c>
      <c r="G358" s="22">
        <v>82944816.137824073</v>
      </c>
      <c r="H358" s="23">
        <v>0.48191346700440274</v>
      </c>
      <c r="I358" s="23">
        <f t="shared" si="21"/>
        <v>172115580.52820775</v>
      </c>
      <c r="J358" s="4">
        <f t="shared" si="20"/>
        <v>14457404.010132082</v>
      </c>
      <c r="L358" s="22"/>
      <c r="M358" s="22"/>
      <c r="N358" s="19"/>
    </row>
    <row r="359" spans="2:14" ht="11.1" customHeight="1" x14ac:dyDescent="0.3">
      <c r="B359" s="19">
        <v>352</v>
      </c>
      <c r="C359" s="22">
        <v>202064233.16970235</v>
      </c>
      <c r="D359" s="23">
        <v>2.2061257349930803</v>
      </c>
      <c r="E359" s="22">
        <v>119254595.73934036</v>
      </c>
      <c r="F359" s="23">
        <v>1.7645643506755382</v>
      </c>
      <c r="G359" s="22">
        <v>82809637.430361986</v>
      </c>
      <c r="H359" s="23">
        <v>0.4415613843175421</v>
      </c>
      <c r="I359" s="23">
        <f t="shared" si="21"/>
        <v>187538223.15859646</v>
      </c>
      <c r="J359" s="4">
        <f t="shared" si="20"/>
        <v>13246841.529526263</v>
      </c>
      <c r="L359" s="22"/>
      <c r="M359" s="22"/>
      <c r="N359" s="19"/>
    </row>
    <row r="360" spans="2:14" ht="11.1" customHeight="1" x14ac:dyDescent="0.3">
      <c r="B360" s="19">
        <v>353</v>
      </c>
      <c r="C360" s="22">
        <v>202449265.07853067</v>
      </c>
      <c r="D360" s="23">
        <v>2.3040799852301386</v>
      </c>
      <c r="E360" s="22">
        <v>119419291.21436976</v>
      </c>
      <c r="F360" s="23">
        <v>1.8249605676465388</v>
      </c>
      <c r="G360" s="22">
        <v>83029973.86416091</v>
      </c>
      <c r="H360" s="23">
        <v>0.47911941758359977</v>
      </c>
      <c r="I360" s="23">
        <f t="shared" si="21"/>
        <v>173297033.71847442</v>
      </c>
      <c r="J360" s="4">
        <f t="shared" si="20"/>
        <v>14373582.527507992</v>
      </c>
      <c r="L360" s="22"/>
      <c r="M360" s="22"/>
      <c r="N360" s="19"/>
    </row>
    <row r="361" spans="2:14" ht="11.1" customHeight="1" x14ac:dyDescent="0.3">
      <c r="B361" s="19">
        <v>354</v>
      </c>
      <c r="C361" s="22">
        <v>199380315.92608973</v>
      </c>
      <c r="D361" s="23">
        <v>2.0966708636855151</v>
      </c>
      <c r="E361" s="22">
        <v>116380104.10478897</v>
      </c>
      <c r="F361" s="23">
        <v>1.6511735831151562</v>
      </c>
      <c r="G361" s="22">
        <v>83000211.82130076</v>
      </c>
      <c r="H361" s="23">
        <v>0.44549728057035898</v>
      </c>
      <c r="I361" s="23">
        <f t="shared" si="21"/>
        <v>186309132.38131931</v>
      </c>
      <c r="J361" s="4">
        <f t="shared" si="20"/>
        <v>13364918.417110769</v>
      </c>
      <c r="L361" s="22"/>
      <c r="M361" s="22"/>
      <c r="N361" s="19"/>
    </row>
    <row r="362" spans="2:14" ht="11.1" customHeight="1" x14ac:dyDescent="0.3">
      <c r="B362" s="19">
        <v>355</v>
      </c>
      <c r="C362" s="22">
        <v>199904668.54684433</v>
      </c>
      <c r="D362" s="23">
        <v>2.0608777149146196</v>
      </c>
      <c r="E362" s="22">
        <v>116541956.98679252</v>
      </c>
      <c r="F362" s="23">
        <v>1.6104599193998708</v>
      </c>
      <c r="G362" s="22">
        <v>83362711.560051814</v>
      </c>
      <c r="H362" s="23">
        <v>0.45041779551474881</v>
      </c>
      <c r="I362" s="23">
        <f t="shared" si="21"/>
        <v>185078636.74609661</v>
      </c>
      <c r="J362" s="4">
        <f t="shared" si="20"/>
        <v>13512533.865442464</v>
      </c>
      <c r="L362" s="22"/>
      <c r="M362" s="22"/>
      <c r="N362" s="19"/>
    </row>
    <row r="363" spans="2:14" ht="11.1" customHeight="1" x14ac:dyDescent="0.3">
      <c r="B363" s="19">
        <v>356</v>
      </c>
      <c r="C363" s="22">
        <v>202406750.52479541</v>
      </c>
      <c r="D363" s="23">
        <v>2.1932676718434627</v>
      </c>
      <c r="E363" s="22">
        <v>119148721.44671573</v>
      </c>
      <c r="F363" s="23">
        <v>1.697998408167074</v>
      </c>
      <c r="G363" s="22">
        <v>83258029.078079686</v>
      </c>
      <c r="H363" s="23">
        <v>0.49526926367638868</v>
      </c>
      <c r="I363" s="23">
        <f t="shared" si="21"/>
        <v>168106594.09803569</v>
      </c>
      <c r="J363" s="4">
        <f t="shared" si="20"/>
        <v>14858077.910291661</v>
      </c>
      <c r="L363" s="22"/>
      <c r="M363" s="22"/>
      <c r="N363" s="19"/>
    </row>
    <row r="364" spans="2:14" ht="11.1" customHeight="1" x14ac:dyDescent="0.3">
      <c r="B364" s="19">
        <v>357</v>
      </c>
      <c r="C364" s="22">
        <v>201256541.27677384</v>
      </c>
      <c r="D364" s="23">
        <v>2.2129827655399068</v>
      </c>
      <c r="E364" s="22">
        <v>118616864.86663729</v>
      </c>
      <c r="F364" s="23">
        <v>1.7283640319987268</v>
      </c>
      <c r="G364" s="22">
        <v>82639676.410136551</v>
      </c>
      <c r="H364" s="23">
        <v>0.48461873354118001</v>
      </c>
      <c r="I364" s="23">
        <f t="shared" si="21"/>
        <v>170525137.99100655</v>
      </c>
      <c r="J364" s="4">
        <f t="shared" si="20"/>
        <v>14538562.0062354</v>
      </c>
      <c r="L364" s="22"/>
      <c r="M364" s="22"/>
      <c r="N364" s="19"/>
    </row>
    <row r="365" spans="2:14" ht="11.1" customHeight="1" x14ac:dyDescent="0.3">
      <c r="B365" s="19">
        <v>358</v>
      </c>
      <c r="C365" s="22">
        <v>201953444.46277896</v>
      </c>
      <c r="D365" s="23">
        <v>1.9018121898933553</v>
      </c>
      <c r="E365" s="22">
        <v>119036682.3128498</v>
      </c>
      <c r="F365" s="23">
        <v>1.4386913102630154</v>
      </c>
      <c r="G365" s="22">
        <v>82916762.149929151</v>
      </c>
      <c r="H365" s="23">
        <v>0.46312087963033988</v>
      </c>
      <c r="I365" s="23">
        <f t="shared" si="21"/>
        <v>179039135.99428466</v>
      </c>
      <c r="J365" s="4">
        <f t="shared" si="20"/>
        <v>13893626.388910197</v>
      </c>
      <c r="L365" s="22"/>
      <c r="M365" s="22"/>
      <c r="N365" s="19"/>
    </row>
    <row r="366" spans="2:14" ht="11.1" customHeight="1" x14ac:dyDescent="0.3">
      <c r="B366" s="19">
        <v>359</v>
      </c>
      <c r="C366" s="22">
        <v>199395260.26859719</v>
      </c>
      <c r="D366" s="23">
        <v>2.0792106141809641</v>
      </c>
      <c r="E366" s="22">
        <v>116669040.31569847</v>
      </c>
      <c r="F366" s="23">
        <v>1.5995242469965589</v>
      </c>
      <c r="G366" s="22">
        <v>82726219.952898711</v>
      </c>
      <c r="H366" s="23">
        <v>0.47968636718440516</v>
      </c>
      <c r="I366" s="23">
        <f t="shared" si="21"/>
        <v>172458976.55685592</v>
      </c>
      <c r="J366" s="4">
        <f t="shared" si="20"/>
        <v>14390591.015532155</v>
      </c>
      <c r="L366" s="22"/>
      <c r="M366" s="22"/>
      <c r="N366" s="19"/>
    </row>
    <row r="367" spans="2:14" ht="11.1" customHeight="1" x14ac:dyDescent="0.3">
      <c r="B367" s="19">
        <v>360</v>
      </c>
      <c r="C367" s="22">
        <v>199732728.16725361</v>
      </c>
      <c r="D367" s="23">
        <v>1.9919230119873494</v>
      </c>
      <c r="E367" s="22">
        <v>116562078.40322672</v>
      </c>
      <c r="F367" s="23">
        <v>1.5671484474850714</v>
      </c>
      <c r="G367" s="22">
        <v>83170649.764026895</v>
      </c>
      <c r="H367" s="23">
        <v>0.42477456450227802</v>
      </c>
      <c r="I367" s="23">
        <f t="shared" si="21"/>
        <v>195799505.70129031</v>
      </c>
      <c r="J367" s="4">
        <f t="shared" si="20"/>
        <v>12743236.935068341</v>
      </c>
      <c r="L367" s="22"/>
      <c r="M367" s="22"/>
      <c r="N367" s="19"/>
    </row>
    <row r="368" spans="2:14" ht="11.1" customHeight="1" x14ac:dyDescent="0.3">
      <c r="B368" s="19">
        <v>361</v>
      </c>
      <c r="C368" s="22">
        <v>201765789.45170826</v>
      </c>
      <c r="D368" s="23">
        <v>2.1042460130066774</v>
      </c>
      <c r="E368" s="22">
        <v>118625869.17000943</v>
      </c>
      <c r="F368" s="23">
        <v>1.6520653532657497</v>
      </c>
      <c r="G368" s="22">
        <v>83139920.281698823</v>
      </c>
      <c r="H368" s="23">
        <v>0.45218065974092769</v>
      </c>
      <c r="I368" s="23">
        <f t="shared" si="21"/>
        <v>183864388.02874276</v>
      </c>
      <c r="J368" s="4">
        <f t="shared" si="20"/>
        <v>13565419.792227831</v>
      </c>
      <c r="L368" s="22"/>
      <c r="M368" s="22"/>
      <c r="N368" s="19"/>
    </row>
    <row r="369" spans="2:14" ht="11.1" customHeight="1" x14ac:dyDescent="0.3">
      <c r="B369" s="19">
        <v>362</v>
      </c>
      <c r="C369" s="22">
        <v>201126950.40823188</v>
      </c>
      <c r="D369" s="23">
        <v>2.1961130224452292</v>
      </c>
      <c r="E369" s="22">
        <v>118188098.37159769</v>
      </c>
      <c r="F369" s="23">
        <v>1.7536707904771984</v>
      </c>
      <c r="G369" s="22">
        <v>82938852.036634192</v>
      </c>
      <c r="H369" s="23">
        <v>0.44244223196803079</v>
      </c>
      <c r="I369" s="23">
        <f t="shared" si="21"/>
        <v>187456906.33489761</v>
      </c>
      <c r="J369" s="4">
        <f t="shared" si="20"/>
        <v>13273266.959040923</v>
      </c>
      <c r="L369" s="22"/>
      <c r="M369" s="22"/>
      <c r="N369" s="19"/>
    </row>
    <row r="370" spans="2:14" ht="11.1" customHeight="1" x14ac:dyDescent="0.3">
      <c r="B370" s="19">
        <v>363</v>
      </c>
      <c r="C370" s="22">
        <v>202230464.67234927</v>
      </c>
      <c r="D370" s="23">
        <v>1.792880411945655</v>
      </c>
      <c r="E370" s="22">
        <v>119395415.63888271</v>
      </c>
      <c r="F370" s="23">
        <v>1.3367480897466035</v>
      </c>
      <c r="G370" s="22">
        <v>82835049.033466563</v>
      </c>
      <c r="H370" s="23">
        <v>0.45613232219905142</v>
      </c>
      <c r="I370" s="23">
        <f t="shared" si="21"/>
        <v>181603111.64556807</v>
      </c>
      <c r="J370" s="4">
        <f t="shared" si="20"/>
        <v>13683969.665971542</v>
      </c>
      <c r="L370" s="22"/>
      <c r="M370" s="22"/>
      <c r="N370" s="19"/>
    </row>
    <row r="371" spans="2:14" ht="11.1" customHeight="1" x14ac:dyDescent="0.3">
      <c r="B371" s="19">
        <v>364</v>
      </c>
      <c r="C371" s="22">
        <v>204357166.69924831</v>
      </c>
      <c r="D371" s="23">
        <v>2.0335920987372318</v>
      </c>
      <c r="E371" s="22">
        <v>121259547.38030922</v>
      </c>
      <c r="F371" s="23">
        <v>1.5840123133104635</v>
      </c>
      <c r="G371" s="22">
        <v>83097619.31893909</v>
      </c>
      <c r="H371" s="23">
        <v>0.44957978542676824</v>
      </c>
      <c r="I371" s="23">
        <f t="shared" si="21"/>
        <v>184833976.10961938</v>
      </c>
      <c r="J371" s="4">
        <f t="shared" si="20"/>
        <v>13487393.562803047</v>
      </c>
      <c r="L371" s="22"/>
      <c r="M371" s="22"/>
      <c r="N371" s="19"/>
    </row>
    <row r="372" spans="2:14" ht="11.1" customHeight="1" x14ac:dyDescent="0.3">
      <c r="B372" s="19">
        <v>365</v>
      </c>
      <c r="C372" s="22">
        <v>203227650.20157236</v>
      </c>
      <c r="D372" s="23">
        <v>1.8672126397360009</v>
      </c>
      <c r="E372" s="22">
        <v>120585711.09803769</v>
      </c>
      <c r="F372" s="23">
        <v>1.4373580601201259</v>
      </c>
      <c r="G372" s="22">
        <v>82641939.103534669</v>
      </c>
      <c r="H372" s="23">
        <v>0.42985457961587503</v>
      </c>
      <c r="I372" s="23">
        <f t="shared" si="21"/>
        <v>192255574.37909544</v>
      </c>
      <c r="J372" s="4">
        <f t="shared" si="20"/>
        <v>12895637.388476251</v>
      </c>
      <c r="L372" s="22"/>
      <c r="M372" s="22"/>
      <c r="N372" s="19"/>
    </row>
    <row r="373" spans="2:14" ht="11.1" customHeight="1" x14ac:dyDescent="0.3">
      <c r="B373" s="19">
        <v>366</v>
      </c>
      <c r="C373" s="22">
        <v>201223494.35976431</v>
      </c>
      <c r="D373" s="23">
        <v>1.8312857850511508</v>
      </c>
      <c r="E373" s="22">
        <v>118268157.70997964</v>
      </c>
      <c r="F373" s="23">
        <v>1.3795858267040813</v>
      </c>
      <c r="G373" s="22">
        <v>82955336.649784669</v>
      </c>
      <c r="H373" s="23">
        <v>0.45169995834706955</v>
      </c>
      <c r="I373" s="23">
        <f t="shared" si="21"/>
        <v>183651415.31858379</v>
      </c>
      <c r="J373" s="4">
        <f t="shared" si="20"/>
        <v>13550998.750412086</v>
      </c>
      <c r="L373" s="22"/>
      <c r="M373" s="22"/>
      <c r="N373" s="19"/>
    </row>
    <row r="374" spans="2:14" ht="11.1" customHeight="1" x14ac:dyDescent="0.3">
      <c r="B374" s="19">
        <v>367</v>
      </c>
      <c r="C374" s="22">
        <v>209175883.62413731</v>
      </c>
      <c r="D374" s="23">
        <v>1.9799839830162937</v>
      </c>
      <c r="E374" s="22">
        <v>126345388.50073248</v>
      </c>
      <c r="F374" s="23">
        <v>1.5115128991370237</v>
      </c>
      <c r="G374" s="22">
        <v>82830495.123404831</v>
      </c>
      <c r="H374" s="23">
        <v>0.46847108387927006</v>
      </c>
      <c r="I374" s="23">
        <f t="shared" si="21"/>
        <v>176810262.09240082</v>
      </c>
      <c r="J374" s="4">
        <f t="shared" si="20"/>
        <v>14054132.516378101</v>
      </c>
      <c r="L374" s="22"/>
      <c r="M374" s="22"/>
      <c r="N374" s="19"/>
    </row>
    <row r="375" spans="2:14" ht="11.1" customHeight="1" x14ac:dyDescent="0.3">
      <c r="B375" s="19">
        <v>368</v>
      </c>
      <c r="C375" s="22">
        <v>200205305.30684251</v>
      </c>
      <c r="D375" s="23">
        <v>1.8007895119720201</v>
      </c>
      <c r="E375" s="22">
        <v>116950119.93890204</v>
      </c>
      <c r="F375" s="23">
        <v>1.3418708679461919</v>
      </c>
      <c r="G375" s="22">
        <v>83255185.367940471</v>
      </c>
      <c r="H375" s="23">
        <v>0.45891864402582816</v>
      </c>
      <c r="I375" s="23">
        <f t="shared" si="21"/>
        <v>181416001.40188426</v>
      </c>
      <c r="J375" s="4">
        <f t="shared" si="20"/>
        <v>13767559.320774844</v>
      </c>
      <c r="L375" s="22"/>
      <c r="M375" s="22"/>
      <c r="N375" s="19"/>
    </row>
    <row r="376" spans="2:14" ht="11.1" customHeight="1" x14ac:dyDescent="0.3">
      <c r="B376" s="19">
        <v>369</v>
      </c>
      <c r="C376" s="22">
        <v>203741248.46610573</v>
      </c>
      <c r="D376" s="23">
        <v>1.8820761148212308</v>
      </c>
      <c r="E376" s="22">
        <v>120709469.00158271</v>
      </c>
      <c r="F376" s="23">
        <v>1.4259427904305211</v>
      </c>
      <c r="G376" s="22">
        <v>83031779.464523017</v>
      </c>
      <c r="H376" s="23">
        <v>0.45613332439070975</v>
      </c>
      <c r="I376" s="23">
        <f t="shared" si="21"/>
        <v>182034012.91811898</v>
      </c>
      <c r="J376" s="4">
        <f t="shared" si="20"/>
        <v>13683999.731721293</v>
      </c>
      <c r="L376" s="22"/>
      <c r="M376" s="22"/>
      <c r="N376" s="19"/>
    </row>
    <row r="377" spans="2:14" ht="11.1" customHeight="1" x14ac:dyDescent="0.3">
      <c r="B377" s="19">
        <v>370</v>
      </c>
      <c r="C377" s="22">
        <v>200923369.5164313</v>
      </c>
      <c r="D377" s="23">
        <v>1.9165680065097099</v>
      </c>
      <c r="E377" s="22">
        <v>118030682.3177582</v>
      </c>
      <c r="F377" s="23">
        <v>1.4377922414011197</v>
      </c>
      <c r="G377" s="22">
        <v>82892687.198673099</v>
      </c>
      <c r="H377" s="23">
        <v>0.47877576510859021</v>
      </c>
      <c r="I377" s="23">
        <f t="shared" si="21"/>
        <v>173134676.48027751</v>
      </c>
      <c r="J377" s="4">
        <f t="shared" si="20"/>
        <v>14363272.953257706</v>
      </c>
      <c r="L377" s="22"/>
      <c r="M377" s="22"/>
      <c r="N377" s="19"/>
    </row>
    <row r="378" spans="2:14" ht="11.1" customHeight="1" x14ac:dyDescent="0.3">
      <c r="B378" s="19">
        <v>371</v>
      </c>
      <c r="C378" s="22">
        <v>203786959.63379076</v>
      </c>
      <c r="D378" s="23">
        <v>2.281793190994502</v>
      </c>
      <c r="E378" s="22">
        <v>121440838.61784172</v>
      </c>
      <c r="F378" s="23">
        <v>1.812065323869785</v>
      </c>
      <c r="G378" s="22">
        <v>82346121.015949041</v>
      </c>
      <c r="H378" s="23">
        <v>0.46972786712471692</v>
      </c>
      <c r="I378" s="23">
        <f t="shared" si="21"/>
        <v>175306016.05564401</v>
      </c>
      <c r="J378" s="4">
        <f t="shared" si="20"/>
        <v>14091836.013741508</v>
      </c>
      <c r="L378" s="22"/>
      <c r="M378" s="22"/>
      <c r="N378" s="19"/>
    </row>
    <row r="379" spans="2:14" ht="11.1" customHeight="1" x14ac:dyDescent="0.3">
      <c r="B379" s="19">
        <v>372</v>
      </c>
      <c r="C379" s="22">
        <v>203277158.61430252</v>
      </c>
      <c r="D379" s="23">
        <v>2.0232728826563746</v>
      </c>
      <c r="E379" s="22">
        <v>119945838.63310133</v>
      </c>
      <c r="F379" s="23">
        <v>1.5417228731008124</v>
      </c>
      <c r="G379" s="22">
        <v>83331319.981201187</v>
      </c>
      <c r="H379" s="23">
        <v>0.48155000955556226</v>
      </c>
      <c r="I379" s="23">
        <f t="shared" si="21"/>
        <v>173048111.98760083</v>
      </c>
      <c r="J379" s="4">
        <f t="shared" si="20"/>
        <v>14446500.286666868</v>
      </c>
      <c r="L379" s="22"/>
      <c r="M379" s="22"/>
      <c r="N379" s="19"/>
    </row>
    <row r="380" spans="2:14" ht="11.1" customHeight="1" x14ac:dyDescent="0.3">
      <c r="B380" s="19">
        <v>373</v>
      </c>
      <c r="C380" s="22">
        <v>200786795.76519468</v>
      </c>
      <c r="D380" s="23">
        <v>2.0080088928823758</v>
      </c>
      <c r="E380" s="22">
        <v>118190264.81504767</v>
      </c>
      <c r="F380" s="23">
        <v>1.5357431764693563</v>
      </c>
      <c r="G380" s="22">
        <v>82596530.950147018</v>
      </c>
      <c r="H380" s="23">
        <v>0.47226571641301951</v>
      </c>
      <c r="I380" s="23">
        <f t="shared" si="21"/>
        <v>174894192.14566129</v>
      </c>
      <c r="J380" s="4">
        <f t="shared" si="20"/>
        <v>14167971.492390586</v>
      </c>
      <c r="L380" s="22"/>
      <c r="M380" s="22"/>
      <c r="N380" s="19"/>
    </row>
    <row r="381" spans="2:14" ht="11.1" customHeight="1" x14ac:dyDescent="0.3">
      <c r="B381" s="19">
        <v>374</v>
      </c>
      <c r="C381" s="22">
        <v>198221959.44615147</v>
      </c>
      <c r="D381" s="23">
        <v>1.9381665176469376</v>
      </c>
      <c r="E381" s="22">
        <v>115325185.55078892</v>
      </c>
      <c r="F381" s="23">
        <v>1.4634691181992689</v>
      </c>
      <c r="G381" s="22">
        <v>82896773.895362541</v>
      </c>
      <c r="H381" s="23">
        <v>0.47469739944766864</v>
      </c>
      <c r="I381" s="23">
        <f t="shared" si="21"/>
        <v>174630773.18691146</v>
      </c>
      <c r="J381" s="4">
        <f t="shared" si="20"/>
        <v>14240921.98343006</v>
      </c>
      <c r="L381" s="22"/>
      <c r="M381" s="22"/>
      <c r="N381" s="19"/>
    </row>
    <row r="382" spans="2:14" ht="11.1" customHeight="1" x14ac:dyDescent="0.3">
      <c r="B382" s="19">
        <v>375</v>
      </c>
      <c r="C382" s="22">
        <v>200819672.24224555</v>
      </c>
      <c r="D382" s="23">
        <v>2.0035000356268395</v>
      </c>
      <c r="E382" s="22">
        <v>117708666.98475774</v>
      </c>
      <c r="F382" s="23">
        <v>1.5329808306046342</v>
      </c>
      <c r="G382" s="22">
        <v>83111005.257487819</v>
      </c>
      <c r="H382" s="23">
        <v>0.47051920502220534</v>
      </c>
      <c r="I382" s="23">
        <f t="shared" si="21"/>
        <v>176636796.90516677</v>
      </c>
      <c r="J382" s="4">
        <f t="shared" si="20"/>
        <v>14115576.150666161</v>
      </c>
      <c r="L382" s="22"/>
      <c r="M382" s="22"/>
      <c r="N382" s="19"/>
    </row>
    <row r="383" spans="2:14" ht="11.1" customHeight="1" x14ac:dyDescent="0.3">
      <c r="B383" s="19">
        <v>376</v>
      </c>
      <c r="C383" s="22">
        <v>201267299.88674608</v>
      </c>
      <c r="D383" s="23">
        <v>2.1495529047179645</v>
      </c>
      <c r="E383" s="22">
        <v>117880825.28003176</v>
      </c>
      <c r="F383" s="23">
        <v>1.667316647226353</v>
      </c>
      <c r="G383" s="22">
        <v>83386474.606714323</v>
      </c>
      <c r="H383" s="23">
        <v>0.48223625749161148</v>
      </c>
      <c r="I383" s="23">
        <f t="shared" si="21"/>
        <v>172916227.90964621</v>
      </c>
      <c r="J383" s="4">
        <f t="shared" si="20"/>
        <v>14467087.724748345</v>
      </c>
      <c r="L383" s="22"/>
      <c r="M383" s="22"/>
      <c r="N383" s="19"/>
    </row>
    <row r="384" spans="2:14" ht="11.1" customHeight="1" x14ac:dyDescent="0.3">
      <c r="B384" s="19">
        <v>377</v>
      </c>
      <c r="C384" s="22">
        <v>202868045.34806821</v>
      </c>
      <c r="D384" s="23">
        <v>2.2336849855078089</v>
      </c>
      <c r="E384" s="22">
        <v>119681340.92405713</v>
      </c>
      <c r="F384" s="23">
        <v>1.7673374285085859</v>
      </c>
      <c r="G384" s="22">
        <v>83186704.424011081</v>
      </c>
      <c r="H384" s="23">
        <v>0.46634755699922303</v>
      </c>
      <c r="I384" s="23">
        <f t="shared" si="21"/>
        <v>178379200.61013567</v>
      </c>
      <c r="J384" s="4">
        <f t="shared" si="20"/>
        <v>13990426.709976692</v>
      </c>
      <c r="L384" s="22"/>
      <c r="M384" s="22"/>
      <c r="N384" s="19"/>
    </row>
    <row r="385" spans="2:14" ht="11.1" customHeight="1" x14ac:dyDescent="0.3">
      <c r="B385" s="19">
        <v>378</v>
      </c>
      <c r="C385" s="22">
        <v>201281506.69694364</v>
      </c>
      <c r="D385" s="23">
        <v>2.0623731330019752</v>
      </c>
      <c r="E385" s="22">
        <v>118248804.74410914</v>
      </c>
      <c r="F385" s="23">
        <v>1.5829546157212775</v>
      </c>
      <c r="G385" s="22">
        <v>83032701.952834502</v>
      </c>
      <c r="H385" s="23">
        <v>0.47941851728069773</v>
      </c>
      <c r="I385" s="23">
        <f t="shared" si="21"/>
        <v>173194607.5504196</v>
      </c>
      <c r="J385" s="4">
        <f t="shared" si="20"/>
        <v>14382555.518420933</v>
      </c>
      <c r="L385" s="22"/>
      <c r="M385" s="22"/>
      <c r="N385" s="19"/>
    </row>
    <row r="386" spans="2:14" ht="11.1" customHeight="1" x14ac:dyDescent="0.3">
      <c r="B386" s="19">
        <v>379</v>
      </c>
      <c r="C386" s="22">
        <v>200145945.04241902</v>
      </c>
      <c r="D386" s="23">
        <v>2.0912047169024564</v>
      </c>
      <c r="E386" s="22">
        <v>116958615.79255641</v>
      </c>
      <c r="F386" s="23">
        <v>1.5959890514159103</v>
      </c>
      <c r="G386" s="22">
        <v>83187329.249862611</v>
      </c>
      <c r="H386" s="23">
        <v>0.49521566548654605</v>
      </c>
      <c r="I386" s="23">
        <f t="shared" si="21"/>
        <v>167982022.87912604</v>
      </c>
      <c r="J386" s="4">
        <f t="shared" si="20"/>
        <v>14856469.964596381</v>
      </c>
      <c r="L386" s="22"/>
      <c r="M386" s="22"/>
      <c r="N386" s="19"/>
    </row>
    <row r="387" spans="2:14" ht="11.1" customHeight="1" x14ac:dyDescent="0.3">
      <c r="B387" s="19">
        <v>380</v>
      </c>
      <c r="C387" s="22">
        <v>202543357.79584712</v>
      </c>
      <c r="D387" s="23">
        <v>2.0338368812755561</v>
      </c>
      <c r="E387" s="22">
        <v>119680922.93216771</v>
      </c>
      <c r="F387" s="23">
        <v>1.5559181256948043</v>
      </c>
      <c r="G387" s="22">
        <v>82862434.863679409</v>
      </c>
      <c r="H387" s="23">
        <v>0.47791875558075181</v>
      </c>
      <c r="I387" s="23">
        <f t="shared" si="21"/>
        <v>173381843.45367989</v>
      </c>
      <c r="J387" s="4">
        <f t="shared" si="20"/>
        <v>14337562.667422554</v>
      </c>
      <c r="L387" s="22"/>
      <c r="M387" s="22"/>
      <c r="N387" s="19"/>
    </row>
    <row r="388" spans="2:14" ht="11.1" customHeight="1" x14ac:dyDescent="0.3">
      <c r="B388" s="19">
        <v>381</v>
      </c>
      <c r="C388" s="22">
        <v>199341370.44353941</v>
      </c>
      <c r="D388" s="23">
        <v>1.6918358549387473</v>
      </c>
      <c r="E388" s="22">
        <v>116308184.17763571</v>
      </c>
      <c r="F388" s="23">
        <v>1.2467683902709443</v>
      </c>
      <c r="G388" s="22">
        <v>83033186.265903696</v>
      </c>
      <c r="H388" s="23">
        <v>0.445067464667803</v>
      </c>
      <c r="I388" s="23">
        <f t="shared" si="21"/>
        <v>186563145.71967065</v>
      </c>
      <c r="J388" s="4">
        <f t="shared" si="20"/>
        <v>13352023.94003409</v>
      </c>
      <c r="L388" s="22"/>
      <c r="M388" s="22"/>
      <c r="N388" s="19"/>
    </row>
    <row r="389" spans="2:14" ht="11.1" customHeight="1" x14ac:dyDescent="0.3">
      <c r="B389" s="19">
        <v>382</v>
      </c>
      <c r="C389" s="22">
        <v>202464009.61492991</v>
      </c>
      <c r="D389" s="23">
        <v>2.0846305619807697</v>
      </c>
      <c r="E389" s="22">
        <v>119167372.94182791</v>
      </c>
      <c r="F389" s="23">
        <v>1.5895581752095902</v>
      </c>
      <c r="G389" s="22">
        <v>83296636.673102006</v>
      </c>
      <c r="H389" s="23">
        <v>0.49507238677117948</v>
      </c>
      <c r="I389" s="23">
        <f t="shared" si="21"/>
        <v>168251429.28361583</v>
      </c>
      <c r="J389" s="4">
        <f t="shared" si="20"/>
        <v>14852171.603135385</v>
      </c>
      <c r="L389" s="22"/>
      <c r="M389" s="22"/>
      <c r="N389" s="19"/>
    </row>
    <row r="390" spans="2:14" ht="11.1" customHeight="1" x14ac:dyDescent="0.3">
      <c r="B390" s="19">
        <v>383</v>
      </c>
      <c r="C390" s="22">
        <v>204589957.58158976</v>
      </c>
      <c r="D390" s="23">
        <v>2.2566435812014984</v>
      </c>
      <c r="E390" s="22">
        <v>121662705.87136021</v>
      </c>
      <c r="F390" s="23">
        <v>1.7691899056190923</v>
      </c>
      <c r="G390" s="22">
        <v>82927251.710229546</v>
      </c>
      <c r="H390" s="23">
        <v>0.48745367558240615</v>
      </c>
      <c r="I390" s="23">
        <f t="shared" si="21"/>
        <v>170123348.87237984</v>
      </c>
      <c r="J390" s="4">
        <f t="shared" si="20"/>
        <v>14623610.267472185</v>
      </c>
      <c r="L390" s="22"/>
      <c r="M390" s="22"/>
      <c r="N390" s="19"/>
    </row>
    <row r="391" spans="2:14" ht="11.1" customHeight="1" x14ac:dyDescent="0.3">
      <c r="B391" s="19">
        <v>384</v>
      </c>
      <c r="C391" s="22">
        <v>201508328.961395</v>
      </c>
      <c r="D391" s="23">
        <v>2.0433853187003024</v>
      </c>
      <c r="E391" s="22">
        <v>118685829.50200227</v>
      </c>
      <c r="F391" s="23">
        <v>1.5803176737016358</v>
      </c>
      <c r="G391" s="22">
        <v>82822499.459392726</v>
      </c>
      <c r="H391" s="23">
        <v>0.46306764499866659</v>
      </c>
      <c r="I391" s="23">
        <f t="shared" si="21"/>
        <v>178856157.09478301</v>
      </c>
      <c r="J391" s="4">
        <f t="shared" si="20"/>
        <v>13892029.349959997</v>
      </c>
      <c r="L391" s="22"/>
      <c r="M391" s="22"/>
      <c r="N391" s="19"/>
    </row>
    <row r="392" spans="2:14" ht="11.1" customHeight="1" x14ac:dyDescent="0.3">
      <c r="B392" s="19">
        <v>385</v>
      </c>
      <c r="C392" s="22">
        <v>204337933.74201053</v>
      </c>
      <c r="D392" s="23">
        <v>2.1673332473815101</v>
      </c>
      <c r="E392" s="22">
        <v>121287283.81777507</v>
      </c>
      <c r="F392" s="23">
        <v>1.6845970955590692</v>
      </c>
      <c r="G392" s="22">
        <v>83050649.924235463</v>
      </c>
      <c r="H392" s="23">
        <v>0.4827361518224409</v>
      </c>
      <c r="I392" s="23">
        <f t="shared" si="21"/>
        <v>172041496.39653051</v>
      </c>
      <c r="J392" s="4">
        <f t="shared" ref="J392:J455" si="22">threshold*H392</f>
        <v>14482084.554673227</v>
      </c>
      <c r="L392" s="22"/>
      <c r="M392" s="22"/>
      <c r="N392" s="19"/>
    </row>
    <row r="393" spans="2:14" ht="11.1" customHeight="1" x14ac:dyDescent="0.3">
      <c r="B393" s="19">
        <v>386</v>
      </c>
      <c r="C393" s="22">
        <v>205296484.4189882</v>
      </c>
      <c r="D393" s="23">
        <v>1.8781172587830326</v>
      </c>
      <c r="E393" s="22">
        <v>122580348.8797494</v>
      </c>
      <c r="F393" s="23">
        <v>1.4225442932914207</v>
      </c>
      <c r="G393" s="22">
        <v>82716135.539238796</v>
      </c>
      <c r="H393" s="23">
        <v>0.45557296549161186</v>
      </c>
      <c r="I393" s="23">
        <f t="shared" ref="I393:I456" si="23">G393/H393</f>
        <v>181565065.98230484</v>
      </c>
      <c r="J393" s="4">
        <f t="shared" si="22"/>
        <v>13667188.964748356</v>
      </c>
      <c r="L393" s="22"/>
      <c r="M393" s="22"/>
      <c r="N393" s="19"/>
    </row>
    <row r="394" spans="2:14" ht="11.1" customHeight="1" x14ac:dyDescent="0.3">
      <c r="B394" s="19">
        <v>387</v>
      </c>
      <c r="C394" s="22">
        <v>203389888.80140552</v>
      </c>
      <c r="D394" s="23">
        <v>1.8088957262942291</v>
      </c>
      <c r="E394" s="22">
        <v>120359921.63478406</v>
      </c>
      <c r="F394" s="23">
        <v>1.3851123092232471</v>
      </c>
      <c r="G394" s="22">
        <v>83029967.166621462</v>
      </c>
      <c r="H394" s="23">
        <v>0.42378341707098199</v>
      </c>
      <c r="I394" s="23">
        <f t="shared" si="23"/>
        <v>195925474.71652079</v>
      </c>
      <c r="J394" s="4">
        <f t="shared" si="22"/>
        <v>12713502.51212946</v>
      </c>
      <c r="L394" s="22"/>
      <c r="M394" s="22"/>
      <c r="N394" s="19"/>
    </row>
    <row r="395" spans="2:14" ht="11.1" customHeight="1" x14ac:dyDescent="0.3">
      <c r="B395" s="19">
        <v>388</v>
      </c>
      <c r="C395" s="22">
        <v>201857521.51578683</v>
      </c>
      <c r="D395" s="23">
        <v>1.7005297793320984</v>
      </c>
      <c r="E395" s="22">
        <v>119152210.17219052</v>
      </c>
      <c r="F395" s="23">
        <v>1.2614983819335055</v>
      </c>
      <c r="G395" s="22">
        <v>82705311.343596309</v>
      </c>
      <c r="H395" s="23">
        <v>0.43903139739859287</v>
      </c>
      <c r="I395" s="23">
        <f t="shared" si="23"/>
        <v>188381313.5772357</v>
      </c>
      <c r="J395" s="4">
        <f t="shared" si="22"/>
        <v>13170941.921957785</v>
      </c>
      <c r="L395" s="22"/>
      <c r="M395" s="22"/>
      <c r="N395" s="19"/>
    </row>
    <row r="396" spans="2:14" ht="11.1" customHeight="1" x14ac:dyDescent="0.3">
      <c r="B396" s="19">
        <v>389</v>
      </c>
      <c r="C396" s="22">
        <v>199967031.90864462</v>
      </c>
      <c r="D396" s="23">
        <v>2.1300558845476414</v>
      </c>
      <c r="E396" s="22">
        <v>116793668.68127365</v>
      </c>
      <c r="F396" s="23">
        <v>1.6425799559523389</v>
      </c>
      <c r="G396" s="22">
        <v>83173363.227370963</v>
      </c>
      <c r="H396" s="23">
        <v>0.48747592859530253</v>
      </c>
      <c r="I396" s="23">
        <f t="shared" si="23"/>
        <v>170620451.90014014</v>
      </c>
      <c r="J396" s="4">
        <f t="shared" si="22"/>
        <v>14624277.857859075</v>
      </c>
      <c r="L396" s="22"/>
      <c r="M396" s="22"/>
      <c r="N396" s="19"/>
    </row>
    <row r="397" spans="2:14" ht="11.1" customHeight="1" x14ac:dyDescent="0.3">
      <c r="B397" s="19">
        <v>390</v>
      </c>
      <c r="C397" s="22">
        <v>204188741.10401681</v>
      </c>
      <c r="D397" s="23">
        <v>2.0770197028367741</v>
      </c>
      <c r="E397" s="22">
        <v>121006809.16749379</v>
      </c>
      <c r="F397" s="23">
        <v>1.6067102521997463</v>
      </c>
      <c r="G397" s="22">
        <v>83181931.93652302</v>
      </c>
      <c r="H397" s="23">
        <v>0.47030945063702778</v>
      </c>
      <c r="I397" s="23">
        <f t="shared" si="23"/>
        <v>176866384.08786857</v>
      </c>
      <c r="J397" s="4">
        <f t="shared" si="22"/>
        <v>14109283.519110834</v>
      </c>
      <c r="L397" s="22"/>
      <c r="M397" s="22"/>
      <c r="N397" s="19"/>
    </row>
    <row r="398" spans="2:14" ht="11.1" customHeight="1" x14ac:dyDescent="0.3">
      <c r="B398" s="19">
        <v>391</v>
      </c>
      <c r="C398" s="22">
        <v>199454840.92503479</v>
      </c>
      <c r="D398" s="23">
        <v>1.781629538613116</v>
      </c>
      <c r="E398" s="22">
        <v>116208637.6261172</v>
      </c>
      <c r="F398" s="23">
        <v>1.3302518203527538</v>
      </c>
      <c r="G398" s="22">
        <v>83246203.298917592</v>
      </c>
      <c r="H398" s="23">
        <v>0.45137771826036222</v>
      </c>
      <c r="I398" s="23">
        <f t="shared" si="23"/>
        <v>184426922.1346451</v>
      </c>
      <c r="J398" s="4">
        <f t="shared" si="22"/>
        <v>13541331.547810866</v>
      </c>
      <c r="L398" s="22"/>
      <c r="M398" s="22"/>
      <c r="N398" s="19"/>
    </row>
    <row r="399" spans="2:14" ht="11.1" customHeight="1" x14ac:dyDescent="0.3">
      <c r="B399" s="19">
        <v>392</v>
      </c>
      <c r="C399" s="22">
        <v>205643774.09626937</v>
      </c>
      <c r="D399" s="23">
        <v>2.2318237626393973</v>
      </c>
      <c r="E399" s="22">
        <v>122969170.7598998</v>
      </c>
      <c r="F399" s="23">
        <v>1.7642934524103293</v>
      </c>
      <c r="G399" s="22">
        <v>82674603.336369574</v>
      </c>
      <c r="H399" s="23">
        <v>0.46753031022906799</v>
      </c>
      <c r="I399" s="23">
        <f t="shared" si="23"/>
        <v>176832606.41617629</v>
      </c>
      <c r="J399" s="4">
        <f t="shared" si="22"/>
        <v>14025909.30687204</v>
      </c>
      <c r="L399" s="22"/>
      <c r="M399" s="22"/>
      <c r="N399" s="19"/>
    </row>
    <row r="400" spans="2:14" ht="11.1" customHeight="1" x14ac:dyDescent="0.3">
      <c r="B400" s="19">
        <v>393</v>
      </c>
      <c r="C400" s="22">
        <v>202626537.796518</v>
      </c>
      <c r="D400" s="23">
        <v>2.1830311031341862</v>
      </c>
      <c r="E400" s="22">
        <v>119655545.07272096</v>
      </c>
      <c r="F400" s="23">
        <v>1.7276830767941451</v>
      </c>
      <c r="G400" s="22">
        <v>82970992.723797038</v>
      </c>
      <c r="H400" s="23">
        <v>0.45534802634004112</v>
      </c>
      <c r="I400" s="23">
        <f t="shared" si="23"/>
        <v>182214455.590583</v>
      </c>
      <c r="J400" s="4">
        <f t="shared" si="22"/>
        <v>13660440.790201234</v>
      </c>
      <c r="L400" s="22"/>
      <c r="M400" s="22"/>
      <c r="N400" s="19"/>
    </row>
    <row r="401" spans="2:14" ht="11.1" customHeight="1" x14ac:dyDescent="0.3">
      <c r="B401" s="19">
        <v>394</v>
      </c>
      <c r="C401" s="22">
        <v>200394200.75186443</v>
      </c>
      <c r="D401" s="23">
        <v>2.0002887589412754</v>
      </c>
      <c r="E401" s="22">
        <v>117189640.57564697</v>
      </c>
      <c r="F401" s="23">
        <v>1.553235657261129</v>
      </c>
      <c r="G401" s="22">
        <v>83204560.176217467</v>
      </c>
      <c r="H401" s="23">
        <v>0.44705310168014645</v>
      </c>
      <c r="I401" s="23">
        <f t="shared" si="23"/>
        <v>186117845.65080127</v>
      </c>
      <c r="J401" s="4">
        <f t="shared" si="22"/>
        <v>13411593.050404394</v>
      </c>
      <c r="L401" s="22"/>
      <c r="M401" s="22"/>
      <c r="N401" s="19"/>
    </row>
    <row r="402" spans="2:14" ht="11.1" customHeight="1" x14ac:dyDescent="0.3">
      <c r="B402" s="19">
        <v>395</v>
      </c>
      <c r="C402" s="22">
        <v>200599577.11760989</v>
      </c>
      <c r="D402" s="23">
        <v>2.1243844174197379</v>
      </c>
      <c r="E402" s="22">
        <v>117750585.00697052</v>
      </c>
      <c r="F402" s="23">
        <v>1.613444276790521</v>
      </c>
      <c r="G402" s="22">
        <v>82848992.110639364</v>
      </c>
      <c r="H402" s="23">
        <v>0.51094014062921689</v>
      </c>
      <c r="I402" s="23">
        <f t="shared" si="23"/>
        <v>162150094.54651925</v>
      </c>
      <c r="J402" s="4">
        <f t="shared" si="22"/>
        <v>15328204.218876507</v>
      </c>
      <c r="L402" s="22"/>
      <c r="M402" s="22"/>
      <c r="N402" s="19"/>
    </row>
    <row r="403" spans="2:14" ht="11.1" customHeight="1" x14ac:dyDescent="0.3">
      <c r="B403" s="19">
        <v>396</v>
      </c>
      <c r="C403" s="22">
        <v>206223812.80066988</v>
      </c>
      <c r="D403" s="23">
        <v>2.2183551609042089</v>
      </c>
      <c r="E403" s="22">
        <v>123174742.60695766</v>
      </c>
      <c r="F403" s="23">
        <v>1.7584459584657213</v>
      </c>
      <c r="G403" s="22">
        <v>83049070.19371222</v>
      </c>
      <c r="H403" s="23">
        <v>0.45990920243848765</v>
      </c>
      <c r="I403" s="23">
        <f t="shared" si="23"/>
        <v>180577100.33497307</v>
      </c>
      <c r="J403" s="4">
        <f t="shared" si="22"/>
        <v>13797276.07315463</v>
      </c>
      <c r="L403" s="22"/>
      <c r="M403" s="22"/>
      <c r="N403" s="19"/>
    </row>
    <row r="404" spans="2:14" ht="11.1" customHeight="1" x14ac:dyDescent="0.3">
      <c r="B404" s="19">
        <v>397</v>
      </c>
      <c r="C404" s="22">
        <v>203206670.51448637</v>
      </c>
      <c r="D404" s="23">
        <v>2.0408583333060042</v>
      </c>
      <c r="E404" s="22">
        <v>120043676.34879015</v>
      </c>
      <c r="F404" s="23">
        <v>1.5708915788651636</v>
      </c>
      <c r="G404" s="22">
        <v>83162994.165696219</v>
      </c>
      <c r="H404" s="23">
        <v>0.46996675444084057</v>
      </c>
      <c r="I404" s="23">
        <f t="shared" si="23"/>
        <v>176955057.73518449</v>
      </c>
      <c r="J404" s="4">
        <f t="shared" si="22"/>
        <v>14099002.633225217</v>
      </c>
      <c r="L404" s="22"/>
      <c r="M404" s="22"/>
      <c r="N404" s="19"/>
    </row>
    <row r="405" spans="2:14" ht="11.1" customHeight="1" x14ac:dyDescent="0.3">
      <c r="B405" s="19">
        <v>398</v>
      </c>
      <c r="C405" s="22">
        <v>202705368.67190433</v>
      </c>
      <c r="D405" s="23">
        <v>1.8414146829590403</v>
      </c>
      <c r="E405" s="22">
        <v>119729102.90045239</v>
      </c>
      <c r="F405" s="23">
        <v>1.4218385796081103</v>
      </c>
      <c r="G405" s="22">
        <v>82976265.771451935</v>
      </c>
      <c r="H405" s="23">
        <v>0.41957610335092999</v>
      </c>
      <c r="I405" s="23">
        <f t="shared" si="23"/>
        <v>197762134.47039732</v>
      </c>
      <c r="J405" s="4">
        <f t="shared" si="22"/>
        <v>12587283.100527899</v>
      </c>
      <c r="L405" s="22"/>
      <c r="M405" s="22"/>
      <c r="N405" s="19"/>
    </row>
    <row r="406" spans="2:14" ht="11.1" customHeight="1" x14ac:dyDescent="0.3">
      <c r="B406" s="19">
        <v>399</v>
      </c>
      <c r="C406" s="22">
        <v>203951995.07890996</v>
      </c>
      <c r="D406" s="23">
        <v>1.718990522612609</v>
      </c>
      <c r="E406" s="22">
        <v>120625059.55065891</v>
      </c>
      <c r="F406" s="23">
        <v>1.2823482433881901</v>
      </c>
      <c r="G406" s="22">
        <v>83326935.528251052</v>
      </c>
      <c r="H406" s="23">
        <v>0.43664227922441889</v>
      </c>
      <c r="I406" s="23">
        <f t="shared" si="23"/>
        <v>190835701.19746447</v>
      </c>
      <c r="J406" s="4">
        <f t="shared" si="22"/>
        <v>13099268.376732567</v>
      </c>
      <c r="L406" s="22"/>
      <c r="M406" s="22"/>
      <c r="N406" s="19"/>
    </row>
    <row r="407" spans="2:14" ht="11.1" customHeight="1" x14ac:dyDescent="0.3">
      <c r="B407" s="19">
        <v>400</v>
      </c>
      <c r="C407" s="22">
        <v>198620079.68112969</v>
      </c>
      <c r="D407" s="23">
        <v>2.2342227911341981</v>
      </c>
      <c r="E407" s="22">
        <v>115695369.75939178</v>
      </c>
      <c r="F407" s="23">
        <v>1.7800876390682594</v>
      </c>
      <c r="G407" s="22">
        <v>82924709.921737909</v>
      </c>
      <c r="H407" s="23">
        <v>0.45413515206593869</v>
      </c>
      <c r="I407" s="23">
        <f t="shared" si="23"/>
        <v>182599187.80675572</v>
      </c>
      <c r="J407" s="4">
        <f t="shared" si="22"/>
        <v>13624054.561978161</v>
      </c>
      <c r="L407" s="22"/>
      <c r="M407" s="22"/>
      <c r="N407" s="19"/>
    </row>
    <row r="408" spans="2:14" ht="11.1" customHeight="1" x14ac:dyDescent="0.3">
      <c r="B408" s="19">
        <v>401</v>
      </c>
      <c r="C408" s="22">
        <v>203656641.58745807</v>
      </c>
      <c r="D408" s="23">
        <v>1.8266278342279763</v>
      </c>
      <c r="E408" s="22">
        <v>121133893.07151905</v>
      </c>
      <c r="F408" s="23">
        <v>1.3760044297852934</v>
      </c>
      <c r="G408" s="22">
        <v>82522748.515939027</v>
      </c>
      <c r="H408" s="23">
        <v>0.4506234044426829</v>
      </c>
      <c r="I408" s="23">
        <f t="shared" si="23"/>
        <v>183130187.43001291</v>
      </c>
      <c r="J408" s="4">
        <f t="shared" si="22"/>
        <v>13518702.133280488</v>
      </c>
      <c r="L408" s="22"/>
      <c r="M408" s="22"/>
      <c r="N408" s="19"/>
    </row>
    <row r="409" spans="2:14" ht="11.1" customHeight="1" x14ac:dyDescent="0.3">
      <c r="B409" s="19">
        <v>402</v>
      </c>
      <c r="C409" s="22">
        <v>202674860.22488403</v>
      </c>
      <c r="D409" s="23">
        <v>1.8879329761622805</v>
      </c>
      <c r="E409" s="22">
        <v>119886595.33508097</v>
      </c>
      <c r="F409" s="23">
        <v>1.425005951075055</v>
      </c>
      <c r="G409" s="22">
        <v>82788264.889803067</v>
      </c>
      <c r="H409" s="23">
        <v>0.4629270250872255</v>
      </c>
      <c r="I409" s="23">
        <f t="shared" si="23"/>
        <v>178836534.49310711</v>
      </c>
      <c r="J409" s="4">
        <f t="shared" si="22"/>
        <v>13887810.752616765</v>
      </c>
      <c r="L409" s="22"/>
      <c r="M409" s="22"/>
      <c r="N409" s="19"/>
    </row>
    <row r="410" spans="2:14" ht="11.1" customHeight="1" x14ac:dyDescent="0.3">
      <c r="B410" s="19">
        <v>403</v>
      </c>
      <c r="C410" s="22">
        <v>202090990.02206668</v>
      </c>
      <c r="D410" s="23">
        <v>1.814100153220112</v>
      </c>
      <c r="E410" s="22">
        <v>119297326.19080482</v>
      </c>
      <c r="F410" s="23">
        <v>1.4088303581656316</v>
      </c>
      <c r="G410" s="22">
        <v>82793663.831261858</v>
      </c>
      <c r="H410" s="23">
        <v>0.40526979505448035</v>
      </c>
      <c r="I410" s="23">
        <f t="shared" si="23"/>
        <v>204292707.82475147</v>
      </c>
      <c r="J410" s="4">
        <f t="shared" si="22"/>
        <v>12158093.851634411</v>
      </c>
      <c r="L410" s="22"/>
      <c r="M410" s="22"/>
      <c r="N410" s="19"/>
    </row>
    <row r="411" spans="2:14" ht="11.1" customHeight="1" x14ac:dyDescent="0.3">
      <c r="B411" s="19">
        <v>404</v>
      </c>
      <c r="C411" s="22">
        <v>203227751.64765075</v>
      </c>
      <c r="D411" s="23">
        <v>1.9641737271369251</v>
      </c>
      <c r="E411" s="22">
        <v>120103315.84307036</v>
      </c>
      <c r="F411" s="23">
        <v>1.5105067909196015</v>
      </c>
      <c r="G411" s="22">
        <v>83124435.80458039</v>
      </c>
      <c r="H411" s="23">
        <v>0.45366693621732357</v>
      </c>
      <c r="I411" s="23">
        <f t="shared" si="23"/>
        <v>183227890.70253217</v>
      </c>
      <c r="J411" s="4">
        <f t="shared" si="22"/>
        <v>13610008.086519707</v>
      </c>
      <c r="L411" s="22"/>
      <c r="M411" s="22"/>
      <c r="N411" s="19"/>
    </row>
    <row r="412" spans="2:14" ht="11.1" customHeight="1" x14ac:dyDescent="0.3">
      <c r="B412" s="19">
        <v>405</v>
      </c>
      <c r="C412" s="22">
        <v>201952655.51076674</v>
      </c>
      <c r="D412" s="23">
        <v>2.233702670518027</v>
      </c>
      <c r="E412" s="22">
        <v>119101467.3420289</v>
      </c>
      <c r="F412" s="23">
        <v>1.7324551238311878</v>
      </c>
      <c r="G412" s="22">
        <v>82851188.168737844</v>
      </c>
      <c r="H412" s="23">
        <v>0.50124754668683913</v>
      </c>
      <c r="I412" s="23">
        <f t="shared" si="23"/>
        <v>165289962.44743755</v>
      </c>
      <c r="J412" s="4">
        <f t="shared" si="22"/>
        <v>15037426.400605174</v>
      </c>
      <c r="L412" s="22"/>
      <c r="M412" s="22"/>
      <c r="N412" s="19"/>
    </row>
    <row r="413" spans="2:14" ht="11.1" customHeight="1" x14ac:dyDescent="0.3">
      <c r="B413" s="19">
        <v>406</v>
      </c>
      <c r="C413" s="22">
        <v>201950383.44283968</v>
      </c>
      <c r="D413" s="23">
        <v>2.3058454558859087</v>
      </c>
      <c r="E413" s="22">
        <v>119409301.35221076</v>
      </c>
      <c r="F413" s="23">
        <v>1.8009767137895647</v>
      </c>
      <c r="G413" s="22">
        <v>82541082.090628922</v>
      </c>
      <c r="H413" s="23">
        <v>0.50486874209634403</v>
      </c>
      <c r="I413" s="23">
        <f t="shared" si="23"/>
        <v>163490181.12687519</v>
      </c>
      <c r="J413" s="4">
        <f t="shared" si="22"/>
        <v>15146062.26289032</v>
      </c>
      <c r="L413" s="22"/>
      <c r="M413" s="22"/>
      <c r="N413" s="19"/>
    </row>
    <row r="414" spans="2:14" ht="11.1" customHeight="1" x14ac:dyDescent="0.3">
      <c r="B414" s="19">
        <v>407</v>
      </c>
      <c r="C414" s="22">
        <v>199859418.25715035</v>
      </c>
      <c r="D414" s="23">
        <v>2.1720645509293703</v>
      </c>
      <c r="E414" s="22">
        <v>116765861.499274</v>
      </c>
      <c r="F414" s="23">
        <v>1.7014016796777682</v>
      </c>
      <c r="G414" s="22">
        <v>83093556.757876351</v>
      </c>
      <c r="H414" s="23">
        <v>0.47066287125160211</v>
      </c>
      <c r="I414" s="23">
        <f t="shared" si="23"/>
        <v>176545807.696518</v>
      </c>
      <c r="J414" s="4">
        <f t="shared" si="22"/>
        <v>14119886.137548063</v>
      </c>
      <c r="L414" s="22"/>
      <c r="M414" s="22"/>
      <c r="N414" s="19"/>
    </row>
    <row r="415" spans="2:14" ht="11.1" customHeight="1" x14ac:dyDescent="0.3">
      <c r="B415" s="19">
        <v>408</v>
      </c>
      <c r="C415" s="22">
        <v>202365643.30421478</v>
      </c>
      <c r="D415" s="23">
        <v>1.9636218292201209</v>
      </c>
      <c r="E415" s="22">
        <v>119438187.19344391</v>
      </c>
      <c r="F415" s="23">
        <v>1.5088861569620828</v>
      </c>
      <c r="G415" s="22">
        <v>82927456.110770866</v>
      </c>
      <c r="H415" s="23">
        <v>0.45473567225803802</v>
      </c>
      <c r="I415" s="23">
        <f t="shared" si="23"/>
        <v>182364087.90844542</v>
      </c>
      <c r="J415" s="4">
        <f t="shared" si="22"/>
        <v>13642070.16774114</v>
      </c>
      <c r="L415" s="22"/>
      <c r="M415" s="22"/>
      <c r="N415" s="19"/>
    </row>
    <row r="416" spans="2:14" ht="11.1" customHeight="1" x14ac:dyDescent="0.3">
      <c r="B416" s="19">
        <v>409</v>
      </c>
      <c r="C416" s="22">
        <v>198028020.59984955</v>
      </c>
      <c r="D416" s="23">
        <v>1.9454211777437043</v>
      </c>
      <c r="E416" s="22">
        <v>114820794.79437998</v>
      </c>
      <c r="F416" s="23">
        <v>1.5258529030470558</v>
      </c>
      <c r="G416" s="22">
        <v>83207225.805469573</v>
      </c>
      <c r="H416" s="23">
        <v>0.41956827469664848</v>
      </c>
      <c r="I416" s="23">
        <f t="shared" si="23"/>
        <v>198316295.1622811</v>
      </c>
      <c r="J416" s="4">
        <f t="shared" si="22"/>
        <v>12587048.240899455</v>
      </c>
      <c r="L416" s="22"/>
      <c r="M416" s="22"/>
      <c r="N416" s="19"/>
    </row>
    <row r="417" spans="2:14" ht="11.1" customHeight="1" x14ac:dyDescent="0.3">
      <c r="B417" s="19">
        <v>410</v>
      </c>
      <c r="C417" s="22">
        <v>204892683.42856842</v>
      </c>
      <c r="D417" s="23">
        <v>2.3074580475763371</v>
      </c>
      <c r="E417" s="22">
        <v>122577886.54165226</v>
      </c>
      <c r="F417" s="23">
        <v>1.8454361234303489</v>
      </c>
      <c r="G417" s="22">
        <v>82314796.886916161</v>
      </c>
      <c r="H417" s="23">
        <v>0.46202192414598819</v>
      </c>
      <c r="I417" s="23">
        <f t="shared" si="23"/>
        <v>178162101.37445036</v>
      </c>
      <c r="J417" s="4">
        <f t="shared" si="22"/>
        <v>13860657.724379646</v>
      </c>
      <c r="L417" s="22"/>
      <c r="M417" s="22"/>
      <c r="N417" s="19"/>
    </row>
    <row r="418" spans="2:14" ht="11.1" customHeight="1" x14ac:dyDescent="0.3">
      <c r="B418" s="19">
        <v>411</v>
      </c>
      <c r="C418" s="22">
        <v>201930357.6487112</v>
      </c>
      <c r="D418" s="23">
        <v>2.0404646563874924</v>
      </c>
      <c r="E418" s="22">
        <v>119356696.3898567</v>
      </c>
      <c r="F418" s="23">
        <v>1.5995253906185718</v>
      </c>
      <c r="G418" s="22">
        <v>82573661.258854508</v>
      </c>
      <c r="H418" s="23">
        <v>0.44093926576892062</v>
      </c>
      <c r="I418" s="23">
        <f t="shared" si="23"/>
        <v>187267652.64341009</v>
      </c>
      <c r="J418" s="4">
        <f t="shared" si="22"/>
        <v>13228177.973067619</v>
      </c>
      <c r="L418" s="22"/>
      <c r="M418" s="22"/>
      <c r="N418" s="19"/>
    </row>
    <row r="419" spans="2:14" ht="11.1" customHeight="1" x14ac:dyDescent="0.3">
      <c r="B419" s="19">
        <v>412</v>
      </c>
      <c r="C419" s="22">
        <v>202228403.4424473</v>
      </c>
      <c r="D419" s="23">
        <v>2.0052109619119194</v>
      </c>
      <c r="E419" s="22">
        <v>119321016.8112666</v>
      </c>
      <c r="F419" s="23">
        <v>1.5541104116101083</v>
      </c>
      <c r="G419" s="22">
        <v>82907386.631180704</v>
      </c>
      <c r="H419" s="23">
        <v>0.45110055030181107</v>
      </c>
      <c r="I419" s="23">
        <f t="shared" si="23"/>
        <v>183789149.83746108</v>
      </c>
      <c r="J419" s="4">
        <f t="shared" si="22"/>
        <v>13533016.509054331</v>
      </c>
      <c r="L419" s="22"/>
      <c r="M419" s="22"/>
      <c r="N419" s="19"/>
    </row>
    <row r="420" spans="2:14" ht="11.1" customHeight="1" x14ac:dyDescent="0.3">
      <c r="B420" s="19">
        <v>413</v>
      </c>
      <c r="C420" s="22">
        <v>197461257.01682344</v>
      </c>
      <c r="D420" s="23">
        <v>2.0188837853403849</v>
      </c>
      <c r="E420" s="22">
        <v>114399398.76109634</v>
      </c>
      <c r="F420" s="23">
        <v>1.526166565889411</v>
      </c>
      <c r="G420" s="22">
        <v>83061858.255727097</v>
      </c>
      <c r="H420" s="23">
        <v>0.49271721945097391</v>
      </c>
      <c r="I420" s="23">
        <f t="shared" si="23"/>
        <v>168579166.6633479</v>
      </c>
      <c r="J420" s="4">
        <f t="shared" si="22"/>
        <v>14781516.583529217</v>
      </c>
      <c r="L420" s="22"/>
      <c r="M420" s="22"/>
      <c r="N420" s="19"/>
    </row>
    <row r="421" spans="2:14" ht="11.1" customHeight="1" x14ac:dyDescent="0.3">
      <c r="B421" s="19">
        <v>414</v>
      </c>
      <c r="C421" s="22">
        <v>200549206.52844185</v>
      </c>
      <c r="D421" s="23">
        <v>1.9940189170529792</v>
      </c>
      <c r="E421" s="22">
        <v>117361446.3042154</v>
      </c>
      <c r="F421" s="23">
        <v>1.5291465422189598</v>
      </c>
      <c r="G421" s="22">
        <v>83187760.224226445</v>
      </c>
      <c r="H421" s="23">
        <v>0.46487237483401933</v>
      </c>
      <c r="I421" s="23">
        <f t="shared" si="23"/>
        <v>178947523.5088518</v>
      </c>
      <c r="J421" s="4">
        <f t="shared" si="22"/>
        <v>13946171.24502058</v>
      </c>
      <c r="L421" s="22"/>
      <c r="M421" s="22"/>
      <c r="N421" s="19"/>
    </row>
    <row r="422" spans="2:14" ht="11.1" customHeight="1" x14ac:dyDescent="0.3">
      <c r="B422" s="19">
        <v>415</v>
      </c>
      <c r="C422" s="22">
        <v>200951555.81929234</v>
      </c>
      <c r="D422" s="23">
        <v>2.2392767115859216</v>
      </c>
      <c r="E422" s="22">
        <v>118083047.35108458</v>
      </c>
      <c r="F422" s="23">
        <v>1.7369424336979669</v>
      </c>
      <c r="G422" s="22">
        <v>82868508.468207762</v>
      </c>
      <c r="H422" s="23">
        <v>0.50233427788795471</v>
      </c>
      <c r="I422" s="23">
        <f t="shared" si="23"/>
        <v>164966859.94956434</v>
      </c>
      <c r="J422" s="4">
        <f t="shared" si="22"/>
        <v>15070028.336638641</v>
      </c>
      <c r="L422" s="22"/>
      <c r="M422" s="22"/>
      <c r="N422" s="19"/>
    </row>
    <row r="423" spans="2:14" ht="11.1" customHeight="1" x14ac:dyDescent="0.3">
      <c r="B423" s="19">
        <v>416</v>
      </c>
      <c r="C423" s="22">
        <v>202682026.06053111</v>
      </c>
      <c r="D423" s="23">
        <v>1.935560447588121</v>
      </c>
      <c r="E423" s="22">
        <v>119810960.57099648</v>
      </c>
      <c r="F423" s="23">
        <v>1.4733209504371787</v>
      </c>
      <c r="G423" s="22">
        <v>82871065.489534631</v>
      </c>
      <c r="H423" s="23">
        <v>0.46223949715094226</v>
      </c>
      <c r="I423" s="23">
        <f t="shared" si="23"/>
        <v>179281662.42893228</v>
      </c>
      <c r="J423" s="4">
        <f t="shared" si="22"/>
        <v>13867184.914528267</v>
      </c>
      <c r="L423" s="22"/>
      <c r="M423" s="22"/>
      <c r="N423" s="19"/>
    </row>
    <row r="424" spans="2:14" ht="11.1" customHeight="1" x14ac:dyDescent="0.3">
      <c r="B424" s="19">
        <v>417</v>
      </c>
      <c r="C424" s="22">
        <v>200032423.59650117</v>
      </c>
      <c r="D424" s="23">
        <v>1.9016760183929942</v>
      </c>
      <c r="E424" s="22">
        <v>116991263.3775589</v>
      </c>
      <c r="F424" s="23">
        <v>1.4355526542264805</v>
      </c>
      <c r="G424" s="22">
        <v>83041160.21894227</v>
      </c>
      <c r="H424" s="23">
        <v>0.46612336416651368</v>
      </c>
      <c r="I424" s="23">
        <f t="shared" si="23"/>
        <v>178152752.25997341</v>
      </c>
      <c r="J424" s="4">
        <f t="shared" si="22"/>
        <v>13983700.924995411</v>
      </c>
      <c r="L424" s="22"/>
      <c r="M424" s="22"/>
      <c r="N424" s="19"/>
    </row>
    <row r="425" spans="2:14" ht="11.1" customHeight="1" x14ac:dyDescent="0.3">
      <c r="B425" s="19">
        <v>418</v>
      </c>
      <c r="C425" s="22">
        <v>202211080.09758866</v>
      </c>
      <c r="D425" s="23">
        <v>2.2828765474534976</v>
      </c>
      <c r="E425" s="22">
        <v>119502351.78393246</v>
      </c>
      <c r="F425" s="23">
        <v>1.8347709410778341</v>
      </c>
      <c r="G425" s="22">
        <v>82708728.313656196</v>
      </c>
      <c r="H425" s="23">
        <v>0.44810560637566343</v>
      </c>
      <c r="I425" s="23">
        <f t="shared" si="23"/>
        <v>184574187.72912747</v>
      </c>
      <c r="J425" s="4">
        <f t="shared" si="22"/>
        <v>13443168.191269903</v>
      </c>
      <c r="L425" s="22"/>
      <c r="M425" s="22"/>
      <c r="N425" s="19"/>
    </row>
    <row r="426" spans="2:14" ht="11.1" customHeight="1" x14ac:dyDescent="0.3">
      <c r="B426" s="19">
        <v>419</v>
      </c>
      <c r="C426" s="22">
        <v>198873636.24318227</v>
      </c>
      <c r="D426" s="23">
        <v>1.7571384464556163</v>
      </c>
      <c r="E426" s="22">
        <v>115784659.42807187</v>
      </c>
      <c r="F426" s="23">
        <v>1.3214624631803229</v>
      </c>
      <c r="G426" s="22">
        <v>83088976.8151104</v>
      </c>
      <c r="H426" s="23">
        <v>0.43567598327529344</v>
      </c>
      <c r="I426" s="23">
        <f t="shared" si="23"/>
        <v>190712777.39587593</v>
      </c>
      <c r="J426" s="4">
        <f t="shared" si="22"/>
        <v>13070279.498258803</v>
      </c>
      <c r="L426" s="22"/>
      <c r="M426" s="22"/>
      <c r="N426" s="19"/>
    </row>
    <row r="427" spans="2:14" ht="11.1" customHeight="1" x14ac:dyDescent="0.3">
      <c r="B427" s="19">
        <v>420</v>
      </c>
      <c r="C427" s="22">
        <v>201284554.55652159</v>
      </c>
      <c r="D427" s="23">
        <v>2.0607464569770095</v>
      </c>
      <c r="E427" s="22">
        <v>118643454.65527608</v>
      </c>
      <c r="F427" s="23">
        <v>1.5734981256851186</v>
      </c>
      <c r="G427" s="22">
        <v>82641099.90124552</v>
      </c>
      <c r="H427" s="23">
        <v>0.48724833129189093</v>
      </c>
      <c r="I427" s="23">
        <f t="shared" si="23"/>
        <v>169607763.83190638</v>
      </c>
      <c r="J427" s="4">
        <f t="shared" si="22"/>
        <v>14617449.938756729</v>
      </c>
      <c r="L427" s="22"/>
      <c r="M427" s="22"/>
      <c r="N427" s="19"/>
    </row>
    <row r="428" spans="2:14" ht="11.1" customHeight="1" x14ac:dyDescent="0.3">
      <c r="B428" s="19">
        <v>421</v>
      </c>
      <c r="C428" s="22">
        <v>202156647.46255481</v>
      </c>
      <c r="D428" s="23">
        <v>2.0668126151509547</v>
      </c>
      <c r="E428" s="22">
        <v>119040932.78770602</v>
      </c>
      <c r="F428" s="23">
        <v>1.6602891931656167</v>
      </c>
      <c r="G428" s="22">
        <v>83115714.674848795</v>
      </c>
      <c r="H428" s="23">
        <v>0.40652342198533797</v>
      </c>
      <c r="I428" s="23">
        <f t="shared" si="23"/>
        <v>204454922.34847546</v>
      </c>
      <c r="J428" s="4">
        <f t="shared" si="22"/>
        <v>12195702.659560138</v>
      </c>
      <c r="L428" s="22"/>
      <c r="M428" s="22"/>
      <c r="N428" s="19"/>
    </row>
    <row r="429" spans="2:14" ht="11.1" customHeight="1" x14ac:dyDescent="0.3">
      <c r="B429" s="19">
        <v>422</v>
      </c>
      <c r="C429" s="22">
        <v>203151648.02880055</v>
      </c>
      <c r="D429" s="23">
        <v>1.9005365504366243</v>
      </c>
      <c r="E429" s="22">
        <v>120189773.85493101</v>
      </c>
      <c r="F429" s="23">
        <v>1.4301688901536103</v>
      </c>
      <c r="G429" s="22">
        <v>82961874.173869535</v>
      </c>
      <c r="H429" s="23">
        <v>0.47036766028301402</v>
      </c>
      <c r="I429" s="23">
        <f t="shared" si="23"/>
        <v>176376654.21970651</v>
      </c>
      <c r="J429" s="4">
        <f t="shared" si="22"/>
        <v>14111029.80849042</v>
      </c>
      <c r="L429" s="22"/>
      <c r="M429" s="22"/>
      <c r="N429" s="19"/>
    </row>
    <row r="430" spans="2:14" ht="11.1" customHeight="1" x14ac:dyDescent="0.3">
      <c r="B430" s="19">
        <v>423</v>
      </c>
      <c r="C430" s="22">
        <v>199752794.51692203</v>
      </c>
      <c r="D430" s="23">
        <v>2.0420493574227212</v>
      </c>
      <c r="E430" s="22">
        <v>116409171.99356741</v>
      </c>
      <c r="F430" s="23">
        <v>1.5882937972038016</v>
      </c>
      <c r="G430" s="22">
        <v>83343622.52335462</v>
      </c>
      <c r="H430" s="23">
        <v>0.45375556021891961</v>
      </c>
      <c r="I430" s="23">
        <f t="shared" si="23"/>
        <v>183675154.26840064</v>
      </c>
      <c r="J430" s="4">
        <f t="shared" si="22"/>
        <v>13612666.806567589</v>
      </c>
      <c r="L430" s="22"/>
      <c r="M430" s="22"/>
      <c r="N430" s="19"/>
    </row>
    <row r="431" spans="2:14" ht="11.1" customHeight="1" x14ac:dyDescent="0.3">
      <c r="B431" s="19">
        <v>424</v>
      </c>
      <c r="C431" s="22">
        <v>202050967.12071019</v>
      </c>
      <c r="D431" s="23">
        <v>2.0282660710229381</v>
      </c>
      <c r="E431" s="22">
        <v>119319545.5505565</v>
      </c>
      <c r="F431" s="23">
        <v>1.5586238632700198</v>
      </c>
      <c r="G431" s="22">
        <v>82731421.570153698</v>
      </c>
      <c r="H431" s="23">
        <v>0.46964220775291832</v>
      </c>
      <c r="I431" s="23">
        <f t="shared" si="23"/>
        <v>176158403.57704648</v>
      </c>
      <c r="J431" s="4">
        <f t="shared" si="22"/>
        <v>14089266.23258755</v>
      </c>
      <c r="L431" s="22"/>
      <c r="M431" s="22"/>
      <c r="N431" s="19"/>
    </row>
    <row r="432" spans="2:14" ht="11.1" customHeight="1" x14ac:dyDescent="0.3">
      <c r="B432" s="19">
        <v>425</v>
      </c>
      <c r="C432" s="22">
        <v>204787052.6419411</v>
      </c>
      <c r="D432" s="23">
        <v>1.8481774669115343</v>
      </c>
      <c r="E432" s="22">
        <v>121644415.9871864</v>
      </c>
      <c r="F432" s="23">
        <v>1.3870861104214116</v>
      </c>
      <c r="G432" s="22">
        <v>83142636.654754698</v>
      </c>
      <c r="H432" s="23">
        <v>0.46109135649012267</v>
      </c>
      <c r="I432" s="23">
        <f t="shared" si="23"/>
        <v>180317057.52986881</v>
      </c>
      <c r="J432" s="4">
        <f t="shared" si="22"/>
        <v>13832740.69470368</v>
      </c>
      <c r="L432" s="22"/>
      <c r="M432" s="22"/>
      <c r="N432" s="19"/>
    </row>
    <row r="433" spans="2:14" ht="11.1" customHeight="1" x14ac:dyDescent="0.3">
      <c r="B433" s="19">
        <v>426</v>
      </c>
      <c r="C433" s="22">
        <v>203167166.40216619</v>
      </c>
      <c r="D433" s="23">
        <v>2.0230601269921</v>
      </c>
      <c r="E433" s="22">
        <v>119761322.03530729</v>
      </c>
      <c r="F433" s="23">
        <v>1.5423661384908358</v>
      </c>
      <c r="G433" s="22">
        <v>83405844.3668589</v>
      </c>
      <c r="H433" s="23">
        <v>0.48069398850126421</v>
      </c>
      <c r="I433" s="23">
        <f t="shared" si="23"/>
        <v>173511311.48302168</v>
      </c>
      <c r="J433" s="4">
        <f t="shared" si="22"/>
        <v>14420819.655037927</v>
      </c>
      <c r="L433" s="22"/>
      <c r="M433" s="22"/>
      <c r="N433" s="19"/>
    </row>
    <row r="434" spans="2:14" ht="11.1" customHeight="1" x14ac:dyDescent="0.3">
      <c r="B434" s="19">
        <v>427</v>
      </c>
      <c r="C434" s="22">
        <v>201847061.51504317</v>
      </c>
      <c r="D434" s="23">
        <v>2.1476681161065456</v>
      </c>
      <c r="E434" s="22">
        <v>118544170.88464825</v>
      </c>
      <c r="F434" s="23">
        <v>1.7221651469574082</v>
      </c>
      <c r="G434" s="22">
        <v>83302890.630394921</v>
      </c>
      <c r="H434" s="23">
        <v>0.42550296914913743</v>
      </c>
      <c r="I434" s="23">
        <f t="shared" si="23"/>
        <v>195775110.09376183</v>
      </c>
      <c r="J434" s="4">
        <f t="shared" si="22"/>
        <v>12765089.074474122</v>
      </c>
      <c r="L434" s="22"/>
      <c r="M434" s="22"/>
      <c r="N434" s="19"/>
    </row>
    <row r="435" spans="2:14" ht="11.1" customHeight="1" x14ac:dyDescent="0.3">
      <c r="B435" s="19">
        <v>428</v>
      </c>
      <c r="C435" s="22">
        <v>204653629.37293029</v>
      </c>
      <c r="D435" s="23">
        <v>1.7995904448706046</v>
      </c>
      <c r="E435" s="22">
        <v>122169696.21125051</v>
      </c>
      <c r="F435" s="23">
        <v>1.4012927402645201</v>
      </c>
      <c r="G435" s="22">
        <v>82483933.161679775</v>
      </c>
      <c r="H435" s="23">
        <v>0.39829770460608449</v>
      </c>
      <c r="I435" s="23">
        <f t="shared" si="23"/>
        <v>207091158.71821606</v>
      </c>
      <c r="J435" s="4">
        <f t="shared" si="22"/>
        <v>11948931.138182534</v>
      </c>
      <c r="L435" s="22"/>
      <c r="M435" s="22"/>
      <c r="N435" s="19"/>
    </row>
    <row r="436" spans="2:14" ht="11.1" customHeight="1" x14ac:dyDescent="0.3">
      <c r="B436" s="19">
        <v>429</v>
      </c>
      <c r="C436" s="22">
        <v>200096175.58273551</v>
      </c>
      <c r="D436" s="23">
        <v>1.7249208648423326</v>
      </c>
      <c r="E436" s="22">
        <v>117108802.66876341</v>
      </c>
      <c r="F436" s="23">
        <v>1.2929733816925408</v>
      </c>
      <c r="G436" s="22">
        <v>82987372.913972095</v>
      </c>
      <c r="H436" s="23">
        <v>0.43194748314979181</v>
      </c>
      <c r="I436" s="23">
        <f t="shared" si="23"/>
        <v>192123756.13077372</v>
      </c>
      <c r="J436" s="4">
        <f t="shared" si="22"/>
        <v>12958424.494493755</v>
      </c>
      <c r="L436" s="22"/>
      <c r="M436" s="22"/>
      <c r="N436" s="19"/>
    </row>
    <row r="437" spans="2:14" ht="11.1" customHeight="1" x14ac:dyDescent="0.3">
      <c r="B437" s="19">
        <v>430</v>
      </c>
      <c r="C437" s="22">
        <v>200286186.44556287</v>
      </c>
      <c r="D437" s="23">
        <v>1.7178208484462494</v>
      </c>
      <c r="E437" s="22">
        <v>117651985.14990705</v>
      </c>
      <c r="F437" s="23">
        <v>1.2782953446007128</v>
      </c>
      <c r="G437" s="22">
        <v>82634201.295655817</v>
      </c>
      <c r="H437" s="23">
        <v>0.43952550384553657</v>
      </c>
      <c r="I437" s="23">
        <f t="shared" si="23"/>
        <v>188007750.56888652</v>
      </c>
      <c r="J437" s="4">
        <f t="shared" si="22"/>
        <v>13185765.115366098</v>
      </c>
      <c r="L437" s="22"/>
      <c r="M437" s="22"/>
      <c r="N437" s="19"/>
    </row>
    <row r="438" spans="2:14" ht="11.1" customHeight="1" x14ac:dyDescent="0.3">
      <c r="B438" s="19">
        <v>431</v>
      </c>
      <c r="C438" s="22">
        <v>201711085.69294909</v>
      </c>
      <c r="D438" s="23">
        <v>2.08920891814918</v>
      </c>
      <c r="E438" s="22">
        <v>118330554.41514665</v>
      </c>
      <c r="F438" s="23">
        <v>1.5968673432162519</v>
      </c>
      <c r="G438" s="22">
        <v>83380531.277802438</v>
      </c>
      <c r="H438" s="23">
        <v>0.49234157493292807</v>
      </c>
      <c r="I438" s="23">
        <f t="shared" si="23"/>
        <v>169355048.45220801</v>
      </c>
      <c r="J438" s="4">
        <f t="shared" si="22"/>
        <v>14770247.247987842</v>
      </c>
      <c r="L438" s="22"/>
      <c r="M438" s="22"/>
      <c r="N438" s="19"/>
    </row>
    <row r="439" spans="2:14" ht="11.1" customHeight="1" x14ac:dyDescent="0.3">
      <c r="B439" s="19">
        <v>432</v>
      </c>
      <c r="C439" s="22">
        <v>204171177.1911419</v>
      </c>
      <c r="D439" s="23">
        <v>1.9951350060908259</v>
      </c>
      <c r="E439" s="22">
        <v>121377661.16286507</v>
      </c>
      <c r="F439" s="23">
        <v>1.552128065948172</v>
      </c>
      <c r="G439" s="22">
        <v>82793516.028276831</v>
      </c>
      <c r="H439" s="23">
        <v>0.44300694014265396</v>
      </c>
      <c r="I439" s="23">
        <f t="shared" si="23"/>
        <v>186889884.84382716</v>
      </c>
      <c r="J439" s="4">
        <f t="shared" si="22"/>
        <v>13290208.204279618</v>
      </c>
      <c r="L439" s="22"/>
      <c r="M439" s="22"/>
      <c r="N439" s="19"/>
    </row>
    <row r="440" spans="2:14" ht="11.1" customHeight="1" x14ac:dyDescent="0.3">
      <c r="B440" s="19">
        <v>433</v>
      </c>
      <c r="C440" s="22">
        <v>202106126.773238</v>
      </c>
      <c r="D440" s="23">
        <v>1.9738931859298758</v>
      </c>
      <c r="E440" s="22">
        <v>118939195.32792923</v>
      </c>
      <c r="F440" s="23">
        <v>1.4901317029296592</v>
      </c>
      <c r="G440" s="22">
        <v>83166931.445308775</v>
      </c>
      <c r="H440" s="23">
        <v>0.4837614830002166</v>
      </c>
      <c r="I440" s="23">
        <f t="shared" si="23"/>
        <v>171917224.43366072</v>
      </c>
      <c r="J440" s="4">
        <f t="shared" si="22"/>
        <v>14512844.490006497</v>
      </c>
      <c r="L440" s="22"/>
      <c r="M440" s="22"/>
      <c r="N440" s="19"/>
    </row>
    <row r="441" spans="2:14" ht="11.1" customHeight="1" x14ac:dyDescent="0.3">
      <c r="B441" s="19">
        <v>434</v>
      </c>
      <c r="C441" s="22">
        <v>201881167.59265918</v>
      </c>
      <c r="D441" s="23">
        <v>2.1036557708277477</v>
      </c>
      <c r="E441" s="22">
        <v>118827650.55170046</v>
      </c>
      <c r="F441" s="23">
        <v>1.6571570765997155</v>
      </c>
      <c r="G441" s="22">
        <v>83053517.040958717</v>
      </c>
      <c r="H441" s="23">
        <v>0.44649869422803223</v>
      </c>
      <c r="I441" s="23">
        <f t="shared" si="23"/>
        <v>186010660.53407604</v>
      </c>
      <c r="J441" s="4">
        <f t="shared" si="22"/>
        <v>13394960.826840967</v>
      </c>
      <c r="L441" s="22"/>
      <c r="M441" s="22"/>
      <c r="N441" s="19"/>
    </row>
    <row r="442" spans="2:14" ht="11.1" customHeight="1" x14ac:dyDescent="0.3">
      <c r="B442" s="19">
        <v>435</v>
      </c>
      <c r="C442" s="22">
        <v>201765616.29417297</v>
      </c>
      <c r="D442" s="23">
        <v>2.192529928041655</v>
      </c>
      <c r="E442" s="22">
        <v>118734798.67151205</v>
      </c>
      <c r="F442" s="23">
        <v>1.719615323202432</v>
      </c>
      <c r="G442" s="22">
        <v>83030817.62266092</v>
      </c>
      <c r="H442" s="23">
        <v>0.47291460483922299</v>
      </c>
      <c r="I442" s="23">
        <f t="shared" si="23"/>
        <v>175572538.40973878</v>
      </c>
      <c r="J442" s="4">
        <f t="shared" si="22"/>
        <v>14187438.14517669</v>
      </c>
      <c r="L442" s="22"/>
      <c r="M442" s="22"/>
      <c r="N442" s="19"/>
    </row>
    <row r="443" spans="2:14" ht="11.1" customHeight="1" x14ac:dyDescent="0.3">
      <c r="B443" s="19">
        <v>436</v>
      </c>
      <c r="C443" s="22">
        <v>202333184.74544001</v>
      </c>
      <c r="D443" s="23">
        <v>1.9534895889935975</v>
      </c>
      <c r="E443" s="22">
        <v>119463803.79046623</v>
      </c>
      <c r="F443" s="23">
        <v>1.5016941249054878</v>
      </c>
      <c r="G443" s="22">
        <v>82869380.954973772</v>
      </c>
      <c r="H443" s="23">
        <v>0.45179546408810967</v>
      </c>
      <c r="I443" s="23">
        <f t="shared" si="23"/>
        <v>183422339.40359455</v>
      </c>
      <c r="J443" s="4">
        <f t="shared" si="22"/>
        <v>13553863.922643291</v>
      </c>
      <c r="L443" s="22"/>
      <c r="M443" s="22"/>
      <c r="N443" s="19"/>
    </row>
    <row r="444" spans="2:14" ht="11.1" customHeight="1" x14ac:dyDescent="0.3">
      <c r="B444" s="19">
        <v>437</v>
      </c>
      <c r="C444" s="22">
        <v>200063810.17263019</v>
      </c>
      <c r="D444" s="23">
        <v>1.7260599633450677</v>
      </c>
      <c r="E444" s="22">
        <v>116681476.47790416</v>
      </c>
      <c r="F444" s="23">
        <v>1.2640422889887113</v>
      </c>
      <c r="G444" s="22">
        <v>83382333.694726035</v>
      </c>
      <c r="H444" s="23">
        <v>0.46201767435635643</v>
      </c>
      <c r="I444" s="23">
        <f t="shared" si="23"/>
        <v>180474337.50426796</v>
      </c>
      <c r="J444" s="4">
        <f t="shared" si="22"/>
        <v>13860530.230690693</v>
      </c>
      <c r="L444" s="22"/>
      <c r="M444" s="22"/>
      <c r="N444" s="19"/>
    </row>
    <row r="445" spans="2:14" ht="11.1" customHeight="1" x14ac:dyDescent="0.3">
      <c r="B445" s="19">
        <v>438</v>
      </c>
      <c r="C445" s="22">
        <v>203506270.6600627</v>
      </c>
      <c r="D445" s="23">
        <v>1.8475370449644852</v>
      </c>
      <c r="E445" s="22">
        <v>120417224.79354158</v>
      </c>
      <c r="F445" s="23">
        <v>1.415445497528063</v>
      </c>
      <c r="G445" s="22">
        <v>83089045.86652112</v>
      </c>
      <c r="H445" s="23">
        <v>0.4320915474364222</v>
      </c>
      <c r="I445" s="23">
        <f t="shared" si="23"/>
        <v>192295004.05523857</v>
      </c>
      <c r="J445" s="4">
        <f t="shared" si="22"/>
        <v>12962746.423092665</v>
      </c>
      <c r="L445" s="22"/>
      <c r="M445" s="22"/>
      <c r="N445" s="19"/>
    </row>
    <row r="446" spans="2:14" ht="11.1" customHeight="1" x14ac:dyDescent="0.3">
      <c r="B446" s="19">
        <v>439</v>
      </c>
      <c r="C446" s="22">
        <v>202149183.93442506</v>
      </c>
      <c r="D446" s="23">
        <v>1.563818656593734</v>
      </c>
      <c r="E446" s="22">
        <v>119103593.89873971</v>
      </c>
      <c r="F446" s="23">
        <v>1.1615437263000432</v>
      </c>
      <c r="G446" s="22">
        <v>83045590.035685346</v>
      </c>
      <c r="H446" s="23">
        <v>0.40227493029369077</v>
      </c>
      <c r="I446" s="23">
        <f t="shared" si="23"/>
        <v>206439884.22310048</v>
      </c>
      <c r="J446" s="4">
        <f t="shared" si="22"/>
        <v>12068247.908810724</v>
      </c>
      <c r="L446" s="22"/>
      <c r="M446" s="22"/>
      <c r="N446" s="19"/>
    </row>
    <row r="447" spans="2:14" ht="11.1" customHeight="1" x14ac:dyDescent="0.3">
      <c r="B447" s="19">
        <v>440</v>
      </c>
      <c r="C447" s="22">
        <v>201757856.36102387</v>
      </c>
      <c r="D447" s="23">
        <v>2.0878525032023174</v>
      </c>
      <c r="E447" s="22">
        <v>118392297.89569512</v>
      </c>
      <c r="F447" s="23">
        <v>1.6349270015522686</v>
      </c>
      <c r="G447" s="22">
        <v>83365558.465328753</v>
      </c>
      <c r="H447" s="23">
        <v>0.45292550165004886</v>
      </c>
      <c r="I447" s="23">
        <f t="shared" si="23"/>
        <v>184060200.10271099</v>
      </c>
      <c r="J447" s="4">
        <f t="shared" si="22"/>
        <v>13587765.049501466</v>
      </c>
      <c r="L447" s="22"/>
      <c r="M447" s="22"/>
      <c r="N447" s="19"/>
    </row>
    <row r="448" spans="2:14" ht="11.1" customHeight="1" x14ac:dyDescent="0.3">
      <c r="B448" s="19">
        <v>441</v>
      </c>
      <c r="C448" s="22">
        <v>205786141.00327995</v>
      </c>
      <c r="D448" s="23">
        <v>1.9609357388911344</v>
      </c>
      <c r="E448" s="22">
        <v>122367275.11845444</v>
      </c>
      <c r="F448" s="23">
        <v>1.5065343920440863</v>
      </c>
      <c r="G448" s="22">
        <v>83418865.884825513</v>
      </c>
      <c r="H448" s="23">
        <v>0.45440134684704803</v>
      </c>
      <c r="I448" s="23">
        <f t="shared" si="23"/>
        <v>183579706.49436563</v>
      </c>
      <c r="J448" s="4">
        <f t="shared" si="22"/>
        <v>13632040.405411441</v>
      </c>
      <c r="L448" s="22"/>
      <c r="M448" s="22"/>
      <c r="N448" s="19"/>
    </row>
    <row r="449" spans="2:14" ht="11.1" customHeight="1" x14ac:dyDescent="0.3">
      <c r="B449" s="19">
        <v>442</v>
      </c>
      <c r="C449" s="22">
        <v>200472007.68237829</v>
      </c>
      <c r="D449" s="23">
        <v>2.2804322689562788</v>
      </c>
      <c r="E449" s="22">
        <v>117555961.08695549</v>
      </c>
      <c r="F449" s="23">
        <v>1.7748066318379703</v>
      </c>
      <c r="G449" s="22">
        <v>82916046.595422804</v>
      </c>
      <c r="H449" s="23">
        <v>0.50562563711830855</v>
      </c>
      <c r="I449" s="23">
        <f t="shared" si="23"/>
        <v>163987030.14345321</v>
      </c>
      <c r="J449" s="4">
        <f t="shared" si="22"/>
        <v>15168769.113549257</v>
      </c>
      <c r="L449" s="22"/>
      <c r="M449" s="22"/>
      <c r="N449" s="19"/>
    </row>
    <row r="450" spans="2:14" ht="11.1" customHeight="1" x14ac:dyDescent="0.3">
      <c r="B450" s="19">
        <v>443</v>
      </c>
      <c r="C450" s="22">
        <v>201586708.2872833</v>
      </c>
      <c r="D450" s="23">
        <v>2.2733816642329407</v>
      </c>
      <c r="E450" s="22">
        <v>119010801.42215611</v>
      </c>
      <c r="F450" s="23">
        <v>1.7609490672056294</v>
      </c>
      <c r="G450" s="22">
        <v>82575906.865127191</v>
      </c>
      <c r="H450" s="23">
        <v>0.51243259702731137</v>
      </c>
      <c r="I450" s="23">
        <f t="shared" si="23"/>
        <v>161144914.16853815</v>
      </c>
      <c r="J450" s="4">
        <f t="shared" si="22"/>
        <v>15372977.91081934</v>
      </c>
      <c r="L450" s="22"/>
      <c r="M450" s="22"/>
      <c r="N450" s="19"/>
    </row>
    <row r="451" spans="2:14" ht="11.1" customHeight="1" x14ac:dyDescent="0.3">
      <c r="B451" s="19">
        <v>444</v>
      </c>
      <c r="C451" s="22">
        <v>200911919.92353529</v>
      </c>
      <c r="D451" s="23">
        <v>2.0383517124522323</v>
      </c>
      <c r="E451" s="22">
        <v>118107910.35581382</v>
      </c>
      <c r="F451" s="23">
        <v>1.6072477606610345</v>
      </c>
      <c r="G451" s="22">
        <v>82804009.567721471</v>
      </c>
      <c r="H451" s="23">
        <v>0.43110395179119787</v>
      </c>
      <c r="I451" s="23">
        <f t="shared" si="23"/>
        <v>192074345.92904636</v>
      </c>
      <c r="J451" s="4">
        <f t="shared" si="22"/>
        <v>12933118.553735936</v>
      </c>
      <c r="L451" s="22"/>
      <c r="M451" s="22"/>
      <c r="N451" s="19"/>
    </row>
    <row r="452" spans="2:14" ht="11.1" customHeight="1" x14ac:dyDescent="0.3">
      <c r="B452" s="19">
        <v>445</v>
      </c>
      <c r="C452" s="22">
        <v>200523983.20195797</v>
      </c>
      <c r="D452" s="23">
        <v>2.0128647436443723</v>
      </c>
      <c r="E452" s="22">
        <v>117517203.80294913</v>
      </c>
      <c r="F452" s="23">
        <v>1.562247834458534</v>
      </c>
      <c r="G452" s="22">
        <v>83006779.39900884</v>
      </c>
      <c r="H452" s="23">
        <v>0.4506169091858383</v>
      </c>
      <c r="I452" s="23">
        <f t="shared" si="23"/>
        <v>184206978.71498677</v>
      </c>
      <c r="J452" s="4">
        <f t="shared" si="22"/>
        <v>13518507.27557515</v>
      </c>
      <c r="L452" s="22"/>
      <c r="M452" s="22"/>
      <c r="N452" s="19"/>
    </row>
    <row r="453" spans="2:14" ht="11.1" customHeight="1" x14ac:dyDescent="0.3">
      <c r="B453" s="19">
        <v>446</v>
      </c>
      <c r="C453" s="22">
        <v>208106424.63752577</v>
      </c>
      <c r="D453" s="23">
        <v>2.0152817222804522</v>
      </c>
      <c r="E453" s="22">
        <v>125808733.62848555</v>
      </c>
      <c r="F453" s="23">
        <v>1.5339596374165989</v>
      </c>
      <c r="G453" s="22">
        <v>82297691.009040222</v>
      </c>
      <c r="H453" s="23">
        <v>0.48132208486385331</v>
      </c>
      <c r="I453" s="23">
        <f t="shared" si="23"/>
        <v>170982578.18840566</v>
      </c>
      <c r="J453" s="4">
        <f t="shared" si="22"/>
        <v>14439662.5459156</v>
      </c>
      <c r="L453" s="22"/>
      <c r="M453" s="22"/>
      <c r="N453" s="19"/>
    </row>
    <row r="454" spans="2:14" ht="11.1" customHeight="1" x14ac:dyDescent="0.3">
      <c r="B454" s="19">
        <v>447</v>
      </c>
      <c r="C454" s="22">
        <v>202871223.89541894</v>
      </c>
      <c r="D454" s="23">
        <v>1.9500627959869692</v>
      </c>
      <c r="E454" s="22">
        <v>120121966.09488343</v>
      </c>
      <c r="F454" s="23">
        <v>1.5496004462988788</v>
      </c>
      <c r="G454" s="22">
        <v>82749257.800535515</v>
      </c>
      <c r="H454" s="23">
        <v>0.40046234968809036</v>
      </c>
      <c r="I454" s="23">
        <f t="shared" si="23"/>
        <v>206634301.23952162</v>
      </c>
      <c r="J454" s="4">
        <f t="shared" si="22"/>
        <v>12013870.490642712</v>
      </c>
      <c r="L454" s="22"/>
      <c r="M454" s="22"/>
      <c r="N454" s="19"/>
    </row>
    <row r="455" spans="2:14" ht="11.1" customHeight="1" x14ac:dyDescent="0.3">
      <c r="B455" s="19">
        <v>448</v>
      </c>
      <c r="C455" s="22">
        <v>203398093.89624846</v>
      </c>
      <c r="D455" s="23">
        <v>1.9734562892607335</v>
      </c>
      <c r="E455" s="22">
        <v>120806939.10142365</v>
      </c>
      <c r="F455" s="23">
        <v>1.5070354986679138</v>
      </c>
      <c r="G455" s="22">
        <v>82591154.794824809</v>
      </c>
      <c r="H455" s="23">
        <v>0.46642079059281971</v>
      </c>
      <c r="I455" s="23">
        <f t="shared" si="23"/>
        <v>177074342.44054955</v>
      </c>
      <c r="J455" s="4">
        <f t="shared" si="22"/>
        <v>13992623.717784591</v>
      </c>
      <c r="L455" s="22"/>
      <c r="M455" s="22"/>
      <c r="N455" s="19"/>
    </row>
    <row r="456" spans="2:14" ht="11.1" customHeight="1" x14ac:dyDescent="0.3">
      <c r="B456" s="19">
        <v>449</v>
      </c>
      <c r="C456" s="22">
        <v>198727491.85554639</v>
      </c>
      <c r="D456" s="23">
        <v>2.1323304921922253</v>
      </c>
      <c r="E456" s="22">
        <v>115692402.6190968</v>
      </c>
      <c r="F456" s="23">
        <v>1.6307488949070323</v>
      </c>
      <c r="G456" s="22">
        <v>83035089.236449584</v>
      </c>
      <c r="H456" s="23">
        <v>0.50158159728519291</v>
      </c>
      <c r="I456" s="23">
        <f t="shared" si="23"/>
        <v>165546522.61142844</v>
      </c>
      <c r="J456" s="4">
        <f t="shared" ref="J456:J519" si="24">threshold*H456</f>
        <v>15047447.918555787</v>
      </c>
      <c r="L456" s="22"/>
      <c r="M456" s="22"/>
      <c r="N456" s="19"/>
    </row>
    <row r="457" spans="2:14" ht="11.1" customHeight="1" x14ac:dyDescent="0.3">
      <c r="B457" s="19">
        <v>450</v>
      </c>
      <c r="C457" s="22">
        <v>200687996.84792623</v>
      </c>
      <c r="D457" s="23">
        <v>1.9169432380513272</v>
      </c>
      <c r="E457" s="22">
        <v>117523947.25367665</v>
      </c>
      <c r="F457" s="23">
        <v>1.4351343252571243</v>
      </c>
      <c r="G457" s="22">
        <v>83164049.594249576</v>
      </c>
      <c r="H457" s="23">
        <v>0.4818089127942029</v>
      </c>
      <c r="I457" s="23">
        <f t="shared" ref="I457:I520" si="25">G457/H457</f>
        <v>172607951.795553</v>
      </c>
      <c r="J457" s="4">
        <f t="shared" si="24"/>
        <v>14454267.383826086</v>
      </c>
      <c r="L457" s="22"/>
      <c r="M457" s="22"/>
      <c r="N457" s="19"/>
    </row>
    <row r="458" spans="2:14" ht="11.1" customHeight="1" x14ac:dyDescent="0.3">
      <c r="B458" s="19">
        <v>451</v>
      </c>
      <c r="C458" s="22">
        <v>201265213.53048119</v>
      </c>
      <c r="D458" s="23">
        <v>1.8113311726725208</v>
      </c>
      <c r="E458" s="22">
        <v>118589142.5701481</v>
      </c>
      <c r="F458" s="23">
        <v>1.3577851077975129</v>
      </c>
      <c r="G458" s="22">
        <v>82676070.960333094</v>
      </c>
      <c r="H458" s="23">
        <v>0.45354606487500781</v>
      </c>
      <c r="I458" s="23">
        <f t="shared" si="25"/>
        <v>182288145.26947266</v>
      </c>
      <c r="J458" s="4">
        <f t="shared" si="24"/>
        <v>13606381.946250234</v>
      </c>
      <c r="L458" s="22"/>
      <c r="M458" s="22"/>
      <c r="N458" s="19"/>
    </row>
    <row r="459" spans="2:14" ht="11.1" customHeight="1" x14ac:dyDescent="0.3">
      <c r="B459" s="19">
        <v>452</v>
      </c>
      <c r="C459" s="22">
        <v>202980555.91328093</v>
      </c>
      <c r="D459" s="23">
        <v>2.037237038210876</v>
      </c>
      <c r="E459" s="22">
        <v>120302623.88547663</v>
      </c>
      <c r="F459" s="23">
        <v>1.5724389373622234</v>
      </c>
      <c r="G459" s="22">
        <v>82677932.0278043</v>
      </c>
      <c r="H459" s="23">
        <v>0.46479810084865258</v>
      </c>
      <c r="I459" s="23">
        <f t="shared" si="25"/>
        <v>177879238.05378428</v>
      </c>
      <c r="J459" s="4">
        <f t="shared" si="24"/>
        <v>13943943.025459578</v>
      </c>
      <c r="L459" s="22"/>
      <c r="M459" s="22"/>
      <c r="N459" s="19"/>
    </row>
    <row r="460" spans="2:14" ht="11.1" customHeight="1" x14ac:dyDescent="0.3">
      <c r="B460" s="19">
        <v>453</v>
      </c>
      <c r="C460" s="22">
        <v>203526502.64267194</v>
      </c>
      <c r="D460" s="23">
        <v>2.0425303687771152</v>
      </c>
      <c r="E460" s="22">
        <v>120597601.6279363</v>
      </c>
      <c r="F460" s="23">
        <v>1.6031551564562747</v>
      </c>
      <c r="G460" s="22">
        <v>82928901.014735639</v>
      </c>
      <c r="H460" s="23">
        <v>0.43937521232084054</v>
      </c>
      <c r="I460" s="23">
        <f t="shared" si="25"/>
        <v>188742784.50232488</v>
      </c>
      <c r="J460" s="4">
        <f t="shared" si="24"/>
        <v>13181256.369625216</v>
      </c>
      <c r="L460" s="22"/>
      <c r="M460" s="22"/>
      <c r="N460" s="19"/>
    </row>
    <row r="461" spans="2:14" ht="11.1" customHeight="1" x14ac:dyDescent="0.3">
      <c r="B461" s="19">
        <v>454</v>
      </c>
      <c r="C461" s="22">
        <v>200071340.53906018</v>
      </c>
      <c r="D461" s="23">
        <v>1.8945709086356943</v>
      </c>
      <c r="E461" s="22">
        <v>116982791.38332449</v>
      </c>
      <c r="F461" s="23">
        <v>1.4433213215291389</v>
      </c>
      <c r="G461" s="22">
        <v>83088549.155735686</v>
      </c>
      <c r="H461" s="23">
        <v>0.45124958710655538</v>
      </c>
      <c r="I461" s="23">
        <f t="shared" si="25"/>
        <v>184129917.30032465</v>
      </c>
      <c r="J461" s="4">
        <f t="shared" si="24"/>
        <v>13537487.613196662</v>
      </c>
      <c r="L461" s="22"/>
      <c r="M461" s="22"/>
      <c r="N461" s="19"/>
    </row>
    <row r="462" spans="2:14" ht="11.1" customHeight="1" x14ac:dyDescent="0.3">
      <c r="B462" s="19">
        <v>455</v>
      </c>
      <c r="C462" s="22">
        <v>203636612.71343359</v>
      </c>
      <c r="D462" s="23">
        <v>2.2186167212737962</v>
      </c>
      <c r="E462" s="22">
        <v>120437455.75112356</v>
      </c>
      <c r="F462" s="23">
        <v>1.7461348911070613</v>
      </c>
      <c r="G462" s="22">
        <v>83199156.962310031</v>
      </c>
      <c r="H462" s="23">
        <v>0.47248183016673484</v>
      </c>
      <c r="I462" s="23">
        <f t="shared" si="25"/>
        <v>176089643.34766006</v>
      </c>
      <c r="J462" s="4">
        <f t="shared" si="24"/>
        <v>14174454.905002045</v>
      </c>
      <c r="L462" s="22"/>
      <c r="M462" s="22"/>
      <c r="N462" s="19"/>
    </row>
    <row r="463" spans="2:14" ht="11.1" customHeight="1" x14ac:dyDescent="0.3">
      <c r="B463" s="19">
        <v>456</v>
      </c>
      <c r="C463" s="22">
        <v>203980251.18799981</v>
      </c>
      <c r="D463" s="23">
        <v>2.0791372885326487</v>
      </c>
      <c r="E463" s="22">
        <v>121116767.97965539</v>
      </c>
      <c r="F463" s="23">
        <v>1.6278088463736347</v>
      </c>
      <c r="G463" s="22">
        <v>82863483.20834443</v>
      </c>
      <c r="H463" s="23">
        <v>0.45132844215901402</v>
      </c>
      <c r="I463" s="23">
        <f t="shared" si="25"/>
        <v>183599072.13458887</v>
      </c>
      <c r="J463" s="4">
        <f t="shared" si="24"/>
        <v>13539853.26477042</v>
      </c>
      <c r="L463" s="22"/>
      <c r="M463" s="22"/>
      <c r="N463" s="19"/>
    </row>
    <row r="464" spans="2:14" ht="11.1" customHeight="1" x14ac:dyDescent="0.3">
      <c r="B464" s="19">
        <v>457</v>
      </c>
      <c r="C464" s="22">
        <v>202595151.79622626</v>
      </c>
      <c r="D464" s="23">
        <v>1.953084866367119</v>
      </c>
      <c r="E464" s="22">
        <v>119558541.47945388</v>
      </c>
      <c r="F464" s="23">
        <v>1.5226828843424933</v>
      </c>
      <c r="G464" s="22">
        <v>83036610.316772386</v>
      </c>
      <c r="H464" s="23">
        <v>0.43040198202462565</v>
      </c>
      <c r="I464" s="23">
        <f t="shared" si="25"/>
        <v>192928038.86767745</v>
      </c>
      <c r="J464" s="4">
        <f t="shared" si="24"/>
        <v>12912059.460738769</v>
      </c>
      <c r="L464" s="22"/>
      <c r="M464" s="22"/>
      <c r="N464" s="19"/>
    </row>
    <row r="465" spans="2:14" ht="11.1" customHeight="1" x14ac:dyDescent="0.3">
      <c r="B465" s="19">
        <v>458</v>
      </c>
      <c r="C465" s="22">
        <v>202914287.5388118</v>
      </c>
      <c r="D465" s="23">
        <v>2.028982697615318</v>
      </c>
      <c r="E465" s="22">
        <v>119447610.71419586</v>
      </c>
      <c r="F465" s="23">
        <v>1.5647146736187449</v>
      </c>
      <c r="G465" s="22">
        <v>83466676.82461594</v>
      </c>
      <c r="H465" s="23">
        <v>0.46426802399657308</v>
      </c>
      <c r="I465" s="23">
        <f t="shared" si="25"/>
        <v>179781230.90646458</v>
      </c>
      <c r="J465" s="4">
        <f t="shared" si="24"/>
        <v>13928040.719897192</v>
      </c>
      <c r="L465" s="22"/>
      <c r="M465" s="22"/>
      <c r="N465" s="19"/>
    </row>
    <row r="466" spans="2:14" ht="11.1" customHeight="1" x14ac:dyDescent="0.3">
      <c r="B466" s="19">
        <v>459</v>
      </c>
      <c r="C466" s="22">
        <v>201173160.65427402</v>
      </c>
      <c r="D466" s="23">
        <v>2.1669759755977007</v>
      </c>
      <c r="E466" s="22">
        <v>117958709.56120892</v>
      </c>
      <c r="F466" s="23">
        <v>1.6886058390516805</v>
      </c>
      <c r="G466" s="22">
        <v>83214451.093065098</v>
      </c>
      <c r="H466" s="23">
        <v>0.47837013654602023</v>
      </c>
      <c r="I466" s="23">
        <f t="shared" si="25"/>
        <v>173954109.45570114</v>
      </c>
      <c r="J466" s="4">
        <f t="shared" si="24"/>
        <v>14351104.096380606</v>
      </c>
      <c r="L466" s="22"/>
      <c r="M466" s="22"/>
      <c r="N466" s="19"/>
    </row>
    <row r="467" spans="2:14" ht="11.1" customHeight="1" x14ac:dyDescent="0.3">
      <c r="B467" s="19">
        <v>460</v>
      </c>
      <c r="C467" s="22">
        <v>204191824.36839575</v>
      </c>
      <c r="D467" s="23">
        <v>2.0237905856689724</v>
      </c>
      <c r="E467" s="22">
        <v>120574193.38857786</v>
      </c>
      <c r="F467" s="23">
        <v>1.5536911942496348</v>
      </c>
      <c r="G467" s="22">
        <v>83617630.979817882</v>
      </c>
      <c r="H467" s="23">
        <v>0.47009939141933765</v>
      </c>
      <c r="I467" s="23">
        <f t="shared" si="25"/>
        <v>177872238.30976915</v>
      </c>
      <c r="J467" s="4">
        <f t="shared" si="24"/>
        <v>14102981.742580129</v>
      </c>
      <c r="L467" s="22"/>
      <c r="M467" s="22"/>
      <c r="N467" s="19"/>
    </row>
    <row r="468" spans="2:14" ht="11.1" customHeight="1" x14ac:dyDescent="0.3">
      <c r="B468" s="19">
        <v>461</v>
      </c>
      <c r="C468" s="22">
        <v>201128646.62328404</v>
      </c>
      <c r="D468" s="23">
        <v>1.8455557540744827</v>
      </c>
      <c r="E468" s="22">
        <v>118591930.76902308</v>
      </c>
      <c r="F468" s="23">
        <v>1.4189615545685212</v>
      </c>
      <c r="G468" s="22">
        <v>82536715.854260966</v>
      </c>
      <c r="H468" s="23">
        <v>0.42659419950596145</v>
      </c>
      <c r="I468" s="23">
        <f t="shared" si="25"/>
        <v>193478289.0856151</v>
      </c>
      <c r="J468" s="4">
        <f t="shared" si="24"/>
        <v>12797825.985178843</v>
      </c>
      <c r="L468" s="22"/>
      <c r="M468" s="22"/>
      <c r="N468" s="19"/>
    </row>
    <row r="469" spans="2:14" ht="11.1" customHeight="1" x14ac:dyDescent="0.3">
      <c r="B469" s="19">
        <v>462</v>
      </c>
      <c r="C469" s="22">
        <v>200565853.62238368</v>
      </c>
      <c r="D469" s="23">
        <v>2.1176625404992255</v>
      </c>
      <c r="E469" s="22">
        <v>117406204.23713087</v>
      </c>
      <c r="F469" s="23">
        <v>1.61583098457261</v>
      </c>
      <c r="G469" s="22">
        <v>83159649.385252818</v>
      </c>
      <c r="H469" s="23">
        <v>0.50183155592661555</v>
      </c>
      <c r="I469" s="23">
        <f t="shared" si="25"/>
        <v>165712276.16745076</v>
      </c>
      <c r="J469" s="4">
        <f t="shared" si="24"/>
        <v>15054946.677798467</v>
      </c>
      <c r="L469" s="22"/>
      <c r="M469" s="22"/>
      <c r="N469" s="19"/>
    </row>
    <row r="470" spans="2:14" ht="11.1" customHeight="1" x14ac:dyDescent="0.3">
      <c r="B470" s="19">
        <v>463</v>
      </c>
      <c r="C470" s="22">
        <v>199581323.35890499</v>
      </c>
      <c r="D470" s="23">
        <v>2.0227475339683463</v>
      </c>
      <c r="E470" s="22">
        <v>116559489.2316255</v>
      </c>
      <c r="F470" s="23">
        <v>1.5379038181084939</v>
      </c>
      <c r="G470" s="22">
        <v>83021834.12727949</v>
      </c>
      <c r="H470" s="23">
        <v>0.48484371585985242</v>
      </c>
      <c r="I470" s="23">
        <f t="shared" si="25"/>
        <v>171234217.15396133</v>
      </c>
      <c r="J470" s="4">
        <f t="shared" si="24"/>
        <v>14545311.475795573</v>
      </c>
      <c r="L470" s="22"/>
      <c r="M470" s="22"/>
      <c r="N470" s="19"/>
    </row>
    <row r="471" spans="2:14" ht="11.1" customHeight="1" x14ac:dyDescent="0.3">
      <c r="B471" s="19">
        <v>464</v>
      </c>
      <c r="C471" s="22">
        <v>201437905.44702852</v>
      </c>
      <c r="D471" s="23">
        <v>1.7133159657541357</v>
      </c>
      <c r="E471" s="22">
        <v>118007092.13859543</v>
      </c>
      <c r="F471" s="23">
        <v>1.271484850291819</v>
      </c>
      <c r="G471" s="22">
        <v>83430813.308433086</v>
      </c>
      <c r="H471" s="23">
        <v>0.44183111546231668</v>
      </c>
      <c r="I471" s="23">
        <f t="shared" si="25"/>
        <v>188829646.41621944</v>
      </c>
      <c r="J471" s="4">
        <f t="shared" si="24"/>
        <v>13254933.463869501</v>
      </c>
      <c r="L471" s="22"/>
      <c r="M471" s="22"/>
      <c r="N471" s="19"/>
    </row>
    <row r="472" spans="2:14" ht="11.1" customHeight="1" x14ac:dyDescent="0.3">
      <c r="B472" s="19">
        <v>465</v>
      </c>
      <c r="C472" s="22">
        <v>202586450.63006383</v>
      </c>
      <c r="D472" s="23">
        <v>2.1779623431947672</v>
      </c>
      <c r="E472" s="22">
        <v>118906034.66880356</v>
      </c>
      <c r="F472" s="23">
        <v>1.7092751370804145</v>
      </c>
      <c r="G472" s="22">
        <v>83680415.961260274</v>
      </c>
      <c r="H472" s="23">
        <v>0.46868720611435277</v>
      </c>
      <c r="I472" s="23">
        <f t="shared" si="25"/>
        <v>178542138.27386507</v>
      </c>
      <c r="J472" s="4">
        <f t="shared" si="24"/>
        <v>14060616.183430582</v>
      </c>
      <c r="L472" s="22"/>
      <c r="M472" s="22"/>
      <c r="N472" s="19"/>
    </row>
    <row r="473" spans="2:14" ht="11.1" customHeight="1" x14ac:dyDescent="0.3">
      <c r="B473" s="19">
        <v>466</v>
      </c>
      <c r="C473" s="22">
        <v>202267750.79303256</v>
      </c>
      <c r="D473" s="23">
        <v>2.1180979603706418</v>
      </c>
      <c r="E473" s="22">
        <v>119163716.41773601</v>
      </c>
      <c r="F473" s="23">
        <v>1.6408797275961076</v>
      </c>
      <c r="G473" s="22">
        <v>83104034.375296548</v>
      </c>
      <c r="H473" s="23">
        <v>0.47721823277453423</v>
      </c>
      <c r="I473" s="23">
        <f t="shared" si="25"/>
        <v>174142622.11259592</v>
      </c>
      <c r="J473" s="4">
        <f t="shared" si="24"/>
        <v>14316546.983236028</v>
      </c>
      <c r="L473" s="22"/>
      <c r="M473" s="22"/>
      <c r="N473" s="19"/>
    </row>
    <row r="474" spans="2:14" ht="11.1" customHeight="1" x14ac:dyDescent="0.3">
      <c r="B474" s="19">
        <v>467</v>
      </c>
      <c r="C474" s="22">
        <v>203009015.32952532</v>
      </c>
      <c r="D474" s="23">
        <v>1.8078093673899835</v>
      </c>
      <c r="E474" s="22">
        <v>120377197.92512359</v>
      </c>
      <c r="F474" s="23">
        <v>1.3679297937465724</v>
      </c>
      <c r="G474" s="22">
        <v>82631817.404401734</v>
      </c>
      <c r="H474" s="23">
        <v>0.43987957364341113</v>
      </c>
      <c r="I474" s="23">
        <f t="shared" si="25"/>
        <v>187850999.12683672</v>
      </c>
      <c r="J474" s="4">
        <f t="shared" si="24"/>
        <v>13196387.209302334</v>
      </c>
      <c r="L474" s="22"/>
      <c r="M474" s="22"/>
      <c r="N474" s="19"/>
    </row>
    <row r="475" spans="2:14" ht="11.1" customHeight="1" x14ac:dyDescent="0.3">
      <c r="B475" s="19">
        <v>468</v>
      </c>
      <c r="C475" s="22">
        <v>202841810.81580088</v>
      </c>
      <c r="D475" s="23">
        <v>1.7552512452930427</v>
      </c>
      <c r="E475" s="22">
        <v>119491317.01545705</v>
      </c>
      <c r="F475" s="23">
        <v>1.301516294453458</v>
      </c>
      <c r="G475" s="22">
        <v>83350493.800343826</v>
      </c>
      <c r="H475" s="23">
        <v>0.45373495083958471</v>
      </c>
      <c r="I475" s="23">
        <f t="shared" si="25"/>
        <v>183698640.90503335</v>
      </c>
      <c r="J475" s="4">
        <f t="shared" si="24"/>
        <v>13612048.525187541</v>
      </c>
      <c r="L475" s="22"/>
      <c r="M475" s="22"/>
      <c r="N475" s="19"/>
    </row>
    <row r="476" spans="2:14" ht="11.1" customHeight="1" x14ac:dyDescent="0.3">
      <c r="B476" s="19">
        <v>469</v>
      </c>
      <c r="C476" s="22">
        <v>201282392.89116895</v>
      </c>
      <c r="D476" s="23">
        <v>2.0097324334020645</v>
      </c>
      <c r="E476" s="22">
        <v>118392929.91886374</v>
      </c>
      <c r="F476" s="23">
        <v>1.5515785480751438</v>
      </c>
      <c r="G476" s="22">
        <v>82889462.972305208</v>
      </c>
      <c r="H476" s="23">
        <v>0.4581538853269207</v>
      </c>
      <c r="I476" s="23">
        <f t="shared" si="25"/>
        <v>180920571.94529417</v>
      </c>
      <c r="J476" s="4">
        <f t="shared" si="24"/>
        <v>13744616.559807621</v>
      </c>
      <c r="L476" s="22"/>
      <c r="M476" s="22"/>
      <c r="N476" s="19"/>
    </row>
    <row r="477" spans="2:14" ht="11.1" customHeight="1" x14ac:dyDescent="0.3">
      <c r="B477" s="19">
        <v>470</v>
      </c>
      <c r="C477" s="22">
        <v>205069602.55721477</v>
      </c>
      <c r="D477" s="23">
        <v>2.0694079038639486</v>
      </c>
      <c r="E477" s="22">
        <v>122626592.87784347</v>
      </c>
      <c r="F477" s="23">
        <v>1.5863426423883586</v>
      </c>
      <c r="G477" s="22">
        <v>82443009.679371297</v>
      </c>
      <c r="H477" s="23">
        <v>0.48306526147558992</v>
      </c>
      <c r="I477" s="23">
        <f t="shared" si="25"/>
        <v>170666401.1142877</v>
      </c>
      <c r="J477" s="4">
        <f t="shared" si="24"/>
        <v>14491957.844267698</v>
      </c>
      <c r="L477" s="22"/>
      <c r="M477" s="22"/>
      <c r="N477" s="19"/>
    </row>
    <row r="478" spans="2:14" ht="11.1" customHeight="1" x14ac:dyDescent="0.3">
      <c r="B478" s="19">
        <v>471</v>
      </c>
      <c r="C478" s="22">
        <v>203373577.33842945</v>
      </c>
      <c r="D478" s="23">
        <v>1.9361255485712188</v>
      </c>
      <c r="E478" s="22">
        <v>120238975.53130858</v>
      </c>
      <c r="F478" s="23">
        <v>1.4918526652355273</v>
      </c>
      <c r="G478" s="22">
        <v>83134601.807120875</v>
      </c>
      <c r="H478" s="23">
        <v>0.44427288333569148</v>
      </c>
      <c r="I478" s="23">
        <f t="shared" si="25"/>
        <v>187125086.68755409</v>
      </c>
      <c r="J478" s="4">
        <f t="shared" si="24"/>
        <v>13328186.500070745</v>
      </c>
      <c r="L478" s="22"/>
      <c r="M478" s="22"/>
      <c r="N478" s="19"/>
    </row>
    <row r="479" spans="2:14" ht="11.1" customHeight="1" x14ac:dyDescent="0.3">
      <c r="B479" s="19">
        <v>472</v>
      </c>
      <c r="C479" s="22">
        <v>203654562.07356036</v>
      </c>
      <c r="D479" s="23">
        <v>2.177358241898125</v>
      </c>
      <c r="E479" s="22">
        <v>119913864.50215252</v>
      </c>
      <c r="F479" s="23">
        <v>1.726976896729715</v>
      </c>
      <c r="G479" s="22">
        <v>83740697.57140784</v>
      </c>
      <c r="H479" s="23">
        <v>0.45038134516841</v>
      </c>
      <c r="I479" s="23">
        <f t="shared" si="25"/>
        <v>185932873.26342276</v>
      </c>
      <c r="J479" s="4">
        <f t="shared" si="24"/>
        <v>13511440.3550523</v>
      </c>
      <c r="L479" s="22"/>
      <c r="M479" s="22"/>
      <c r="N479" s="19"/>
    </row>
    <row r="480" spans="2:14" ht="11.1" customHeight="1" x14ac:dyDescent="0.3">
      <c r="B480" s="19">
        <v>473</v>
      </c>
      <c r="C480" s="22">
        <v>202433953.93712479</v>
      </c>
      <c r="D480" s="23">
        <v>1.9199046331403213</v>
      </c>
      <c r="E480" s="22">
        <v>119415187.78238885</v>
      </c>
      <c r="F480" s="23">
        <v>1.5400970539568648</v>
      </c>
      <c r="G480" s="22">
        <v>83018766.154735938</v>
      </c>
      <c r="H480" s="23">
        <v>0.37980757918345653</v>
      </c>
      <c r="I480" s="23">
        <f t="shared" si="25"/>
        <v>218581120.29574797</v>
      </c>
      <c r="J480" s="4">
        <f t="shared" si="24"/>
        <v>11394227.375503697</v>
      </c>
      <c r="L480" s="22"/>
      <c r="M480" s="22"/>
      <c r="N480" s="19"/>
    </row>
    <row r="481" spans="2:14" ht="11.1" customHeight="1" x14ac:dyDescent="0.3">
      <c r="B481" s="19">
        <v>474</v>
      </c>
      <c r="C481" s="22">
        <v>200624483.90212315</v>
      </c>
      <c r="D481" s="23">
        <v>2.0368607605346853</v>
      </c>
      <c r="E481" s="22">
        <v>118101409.26457073</v>
      </c>
      <c r="F481" s="23">
        <v>1.5731691262225933</v>
      </c>
      <c r="G481" s="22">
        <v>82523074.637552425</v>
      </c>
      <c r="H481" s="23">
        <v>0.46369163431209204</v>
      </c>
      <c r="I481" s="23">
        <f t="shared" si="25"/>
        <v>177969729.30076519</v>
      </c>
      <c r="J481" s="4">
        <f t="shared" si="24"/>
        <v>13910749.02936276</v>
      </c>
      <c r="L481" s="22"/>
      <c r="M481" s="22"/>
      <c r="N481" s="19"/>
    </row>
    <row r="482" spans="2:14" ht="11.1" customHeight="1" x14ac:dyDescent="0.3">
      <c r="B482" s="19">
        <v>475</v>
      </c>
      <c r="C482" s="22">
        <v>200913769.55000663</v>
      </c>
      <c r="D482" s="23">
        <v>2.1839149554817241</v>
      </c>
      <c r="E482" s="22">
        <v>117654383.85662383</v>
      </c>
      <c r="F482" s="23">
        <v>1.7165027450267498</v>
      </c>
      <c r="G482" s="22">
        <v>83259385.6933828</v>
      </c>
      <c r="H482" s="23">
        <v>0.46741221045497428</v>
      </c>
      <c r="I482" s="23">
        <f t="shared" si="25"/>
        <v>178128392.52175069</v>
      </c>
      <c r="J482" s="4">
        <f t="shared" si="24"/>
        <v>14022366.313649228</v>
      </c>
      <c r="L482" s="22"/>
      <c r="M482" s="22"/>
      <c r="N482" s="19"/>
    </row>
    <row r="483" spans="2:14" ht="11.1" customHeight="1" x14ac:dyDescent="0.3">
      <c r="B483" s="19">
        <v>476</v>
      </c>
      <c r="C483" s="22">
        <v>200055574.54297915</v>
      </c>
      <c r="D483" s="23">
        <v>1.8345603430869406</v>
      </c>
      <c r="E483" s="22">
        <v>117440298.89902826</v>
      </c>
      <c r="F483" s="23">
        <v>1.3767656906929224</v>
      </c>
      <c r="G483" s="22">
        <v>82615275.643950894</v>
      </c>
      <c r="H483" s="23">
        <v>0.45779465239401818</v>
      </c>
      <c r="I483" s="23">
        <f t="shared" si="25"/>
        <v>180463610.07477421</v>
      </c>
      <c r="J483" s="4">
        <f t="shared" si="24"/>
        <v>13733839.571820546</v>
      </c>
      <c r="L483" s="22"/>
      <c r="M483" s="22"/>
      <c r="N483" s="19"/>
    </row>
    <row r="484" spans="2:14" ht="11.1" customHeight="1" x14ac:dyDescent="0.3">
      <c r="B484" s="19">
        <v>477</v>
      </c>
      <c r="C484" s="22">
        <v>203770232.20771396</v>
      </c>
      <c r="D484" s="23">
        <v>1.9057483737441183</v>
      </c>
      <c r="E484" s="22">
        <v>121443789.7601676</v>
      </c>
      <c r="F484" s="23">
        <v>1.4363154900112236</v>
      </c>
      <c r="G484" s="22">
        <v>82326442.447546363</v>
      </c>
      <c r="H484" s="23">
        <v>0.46943288373289471</v>
      </c>
      <c r="I484" s="23">
        <f t="shared" si="25"/>
        <v>175374255.40557092</v>
      </c>
      <c r="J484" s="4">
        <f t="shared" si="24"/>
        <v>14082986.511986841</v>
      </c>
      <c r="L484" s="22"/>
      <c r="M484" s="22"/>
      <c r="N484" s="19"/>
    </row>
    <row r="485" spans="2:14" ht="11.1" customHeight="1" x14ac:dyDescent="0.3">
      <c r="B485" s="19">
        <v>478</v>
      </c>
      <c r="C485" s="22">
        <v>200405145.89973348</v>
      </c>
      <c r="D485" s="23">
        <v>2.1661335590704969</v>
      </c>
      <c r="E485" s="22">
        <v>117286970.03092645</v>
      </c>
      <c r="F485" s="23">
        <v>1.7101969809877293</v>
      </c>
      <c r="G485" s="22">
        <v>83118175.868807033</v>
      </c>
      <c r="H485" s="23">
        <v>0.45593657808276755</v>
      </c>
      <c r="I485" s="23">
        <f t="shared" si="25"/>
        <v>182302056.61129987</v>
      </c>
      <c r="J485" s="4">
        <f t="shared" si="24"/>
        <v>13678097.342483027</v>
      </c>
      <c r="L485" s="22"/>
      <c r="M485" s="22"/>
      <c r="N485" s="19"/>
    </row>
    <row r="486" spans="2:14" ht="11.1" customHeight="1" x14ac:dyDescent="0.3">
      <c r="B486" s="19">
        <v>479</v>
      </c>
      <c r="C486" s="22">
        <v>201349663.18235773</v>
      </c>
      <c r="D486" s="23">
        <v>1.8929389272035275</v>
      </c>
      <c r="E486" s="22">
        <v>118488344.42201732</v>
      </c>
      <c r="F486" s="23">
        <v>1.4493249392302212</v>
      </c>
      <c r="G486" s="22">
        <v>82861318.760340407</v>
      </c>
      <c r="H486" s="23">
        <v>0.44361398797330631</v>
      </c>
      <c r="I486" s="23">
        <f t="shared" si="25"/>
        <v>186786983.74435937</v>
      </c>
      <c r="J486" s="4">
        <f t="shared" si="24"/>
        <v>13308419.63919919</v>
      </c>
      <c r="L486" s="22"/>
      <c r="M486" s="22"/>
      <c r="N486" s="19"/>
    </row>
    <row r="487" spans="2:14" ht="11.1" customHeight="1" x14ac:dyDescent="0.3">
      <c r="B487" s="19">
        <v>480</v>
      </c>
      <c r="C487" s="22">
        <v>198479939.08081353</v>
      </c>
      <c r="D487" s="23">
        <v>2.0011850540448237</v>
      </c>
      <c r="E487" s="22">
        <v>115258007.78456897</v>
      </c>
      <c r="F487" s="23">
        <v>1.5846396763868456</v>
      </c>
      <c r="G487" s="22">
        <v>83221931.296244562</v>
      </c>
      <c r="H487" s="23">
        <v>0.41654537765797817</v>
      </c>
      <c r="I487" s="23">
        <f t="shared" si="25"/>
        <v>199790792.93631575</v>
      </c>
      <c r="J487" s="4">
        <f t="shared" si="24"/>
        <v>12496361.329739345</v>
      </c>
      <c r="L487" s="22"/>
      <c r="M487" s="22"/>
      <c r="N487" s="19"/>
    </row>
    <row r="488" spans="2:14" ht="11.1" customHeight="1" x14ac:dyDescent="0.3">
      <c r="B488" s="19">
        <v>481</v>
      </c>
      <c r="C488" s="22">
        <v>202514159.65081519</v>
      </c>
      <c r="D488" s="23">
        <v>2.0283846090543052</v>
      </c>
      <c r="E488" s="22">
        <v>119608176.33846559</v>
      </c>
      <c r="F488" s="23">
        <v>1.5632935179159477</v>
      </c>
      <c r="G488" s="22">
        <v>82905983.312349603</v>
      </c>
      <c r="H488" s="23">
        <v>0.46509109113835745</v>
      </c>
      <c r="I488" s="23">
        <f t="shared" si="25"/>
        <v>178257517.48851785</v>
      </c>
      <c r="J488" s="4">
        <f t="shared" si="24"/>
        <v>13952732.734150723</v>
      </c>
      <c r="L488" s="22"/>
      <c r="M488" s="22"/>
      <c r="N488" s="19"/>
    </row>
    <row r="489" spans="2:14" ht="11.1" customHeight="1" x14ac:dyDescent="0.3">
      <c r="B489" s="19">
        <v>482</v>
      </c>
      <c r="C489" s="22">
        <v>201182678.27973011</v>
      </c>
      <c r="D489" s="23">
        <v>2.0357417880972135</v>
      </c>
      <c r="E489" s="22">
        <v>117679489.55413748</v>
      </c>
      <c r="F489" s="23">
        <v>1.5403932662999682</v>
      </c>
      <c r="G489" s="22">
        <v>83503188.725592628</v>
      </c>
      <c r="H489" s="23">
        <v>0.49534852179724531</v>
      </c>
      <c r="I489" s="23">
        <f t="shared" si="25"/>
        <v>168574619.79016852</v>
      </c>
      <c r="J489" s="4">
        <f t="shared" si="24"/>
        <v>14860455.653917359</v>
      </c>
      <c r="L489" s="22"/>
      <c r="M489" s="22"/>
      <c r="N489" s="19"/>
    </row>
    <row r="490" spans="2:14" ht="11.1" customHeight="1" x14ac:dyDescent="0.3">
      <c r="B490" s="19">
        <v>483</v>
      </c>
      <c r="C490" s="22">
        <v>201508998.41298759</v>
      </c>
      <c r="D490" s="23">
        <v>2.1812710102437771</v>
      </c>
      <c r="E490" s="22">
        <v>118302822.28190756</v>
      </c>
      <c r="F490" s="23">
        <v>1.7146538954505928</v>
      </c>
      <c r="G490" s="22">
        <v>83206176.131080031</v>
      </c>
      <c r="H490" s="23">
        <v>0.46661711479318435</v>
      </c>
      <c r="I490" s="23">
        <f t="shared" si="25"/>
        <v>178317883.1062786</v>
      </c>
      <c r="J490" s="4">
        <f t="shared" si="24"/>
        <v>13998513.44379553</v>
      </c>
      <c r="L490" s="22"/>
      <c r="M490" s="22"/>
      <c r="N490" s="19"/>
    </row>
    <row r="491" spans="2:14" ht="11.1" customHeight="1" x14ac:dyDescent="0.3">
      <c r="B491" s="19">
        <v>484</v>
      </c>
      <c r="C491" s="22">
        <v>205420025.01047415</v>
      </c>
      <c r="D491" s="23">
        <v>2.2519775379949936</v>
      </c>
      <c r="E491" s="22">
        <v>122925021.81684338</v>
      </c>
      <c r="F491" s="23">
        <v>1.7468575096006076</v>
      </c>
      <c r="G491" s="22">
        <v>82495003.19363077</v>
      </c>
      <c r="H491" s="23">
        <v>0.50512002839438597</v>
      </c>
      <c r="I491" s="23">
        <f t="shared" si="25"/>
        <v>163317624.63637769</v>
      </c>
      <c r="J491" s="4">
        <f t="shared" si="24"/>
        <v>15153600.85183158</v>
      </c>
      <c r="L491" s="22"/>
      <c r="M491" s="22"/>
      <c r="N491" s="19"/>
    </row>
    <row r="492" spans="2:14" ht="11.1" customHeight="1" x14ac:dyDescent="0.3">
      <c r="B492" s="19">
        <v>485</v>
      </c>
      <c r="C492" s="22">
        <v>200067181.78717402</v>
      </c>
      <c r="D492" s="23">
        <v>1.6727349644822982</v>
      </c>
      <c r="E492" s="22">
        <v>116859920.60362577</v>
      </c>
      <c r="F492" s="23">
        <v>1.2415441268005398</v>
      </c>
      <c r="G492" s="22">
        <v>83207261.183548242</v>
      </c>
      <c r="H492" s="23">
        <v>0.43119083768175837</v>
      </c>
      <c r="I492" s="23">
        <f t="shared" si="25"/>
        <v>192970847.04049209</v>
      </c>
      <c r="J492" s="4">
        <f t="shared" si="24"/>
        <v>12935725.13045275</v>
      </c>
      <c r="L492" s="22"/>
      <c r="M492" s="22"/>
      <c r="N492" s="19"/>
    </row>
    <row r="493" spans="2:14" ht="11.1" customHeight="1" x14ac:dyDescent="0.3">
      <c r="B493" s="19">
        <v>486</v>
      </c>
      <c r="C493" s="22">
        <v>200937676.09202293</v>
      </c>
      <c r="D493" s="23">
        <v>2.1472537951333828</v>
      </c>
      <c r="E493" s="22">
        <v>117523262.53836603</v>
      </c>
      <c r="F493" s="23">
        <v>1.6699507692787583</v>
      </c>
      <c r="G493" s="22">
        <v>83414413.553656891</v>
      </c>
      <c r="H493" s="23">
        <v>0.47730302585462447</v>
      </c>
      <c r="I493" s="23">
        <f t="shared" si="25"/>
        <v>174761962.6008049</v>
      </c>
      <c r="J493" s="4">
        <f t="shared" si="24"/>
        <v>14319090.775638735</v>
      </c>
      <c r="L493" s="22"/>
      <c r="M493" s="22"/>
      <c r="N493" s="19"/>
    </row>
    <row r="494" spans="2:14" ht="11.1" customHeight="1" x14ac:dyDescent="0.3">
      <c r="B494" s="19">
        <v>487</v>
      </c>
      <c r="C494" s="22">
        <v>202111857.9204573</v>
      </c>
      <c r="D494" s="23">
        <v>2.1716084563251581</v>
      </c>
      <c r="E494" s="22">
        <v>119067865.09713966</v>
      </c>
      <c r="F494" s="23">
        <v>1.6795053726395912</v>
      </c>
      <c r="G494" s="22">
        <v>83043992.823317647</v>
      </c>
      <c r="H494" s="23">
        <v>0.49210308368556688</v>
      </c>
      <c r="I494" s="23">
        <f t="shared" si="25"/>
        <v>168753246.17225781</v>
      </c>
      <c r="J494" s="4">
        <f t="shared" si="24"/>
        <v>14763092.510567006</v>
      </c>
      <c r="L494" s="22"/>
      <c r="M494" s="22"/>
      <c r="N494" s="19"/>
    </row>
    <row r="495" spans="2:14" ht="11.1" customHeight="1" x14ac:dyDescent="0.3">
      <c r="B495" s="19">
        <v>488</v>
      </c>
      <c r="C495" s="22">
        <v>200463571.17138132</v>
      </c>
      <c r="D495" s="23">
        <v>1.9344209107041699</v>
      </c>
      <c r="E495" s="22">
        <v>117871866.70726289</v>
      </c>
      <c r="F495" s="23">
        <v>1.4850992226982145</v>
      </c>
      <c r="G495" s="22">
        <v>82591704.464118436</v>
      </c>
      <c r="H495" s="23">
        <v>0.4493216880059554</v>
      </c>
      <c r="I495" s="23">
        <f t="shared" si="25"/>
        <v>183814195.19420961</v>
      </c>
      <c r="J495" s="4">
        <f t="shared" si="24"/>
        <v>13479650.640178662</v>
      </c>
      <c r="L495" s="22"/>
      <c r="M495" s="22"/>
      <c r="N495" s="19"/>
    </row>
    <row r="496" spans="2:14" ht="11.1" customHeight="1" x14ac:dyDescent="0.3">
      <c r="B496" s="19">
        <v>489</v>
      </c>
      <c r="C496" s="22">
        <v>200278965.44776553</v>
      </c>
      <c r="D496" s="23">
        <v>2.0691995210922918</v>
      </c>
      <c r="E496" s="22">
        <v>117560823.40335841</v>
      </c>
      <c r="F496" s="23">
        <v>1.6357195024095239</v>
      </c>
      <c r="G496" s="22">
        <v>82718142.044407114</v>
      </c>
      <c r="H496" s="23">
        <v>0.43348001868276786</v>
      </c>
      <c r="I496" s="23">
        <f t="shared" si="25"/>
        <v>190823425.48513737</v>
      </c>
      <c r="J496" s="4">
        <f t="shared" si="24"/>
        <v>13004400.560483037</v>
      </c>
      <c r="L496" s="22"/>
      <c r="M496" s="22"/>
      <c r="N496" s="19"/>
    </row>
    <row r="497" spans="2:14" ht="11.1" customHeight="1" x14ac:dyDescent="0.3">
      <c r="B497" s="19">
        <v>490</v>
      </c>
      <c r="C497" s="22">
        <v>200496832.06080264</v>
      </c>
      <c r="D497" s="23">
        <v>1.6170349108385944</v>
      </c>
      <c r="E497" s="22">
        <v>117378355.50475216</v>
      </c>
      <c r="F497" s="23">
        <v>1.1787627757507726</v>
      </c>
      <c r="G497" s="22">
        <v>83118476.556050479</v>
      </c>
      <c r="H497" s="23">
        <v>0.43827213508782181</v>
      </c>
      <c r="I497" s="23">
        <f t="shared" si="25"/>
        <v>189650379.07188657</v>
      </c>
      <c r="J497" s="4">
        <f t="shared" si="24"/>
        <v>13148164.052634655</v>
      </c>
      <c r="L497" s="22"/>
      <c r="M497" s="22"/>
      <c r="N497" s="19"/>
    </row>
    <row r="498" spans="2:14" ht="11.1" customHeight="1" x14ac:dyDescent="0.3">
      <c r="B498" s="19">
        <v>491</v>
      </c>
      <c r="C498" s="22">
        <v>203195745.23059034</v>
      </c>
      <c r="D498" s="23">
        <v>2.2498704724773413</v>
      </c>
      <c r="E498" s="22">
        <v>119828662.96689628</v>
      </c>
      <c r="F498" s="23">
        <v>1.8247091868199292</v>
      </c>
      <c r="G498" s="22">
        <v>83367082.263694063</v>
      </c>
      <c r="H498" s="23">
        <v>0.42516128565741207</v>
      </c>
      <c r="I498" s="23">
        <f t="shared" si="25"/>
        <v>196083427.80972272</v>
      </c>
      <c r="J498" s="4">
        <f t="shared" si="24"/>
        <v>12754838.569722362</v>
      </c>
      <c r="L498" s="22"/>
      <c r="M498" s="22"/>
      <c r="N498" s="19"/>
    </row>
    <row r="499" spans="2:14" ht="11.1" customHeight="1" x14ac:dyDescent="0.3">
      <c r="B499" s="19">
        <v>492</v>
      </c>
      <c r="C499" s="22">
        <v>199865921.6357592</v>
      </c>
      <c r="D499" s="23">
        <v>2.0787973080851145</v>
      </c>
      <c r="E499" s="22">
        <v>116946770.17799398</v>
      </c>
      <c r="F499" s="23">
        <v>1.627625286410066</v>
      </c>
      <c r="G499" s="22">
        <v>82919151.457765222</v>
      </c>
      <c r="H499" s="23">
        <v>0.45117202167504855</v>
      </c>
      <c r="I499" s="23">
        <f t="shared" si="25"/>
        <v>183786111.44794521</v>
      </c>
      <c r="J499" s="4">
        <f t="shared" si="24"/>
        <v>13535160.650251457</v>
      </c>
      <c r="L499" s="22"/>
      <c r="M499" s="22"/>
      <c r="N499" s="19"/>
    </row>
    <row r="500" spans="2:14" ht="11.1" customHeight="1" x14ac:dyDescent="0.3">
      <c r="B500" s="19">
        <v>493</v>
      </c>
      <c r="C500" s="22">
        <v>200458714.6824927</v>
      </c>
      <c r="D500" s="23">
        <v>2.139706769087252</v>
      </c>
      <c r="E500" s="22">
        <v>117446577.60252967</v>
      </c>
      <c r="F500" s="23">
        <v>1.6725585123626774</v>
      </c>
      <c r="G500" s="22">
        <v>83012137.079963028</v>
      </c>
      <c r="H500" s="23">
        <v>0.46714825672457461</v>
      </c>
      <c r="I500" s="23">
        <f t="shared" si="25"/>
        <v>177699768.5103341</v>
      </c>
      <c r="J500" s="4">
        <f t="shared" si="24"/>
        <v>14014447.701737238</v>
      </c>
      <c r="L500" s="22"/>
      <c r="M500" s="22"/>
      <c r="N500" s="19"/>
    </row>
    <row r="501" spans="2:14" ht="11.1" customHeight="1" x14ac:dyDescent="0.3">
      <c r="B501" s="19">
        <v>494</v>
      </c>
      <c r="C501" s="22">
        <v>202515144.21271792</v>
      </c>
      <c r="D501" s="23">
        <v>1.802522294737783</v>
      </c>
      <c r="E501" s="22">
        <v>118758406.95529664</v>
      </c>
      <c r="F501" s="23">
        <v>1.362956994523308</v>
      </c>
      <c r="G501" s="22">
        <v>83756737.257421285</v>
      </c>
      <c r="H501" s="23">
        <v>0.43956530021447504</v>
      </c>
      <c r="I501" s="23">
        <f t="shared" si="25"/>
        <v>190544470.22218144</v>
      </c>
      <c r="J501" s="4">
        <f t="shared" si="24"/>
        <v>13186959.006434251</v>
      </c>
      <c r="L501" s="22"/>
      <c r="M501" s="22"/>
      <c r="N501" s="19"/>
    </row>
    <row r="502" spans="2:14" ht="11.1" customHeight="1" x14ac:dyDescent="0.3">
      <c r="B502" s="19">
        <v>495</v>
      </c>
      <c r="C502" s="22">
        <v>196891915.86917165</v>
      </c>
      <c r="D502" s="23">
        <v>1.8495320702982088</v>
      </c>
      <c r="E502" s="22">
        <v>113791835.48912658</v>
      </c>
      <c r="F502" s="23">
        <v>1.3855086316224743</v>
      </c>
      <c r="G502" s="22">
        <v>83100080.380045071</v>
      </c>
      <c r="H502" s="23">
        <v>0.46402343867573448</v>
      </c>
      <c r="I502" s="23">
        <f t="shared" si="25"/>
        <v>179085954.40179148</v>
      </c>
      <c r="J502" s="4">
        <f t="shared" si="24"/>
        <v>13920703.160272034</v>
      </c>
      <c r="L502" s="22"/>
      <c r="M502" s="22"/>
      <c r="N502" s="19"/>
    </row>
    <row r="503" spans="2:14" ht="11.1" customHeight="1" x14ac:dyDescent="0.3">
      <c r="B503" s="19">
        <v>496</v>
      </c>
      <c r="C503" s="22">
        <v>204184351.52397648</v>
      </c>
      <c r="D503" s="23">
        <v>1.9318154660580005</v>
      </c>
      <c r="E503" s="22">
        <v>121438650.7680745</v>
      </c>
      <c r="F503" s="23">
        <v>1.4621036377648269</v>
      </c>
      <c r="G503" s="22">
        <v>82745700.755901977</v>
      </c>
      <c r="H503" s="23">
        <v>0.46971182829317359</v>
      </c>
      <c r="I503" s="23">
        <f t="shared" si="25"/>
        <v>176162693.31896776</v>
      </c>
      <c r="J503" s="4">
        <f t="shared" si="24"/>
        <v>14091354.848795207</v>
      </c>
      <c r="L503" s="22"/>
      <c r="M503" s="22"/>
      <c r="N503" s="19"/>
    </row>
    <row r="504" spans="2:14" ht="11.1" customHeight="1" x14ac:dyDescent="0.3">
      <c r="B504" s="19">
        <v>497</v>
      </c>
      <c r="C504" s="22">
        <v>202028905.77244285</v>
      </c>
      <c r="D504" s="23">
        <v>2.0445826951377932</v>
      </c>
      <c r="E504" s="22">
        <v>119458381.06083207</v>
      </c>
      <c r="F504" s="23">
        <v>1.5767283489209238</v>
      </c>
      <c r="G504" s="22">
        <v>82570524.711610779</v>
      </c>
      <c r="H504" s="23">
        <v>0.46785434621686939</v>
      </c>
      <c r="I504" s="23">
        <f t="shared" si="25"/>
        <v>176487672.66839924</v>
      </c>
      <c r="J504" s="4">
        <f t="shared" si="24"/>
        <v>14035630.386506082</v>
      </c>
      <c r="L504" s="22"/>
      <c r="M504" s="22"/>
      <c r="N504" s="19"/>
    </row>
    <row r="505" spans="2:14" ht="11.1" customHeight="1" x14ac:dyDescent="0.3">
      <c r="B505" s="19">
        <v>498</v>
      </c>
      <c r="C505" s="22">
        <v>201923853.11281237</v>
      </c>
      <c r="D505" s="23">
        <v>2.0224616620798526</v>
      </c>
      <c r="E505" s="22">
        <v>118940427.66852006</v>
      </c>
      <c r="F505" s="23">
        <v>1.5616171481040715</v>
      </c>
      <c r="G505" s="22">
        <v>82983425.444292307</v>
      </c>
      <c r="H505" s="23">
        <v>0.46084451397578108</v>
      </c>
      <c r="I505" s="23">
        <f t="shared" si="25"/>
        <v>180068163.83335176</v>
      </c>
      <c r="J505" s="4">
        <f t="shared" si="24"/>
        <v>13825335.419273432</v>
      </c>
      <c r="L505" s="22"/>
      <c r="M505" s="22"/>
      <c r="N505" s="19"/>
    </row>
    <row r="506" spans="2:14" ht="11.1" customHeight="1" x14ac:dyDescent="0.3">
      <c r="B506" s="19">
        <v>499</v>
      </c>
      <c r="C506" s="22">
        <v>206283778.59782499</v>
      </c>
      <c r="D506" s="23">
        <v>1.8875305321225859</v>
      </c>
      <c r="E506" s="22">
        <v>123544576.13641359</v>
      </c>
      <c r="F506" s="23">
        <v>1.4101847829712582</v>
      </c>
      <c r="G506" s="22">
        <v>82739202.461411402</v>
      </c>
      <c r="H506" s="23">
        <v>0.47734574915132777</v>
      </c>
      <c r="I506" s="23">
        <f t="shared" si="25"/>
        <v>173331809.50812548</v>
      </c>
      <c r="J506" s="4">
        <f t="shared" si="24"/>
        <v>14320372.474539833</v>
      </c>
      <c r="L506" s="22"/>
      <c r="M506" s="22"/>
      <c r="N506" s="19"/>
    </row>
    <row r="507" spans="2:14" ht="11.1" customHeight="1" x14ac:dyDescent="0.3">
      <c r="B507" s="19">
        <v>500</v>
      </c>
      <c r="C507" s="22">
        <v>204098193.93125534</v>
      </c>
      <c r="D507" s="23">
        <v>2.057542326764334</v>
      </c>
      <c r="E507" s="22">
        <v>121135276.34306368</v>
      </c>
      <c r="F507" s="23">
        <v>1.5946702146719958</v>
      </c>
      <c r="G507" s="22">
        <v>82962917.588191658</v>
      </c>
      <c r="H507" s="23">
        <v>0.46287211209233825</v>
      </c>
      <c r="I507" s="23">
        <f t="shared" si="25"/>
        <v>179235074.70167354</v>
      </c>
      <c r="J507" s="4">
        <f t="shared" si="24"/>
        <v>13886163.362770148</v>
      </c>
      <c r="L507" s="22"/>
      <c r="M507" s="22"/>
      <c r="N507" s="19"/>
    </row>
    <row r="508" spans="2:14" ht="11.1" customHeight="1" x14ac:dyDescent="0.3">
      <c r="B508" s="19">
        <v>501</v>
      </c>
      <c r="C508" s="22">
        <v>202407042.25395921</v>
      </c>
      <c r="D508" s="23">
        <v>2.1731204949825558</v>
      </c>
      <c r="E508" s="22">
        <v>119725819.50806066</v>
      </c>
      <c r="F508" s="23">
        <v>1.7695185875128785</v>
      </c>
      <c r="G508" s="22">
        <v>82681222.745898545</v>
      </c>
      <c r="H508" s="23">
        <v>0.40360190746967728</v>
      </c>
      <c r="I508" s="23">
        <f t="shared" si="25"/>
        <v>204858354.76907504</v>
      </c>
      <c r="J508" s="4">
        <f t="shared" si="24"/>
        <v>12108057.224090319</v>
      </c>
      <c r="L508" s="22"/>
      <c r="M508" s="22"/>
      <c r="N508" s="19"/>
    </row>
    <row r="509" spans="2:14" ht="11.1" customHeight="1" x14ac:dyDescent="0.3">
      <c r="B509" s="19">
        <v>502</v>
      </c>
      <c r="C509" s="22">
        <v>202846615.68105504</v>
      </c>
      <c r="D509" s="23">
        <v>2.3379311735691437</v>
      </c>
      <c r="E509" s="22">
        <v>120394044.69435343</v>
      </c>
      <c r="F509" s="23">
        <v>1.8936200244643411</v>
      </c>
      <c r="G509" s="22">
        <v>82452570.986701608</v>
      </c>
      <c r="H509" s="23">
        <v>0.44431114910480263</v>
      </c>
      <c r="I509" s="23">
        <f t="shared" si="25"/>
        <v>185573941.03845224</v>
      </c>
      <c r="J509" s="4">
        <f t="shared" si="24"/>
        <v>13329334.473144079</v>
      </c>
      <c r="L509" s="22"/>
      <c r="M509" s="22"/>
      <c r="N509" s="19"/>
    </row>
    <row r="510" spans="2:14" ht="11.1" customHeight="1" x14ac:dyDescent="0.3">
      <c r="B510" s="19">
        <v>503</v>
      </c>
      <c r="C510" s="22">
        <v>200514351.42644969</v>
      </c>
      <c r="D510" s="23">
        <v>2.1399394327718775</v>
      </c>
      <c r="E510" s="22">
        <v>117627088.76555228</v>
      </c>
      <c r="F510" s="23">
        <v>1.6679042150406456</v>
      </c>
      <c r="G510" s="22">
        <v>82887262.660897404</v>
      </c>
      <c r="H510" s="23">
        <v>0.47203521773123192</v>
      </c>
      <c r="I510" s="23">
        <f t="shared" si="25"/>
        <v>175595505.47792363</v>
      </c>
      <c r="J510" s="4">
        <f t="shared" si="24"/>
        <v>14161056.531936957</v>
      </c>
      <c r="L510" s="22"/>
      <c r="M510" s="22"/>
      <c r="N510" s="19"/>
    </row>
    <row r="511" spans="2:14" ht="11.1" customHeight="1" x14ac:dyDescent="0.3">
      <c r="B511" s="19">
        <v>504</v>
      </c>
      <c r="C511" s="22">
        <v>203020463.36560118</v>
      </c>
      <c r="D511" s="23">
        <v>1.7897839024886109</v>
      </c>
      <c r="E511" s="22">
        <v>120488262.62099504</v>
      </c>
      <c r="F511" s="23">
        <v>1.3877455028337635</v>
      </c>
      <c r="G511" s="22">
        <v>82532200.744606137</v>
      </c>
      <c r="H511" s="23">
        <v>0.40203839965484733</v>
      </c>
      <c r="I511" s="23">
        <f t="shared" si="25"/>
        <v>205284372.87448311</v>
      </c>
      <c r="J511" s="4">
        <f t="shared" si="24"/>
        <v>12061151.98964542</v>
      </c>
      <c r="L511" s="22"/>
      <c r="M511" s="22"/>
      <c r="N511" s="19"/>
    </row>
    <row r="512" spans="2:14" ht="11.1" customHeight="1" x14ac:dyDescent="0.3">
      <c r="B512" s="19">
        <v>505</v>
      </c>
      <c r="C512" s="22">
        <v>199612513.26205081</v>
      </c>
      <c r="D512" s="23">
        <v>1.7735720876256718</v>
      </c>
      <c r="E512" s="22">
        <v>116440856.02391092</v>
      </c>
      <c r="F512" s="23">
        <v>1.3447443538748733</v>
      </c>
      <c r="G512" s="22">
        <v>83171657.238139883</v>
      </c>
      <c r="H512" s="23">
        <v>0.42882773375079841</v>
      </c>
      <c r="I512" s="23">
        <f t="shared" si="25"/>
        <v>193951208.5906105</v>
      </c>
      <c r="J512" s="4">
        <f t="shared" si="24"/>
        <v>12864832.012523953</v>
      </c>
      <c r="L512" s="22"/>
      <c r="M512" s="22"/>
      <c r="N512" s="19"/>
    </row>
    <row r="513" spans="2:14" ht="11.1" customHeight="1" x14ac:dyDescent="0.3">
      <c r="B513" s="19">
        <v>506</v>
      </c>
      <c r="C513" s="22">
        <v>201366142.87350971</v>
      </c>
      <c r="D513" s="23">
        <v>2.0054392003994033</v>
      </c>
      <c r="E513" s="22">
        <v>118611480.93135823</v>
      </c>
      <c r="F513" s="23">
        <v>1.5026289221887525</v>
      </c>
      <c r="G513" s="22">
        <v>82754661.942151472</v>
      </c>
      <c r="H513" s="23">
        <v>0.50281027821065072</v>
      </c>
      <c r="I513" s="23">
        <f t="shared" si="25"/>
        <v>164584268.71592644</v>
      </c>
      <c r="J513" s="4">
        <f t="shared" si="24"/>
        <v>15084308.346319521</v>
      </c>
      <c r="L513" s="22"/>
      <c r="M513" s="22"/>
      <c r="N513" s="19"/>
    </row>
    <row r="514" spans="2:14" ht="11.1" customHeight="1" x14ac:dyDescent="0.3">
      <c r="B514" s="19">
        <v>507</v>
      </c>
      <c r="C514" s="22">
        <v>202552561.98450193</v>
      </c>
      <c r="D514" s="23">
        <v>2.0448740654895969</v>
      </c>
      <c r="E514" s="22">
        <v>119422163.53639276</v>
      </c>
      <c r="F514" s="23">
        <v>1.5834770848106394</v>
      </c>
      <c r="G514" s="22">
        <v>83130398.448109165</v>
      </c>
      <c r="H514" s="23">
        <v>0.46139698067895751</v>
      </c>
      <c r="I514" s="23">
        <f t="shared" si="25"/>
        <v>180171093.2866978</v>
      </c>
      <c r="J514" s="4">
        <f t="shared" si="24"/>
        <v>13841909.420368725</v>
      </c>
      <c r="L514" s="22"/>
      <c r="M514" s="22"/>
      <c r="N514" s="19"/>
    </row>
    <row r="515" spans="2:14" ht="11.1" customHeight="1" x14ac:dyDescent="0.3">
      <c r="B515" s="19">
        <v>508</v>
      </c>
      <c r="C515" s="22">
        <v>203293594.75233468</v>
      </c>
      <c r="D515" s="23">
        <v>2.3560665433016719</v>
      </c>
      <c r="E515" s="22">
        <v>120492134.31460531</v>
      </c>
      <c r="F515" s="23">
        <v>1.8537252232521588</v>
      </c>
      <c r="G515" s="22">
        <v>82801460.437729374</v>
      </c>
      <c r="H515" s="23">
        <v>0.50234132004951304</v>
      </c>
      <c r="I515" s="23">
        <f t="shared" si="25"/>
        <v>164831076.26815984</v>
      </c>
      <c r="J515" s="4">
        <f t="shared" si="24"/>
        <v>15070239.601485392</v>
      </c>
      <c r="L515" s="22"/>
      <c r="M515" s="22"/>
      <c r="N515" s="19"/>
    </row>
    <row r="516" spans="2:14" ht="11.1" customHeight="1" x14ac:dyDescent="0.3">
      <c r="B516" s="19">
        <v>509</v>
      </c>
      <c r="C516" s="22">
        <v>203031745.08163053</v>
      </c>
      <c r="D516" s="23">
        <v>2.0085395354617237</v>
      </c>
      <c r="E516" s="22">
        <v>120006273.03492565</v>
      </c>
      <c r="F516" s="23">
        <v>1.5315508571794405</v>
      </c>
      <c r="G516" s="22">
        <v>83025472.046704873</v>
      </c>
      <c r="H516" s="23">
        <v>0.4769886782822832</v>
      </c>
      <c r="I516" s="23">
        <f t="shared" si="25"/>
        <v>174061724.78913677</v>
      </c>
      <c r="J516" s="4">
        <f t="shared" si="24"/>
        <v>14309660.348468496</v>
      </c>
      <c r="L516" s="22"/>
      <c r="M516" s="22"/>
      <c r="N516" s="19"/>
    </row>
    <row r="517" spans="2:14" ht="11.1" customHeight="1" x14ac:dyDescent="0.3">
      <c r="B517" s="19">
        <v>510</v>
      </c>
      <c r="C517" s="22">
        <v>203334315.83058789</v>
      </c>
      <c r="D517" s="23">
        <v>2.1454129985875809</v>
      </c>
      <c r="E517" s="22">
        <v>120762440.16194883</v>
      </c>
      <c r="F517" s="23">
        <v>1.6744549837720903</v>
      </c>
      <c r="G517" s="22">
        <v>82571875.668639064</v>
      </c>
      <c r="H517" s="23">
        <v>0.4709580148154906</v>
      </c>
      <c r="I517" s="23">
        <f t="shared" si="25"/>
        <v>175327466.71906334</v>
      </c>
      <c r="J517" s="4">
        <f t="shared" si="24"/>
        <v>14128740.444464719</v>
      </c>
      <c r="L517" s="22"/>
      <c r="M517" s="22"/>
      <c r="N517" s="19"/>
    </row>
    <row r="518" spans="2:14" ht="11.1" customHeight="1" x14ac:dyDescent="0.3">
      <c r="B518" s="19">
        <v>511</v>
      </c>
      <c r="C518" s="22">
        <v>200303874.05715844</v>
      </c>
      <c r="D518" s="23">
        <v>2.155123515723298</v>
      </c>
      <c r="E518" s="22">
        <v>117405185.78593753</v>
      </c>
      <c r="F518" s="23">
        <v>1.6608312459894221</v>
      </c>
      <c r="G518" s="22">
        <v>82898688.271220908</v>
      </c>
      <c r="H518" s="23">
        <v>0.49429226973387586</v>
      </c>
      <c r="I518" s="23">
        <f t="shared" si="25"/>
        <v>167711884.9458299</v>
      </c>
      <c r="J518" s="4">
        <f t="shared" si="24"/>
        <v>14828768.092016276</v>
      </c>
      <c r="L518" s="22"/>
      <c r="M518" s="22"/>
      <c r="N518" s="19"/>
    </row>
    <row r="519" spans="2:14" ht="11.1" customHeight="1" x14ac:dyDescent="0.3">
      <c r="B519" s="19">
        <v>512</v>
      </c>
      <c r="C519" s="22">
        <v>202647191.63172361</v>
      </c>
      <c r="D519" s="23">
        <v>2.1088474866306335</v>
      </c>
      <c r="E519" s="22">
        <v>119877271.02435414</v>
      </c>
      <c r="F519" s="23">
        <v>1.7234881589606135</v>
      </c>
      <c r="G519" s="22">
        <v>82769920.607369468</v>
      </c>
      <c r="H519" s="23">
        <v>0.38535932767002001</v>
      </c>
      <c r="I519" s="23">
        <f t="shared" si="25"/>
        <v>214786342.67870808</v>
      </c>
      <c r="J519" s="4">
        <f t="shared" si="24"/>
        <v>11560779.8301006</v>
      </c>
      <c r="L519" s="22"/>
      <c r="M519" s="22"/>
      <c r="N519" s="19"/>
    </row>
    <row r="520" spans="2:14" ht="11.1" customHeight="1" x14ac:dyDescent="0.3">
      <c r="B520" s="19">
        <v>513</v>
      </c>
      <c r="C520" s="22">
        <v>203991373.01755697</v>
      </c>
      <c r="D520" s="23">
        <v>1.8591422507852629</v>
      </c>
      <c r="E520" s="22">
        <v>121508286.3606738</v>
      </c>
      <c r="F520" s="23">
        <v>1.4309863813623482</v>
      </c>
      <c r="G520" s="22">
        <v>82483086.656883165</v>
      </c>
      <c r="H520" s="23">
        <v>0.42815586942291461</v>
      </c>
      <c r="I520" s="23">
        <f t="shared" si="25"/>
        <v>192647333.71063471</v>
      </c>
      <c r="J520" s="4">
        <f t="shared" ref="J520:J583" si="26">threshold*H520</f>
        <v>12844676.082687438</v>
      </c>
      <c r="L520" s="22"/>
      <c r="M520" s="22"/>
      <c r="N520" s="19"/>
    </row>
    <row r="521" spans="2:14" ht="11.1" customHeight="1" x14ac:dyDescent="0.3">
      <c r="B521" s="19">
        <v>514</v>
      </c>
      <c r="C521" s="22">
        <v>203851469.35140356</v>
      </c>
      <c r="D521" s="23">
        <v>1.9995738698178036</v>
      </c>
      <c r="E521" s="22">
        <v>121066924.82561514</v>
      </c>
      <c r="F521" s="23">
        <v>1.5353895288500556</v>
      </c>
      <c r="G521" s="22">
        <v>82784544.525788426</v>
      </c>
      <c r="H521" s="23">
        <v>0.46418434096774797</v>
      </c>
      <c r="I521" s="23">
        <f t="shared" ref="I521:I584" si="27">G521/H521</f>
        <v>178344112.92978188</v>
      </c>
      <c r="J521" s="4">
        <f t="shared" si="26"/>
        <v>13925530.229032438</v>
      </c>
      <c r="L521" s="22"/>
      <c r="M521" s="22"/>
      <c r="N521" s="19"/>
    </row>
    <row r="522" spans="2:14" ht="11.1" customHeight="1" x14ac:dyDescent="0.3">
      <c r="B522" s="19">
        <v>515</v>
      </c>
      <c r="C522" s="22">
        <v>200309361.9413698</v>
      </c>
      <c r="D522" s="23">
        <v>2.4641494216949926</v>
      </c>
      <c r="E522" s="22">
        <v>116859724.32648459</v>
      </c>
      <c r="F522" s="23">
        <v>1.9956734262244942</v>
      </c>
      <c r="G522" s="22">
        <v>83449637.614885211</v>
      </c>
      <c r="H522" s="23">
        <v>0.46847599547049845</v>
      </c>
      <c r="I522" s="23">
        <f t="shared" si="27"/>
        <v>178130018.23300532</v>
      </c>
      <c r="J522" s="4">
        <f t="shared" si="26"/>
        <v>14054279.864114953</v>
      </c>
      <c r="L522" s="22"/>
      <c r="M522" s="22"/>
      <c r="N522" s="19"/>
    </row>
    <row r="523" spans="2:14" ht="11.1" customHeight="1" x14ac:dyDescent="0.3">
      <c r="B523" s="19">
        <v>516</v>
      </c>
      <c r="C523" s="22">
        <v>202658975.49989361</v>
      </c>
      <c r="D523" s="23">
        <v>1.9486363161825759</v>
      </c>
      <c r="E523" s="22">
        <v>119353761.14248602</v>
      </c>
      <c r="F523" s="23">
        <v>1.5052390691985289</v>
      </c>
      <c r="G523" s="22">
        <v>83305214.357407585</v>
      </c>
      <c r="H523" s="23">
        <v>0.44339724698404703</v>
      </c>
      <c r="I523" s="23">
        <f t="shared" si="27"/>
        <v>187879412.70281458</v>
      </c>
      <c r="J523" s="4">
        <f t="shared" si="26"/>
        <v>13301917.40952141</v>
      </c>
      <c r="L523" s="22"/>
      <c r="M523" s="22"/>
      <c r="N523" s="19"/>
    </row>
    <row r="524" spans="2:14" ht="11.1" customHeight="1" x14ac:dyDescent="0.3">
      <c r="B524" s="19">
        <v>517</v>
      </c>
      <c r="C524" s="22">
        <v>201028295.71403638</v>
      </c>
      <c r="D524" s="23">
        <v>2.0846671119939759</v>
      </c>
      <c r="E524" s="22">
        <v>117836996.37883759</v>
      </c>
      <c r="F524" s="23">
        <v>1.5955493543811756</v>
      </c>
      <c r="G524" s="22">
        <v>83191299.33519879</v>
      </c>
      <c r="H524" s="23">
        <v>0.4891177576128003</v>
      </c>
      <c r="I524" s="23">
        <f t="shared" si="27"/>
        <v>170084397.96016446</v>
      </c>
      <c r="J524" s="4">
        <f t="shared" si="26"/>
        <v>14673532.728384009</v>
      </c>
      <c r="L524" s="22"/>
      <c r="M524" s="22"/>
      <c r="N524" s="19"/>
    </row>
    <row r="525" spans="2:14" ht="11.1" customHeight="1" x14ac:dyDescent="0.3">
      <c r="B525" s="19">
        <v>518</v>
      </c>
      <c r="C525" s="22">
        <v>200877864.61903736</v>
      </c>
      <c r="D525" s="23">
        <v>1.9347979343942714</v>
      </c>
      <c r="E525" s="22">
        <v>117590866.80342084</v>
      </c>
      <c r="F525" s="23">
        <v>1.4789289501341283</v>
      </c>
      <c r="G525" s="22">
        <v>83286997.815616518</v>
      </c>
      <c r="H525" s="23">
        <v>0.45586898426014311</v>
      </c>
      <c r="I525" s="23">
        <f t="shared" si="27"/>
        <v>182699417.35735309</v>
      </c>
      <c r="J525" s="4">
        <f t="shared" si="26"/>
        <v>13676069.527804293</v>
      </c>
      <c r="L525" s="22"/>
      <c r="M525" s="22"/>
      <c r="N525" s="19"/>
    </row>
    <row r="526" spans="2:14" ht="11.1" customHeight="1" x14ac:dyDescent="0.3">
      <c r="B526" s="19">
        <v>519</v>
      </c>
      <c r="C526" s="22">
        <v>199854881.98594829</v>
      </c>
      <c r="D526" s="23">
        <v>2.0357446584771055</v>
      </c>
      <c r="E526" s="22">
        <v>116912126.32187666</v>
      </c>
      <c r="F526" s="23">
        <v>1.5920844717235381</v>
      </c>
      <c r="G526" s="22">
        <v>82942755.664071634</v>
      </c>
      <c r="H526" s="23">
        <v>0.44366018675356744</v>
      </c>
      <c r="I526" s="23">
        <f t="shared" si="27"/>
        <v>186951090.36263934</v>
      </c>
      <c r="J526" s="4">
        <f t="shared" si="26"/>
        <v>13309805.602607023</v>
      </c>
      <c r="L526" s="22"/>
      <c r="M526" s="22"/>
      <c r="N526" s="19"/>
    </row>
    <row r="527" spans="2:14" ht="11.1" customHeight="1" x14ac:dyDescent="0.3">
      <c r="B527" s="19">
        <v>520</v>
      </c>
      <c r="C527" s="22">
        <v>200918823.28955671</v>
      </c>
      <c r="D527" s="23">
        <v>1.9864309086657448</v>
      </c>
      <c r="E527" s="22">
        <v>117571349.12991145</v>
      </c>
      <c r="F527" s="23">
        <v>1.5476344494345562</v>
      </c>
      <c r="G527" s="22">
        <v>83347474.159645259</v>
      </c>
      <c r="H527" s="23">
        <v>0.4387964592311886</v>
      </c>
      <c r="I527" s="23">
        <f t="shared" si="27"/>
        <v>189945639.72935796</v>
      </c>
      <c r="J527" s="4">
        <f t="shared" si="26"/>
        <v>13163893.776935657</v>
      </c>
      <c r="L527" s="22"/>
      <c r="M527" s="22"/>
      <c r="N527" s="19"/>
    </row>
    <row r="528" spans="2:14" ht="11.1" customHeight="1" x14ac:dyDescent="0.3">
      <c r="B528" s="19">
        <v>521</v>
      </c>
      <c r="C528" s="22">
        <v>199651920.10005856</v>
      </c>
      <c r="D528" s="23">
        <v>2.0471135438750823</v>
      </c>
      <c r="E528" s="22">
        <v>116431657.75801539</v>
      </c>
      <c r="F528" s="23">
        <v>1.555315983239588</v>
      </c>
      <c r="G528" s="22">
        <v>83220262.342043161</v>
      </c>
      <c r="H528" s="23">
        <v>0.49179756063549429</v>
      </c>
      <c r="I528" s="23">
        <f t="shared" si="27"/>
        <v>169216500.85963631</v>
      </c>
      <c r="J528" s="4">
        <f t="shared" si="26"/>
        <v>14753926.819064829</v>
      </c>
      <c r="L528" s="22"/>
      <c r="M528" s="22"/>
      <c r="N528" s="19"/>
    </row>
    <row r="529" spans="2:14" ht="11.1" customHeight="1" x14ac:dyDescent="0.3">
      <c r="B529" s="19">
        <v>522</v>
      </c>
      <c r="C529" s="22">
        <v>199618689.7328257</v>
      </c>
      <c r="D529" s="23">
        <v>2.0224708065124903</v>
      </c>
      <c r="E529" s="22">
        <v>116407645.86969218</v>
      </c>
      <c r="F529" s="23">
        <v>1.5471940935113639</v>
      </c>
      <c r="G529" s="22">
        <v>83211043.86313352</v>
      </c>
      <c r="H529" s="23">
        <v>0.47527671300112639</v>
      </c>
      <c r="I529" s="23">
        <f t="shared" si="27"/>
        <v>175079151.96959442</v>
      </c>
      <c r="J529" s="4">
        <f t="shared" si="26"/>
        <v>14258301.390033793</v>
      </c>
      <c r="L529" s="22"/>
      <c r="M529" s="22"/>
      <c r="N529" s="19"/>
    </row>
    <row r="530" spans="2:14" ht="11.1" customHeight="1" x14ac:dyDescent="0.3">
      <c r="B530" s="19">
        <v>523</v>
      </c>
      <c r="C530" s="22">
        <v>203408445.41631308</v>
      </c>
      <c r="D530" s="23">
        <v>2.1062145738269029</v>
      </c>
      <c r="E530" s="22">
        <v>120256518.27645203</v>
      </c>
      <c r="F530" s="23">
        <v>1.6134807267676021</v>
      </c>
      <c r="G530" s="22">
        <v>83151927.139861047</v>
      </c>
      <c r="H530" s="23">
        <v>0.49273384705930079</v>
      </c>
      <c r="I530" s="23">
        <f t="shared" si="27"/>
        <v>168756272.04447693</v>
      </c>
      <c r="J530" s="4">
        <f t="shared" si="26"/>
        <v>14782015.411779024</v>
      </c>
      <c r="L530" s="22"/>
      <c r="M530" s="22"/>
      <c r="N530" s="19"/>
    </row>
    <row r="531" spans="2:14" ht="11.1" customHeight="1" x14ac:dyDescent="0.3">
      <c r="B531" s="19">
        <v>524</v>
      </c>
      <c r="C531" s="22">
        <v>203993363.47045526</v>
      </c>
      <c r="D531" s="23">
        <v>2.0582373352108601</v>
      </c>
      <c r="E531" s="22">
        <v>121227331.33097783</v>
      </c>
      <c r="F531" s="23">
        <v>1.6008555747706592</v>
      </c>
      <c r="G531" s="22">
        <v>82766032.139477432</v>
      </c>
      <c r="H531" s="23">
        <v>0.45738176044020085</v>
      </c>
      <c r="I531" s="23">
        <f t="shared" si="27"/>
        <v>180956127.45864722</v>
      </c>
      <c r="J531" s="4">
        <f t="shared" si="26"/>
        <v>13721452.813206024</v>
      </c>
      <c r="L531" s="22"/>
      <c r="M531" s="22"/>
      <c r="N531" s="19"/>
    </row>
    <row r="532" spans="2:14" ht="11.1" customHeight="1" x14ac:dyDescent="0.3">
      <c r="B532" s="19">
        <v>525</v>
      </c>
      <c r="C532" s="22">
        <v>200778726.01538101</v>
      </c>
      <c r="D532" s="23">
        <v>2.0509170133621297</v>
      </c>
      <c r="E532" s="22">
        <v>117708338.94215728</v>
      </c>
      <c r="F532" s="23">
        <v>1.5859248929661705</v>
      </c>
      <c r="G532" s="22">
        <v>83070387.073223725</v>
      </c>
      <c r="H532" s="23">
        <v>0.46499212039595927</v>
      </c>
      <c r="I532" s="23">
        <f t="shared" si="27"/>
        <v>178649020.98230395</v>
      </c>
      <c r="J532" s="4">
        <f t="shared" si="26"/>
        <v>13949763.611878779</v>
      </c>
      <c r="L532" s="22"/>
      <c r="M532" s="22"/>
      <c r="N532" s="19"/>
    </row>
    <row r="533" spans="2:14" ht="11.1" customHeight="1" x14ac:dyDescent="0.3">
      <c r="B533" s="19">
        <v>526</v>
      </c>
      <c r="C533" s="22">
        <v>200260967.34695375</v>
      </c>
      <c r="D533" s="23">
        <v>1.8268748521886997</v>
      </c>
      <c r="E533" s="22">
        <v>116970383.51004623</v>
      </c>
      <c r="F533" s="23">
        <v>1.3918878223473226</v>
      </c>
      <c r="G533" s="22">
        <v>83290583.836907521</v>
      </c>
      <c r="H533" s="23">
        <v>0.43498702984137716</v>
      </c>
      <c r="I533" s="23">
        <f t="shared" si="27"/>
        <v>191478315.72651801</v>
      </c>
      <c r="J533" s="4">
        <f t="shared" si="26"/>
        <v>13049610.895241315</v>
      </c>
      <c r="L533" s="22"/>
      <c r="M533" s="22"/>
      <c r="N533" s="19"/>
    </row>
    <row r="534" spans="2:14" ht="11.1" customHeight="1" x14ac:dyDescent="0.3">
      <c r="B534" s="19">
        <v>527</v>
      </c>
      <c r="C534" s="22">
        <v>201648207.81098625</v>
      </c>
      <c r="D534" s="23">
        <v>1.7766185556003407</v>
      </c>
      <c r="E534" s="22">
        <v>118785682.88597269</v>
      </c>
      <c r="F534" s="23">
        <v>1.3253207721370359</v>
      </c>
      <c r="G534" s="22">
        <v>82862524.925013557</v>
      </c>
      <c r="H534" s="23">
        <v>0.45129778346330474</v>
      </c>
      <c r="I534" s="23">
        <f t="shared" si="27"/>
        <v>183609421.45365345</v>
      </c>
      <c r="J534" s="4">
        <f t="shared" si="26"/>
        <v>13538933.503899142</v>
      </c>
      <c r="L534" s="22"/>
      <c r="M534" s="22"/>
      <c r="N534" s="19"/>
    </row>
    <row r="535" spans="2:14" ht="11.1" customHeight="1" x14ac:dyDescent="0.3">
      <c r="B535" s="19">
        <v>528</v>
      </c>
      <c r="C535" s="22">
        <v>203096422.82465732</v>
      </c>
      <c r="D535" s="23">
        <v>2.081050433187881</v>
      </c>
      <c r="E535" s="22">
        <v>120146537.66344745</v>
      </c>
      <c r="F535" s="23">
        <v>1.6144878356055556</v>
      </c>
      <c r="G535" s="22">
        <v>82949885.161209866</v>
      </c>
      <c r="H535" s="23">
        <v>0.46656259758232532</v>
      </c>
      <c r="I535" s="23">
        <f t="shared" si="27"/>
        <v>177789401.87457547</v>
      </c>
      <c r="J535" s="4">
        <f t="shared" si="26"/>
        <v>13996877.92746976</v>
      </c>
      <c r="L535" s="22"/>
      <c r="M535" s="22"/>
      <c r="N535" s="19"/>
    </row>
    <row r="536" spans="2:14" ht="11.1" customHeight="1" x14ac:dyDescent="0.3">
      <c r="B536" s="19">
        <v>529</v>
      </c>
      <c r="C536" s="22">
        <v>203443810.2067796</v>
      </c>
      <c r="D536" s="23">
        <v>1.9018851230846947</v>
      </c>
      <c r="E536" s="22">
        <v>120085237.05581218</v>
      </c>
      <c r="F536" s="23">
        <v>1.4774920956633575</v>
      </c>
      <c r="G536" s="22">
        <v>83358573.150967419</v>
      </c>
      <c r="H536" s="23">
        <v>0.42439302742133722</v>
      </c>
      <c r="I536" s="23">
        <f t="shared" si="27"/>
        <v>196418338.10857844</v>
      </c>
      <c r="J536" s="4">
        <f t="shared" si="26"/>
        <v>12731790.822640117</v>
      </c>
      <c r="L536" s="22"/>
      <c r="M536" s="22"/>
      <c r="N536" s="19"/>
    </row>
    <row r="537" spans="2:14" ht="11.1" customHeight="1" x14ac:dyDescent="0.3">
      <c r="B537" s="19">
        <v>530</v>
      </c>
      <c r="C537" s="22">
        <v>203208266.21321198</v>
      </c>
      <c r="D537" s="23">
        <v>2.0263089569917221</v>
      </c>
      <c r="E537" s="22">
        <v>120379159.74058092</v>
      </c>
      <c r="F537" s="23">
        <v>1.6157006643085603</v>
      </c>
      <c r="G537" s="22">
        <v>82829106.472631067</v>
      </c>
      <c r="H537" s="23">
        <v>0.41060829268316179</v>
      </c>
      <c r="I537" s="23">
        <f t="shared" si="27"/>
        <v>201722926.56676713</v>
      </c>
      <c r="J537" s="4">
        <f t="shared" si="26"/>
        <v>12318248.780494854</v>
      </c>
      <c r="L537" s="22"/>
      <c r="M537" s="22"/>
      <c r="N537" s="19"/>
    </row>
    <row r="538" spans="2:14" ht="11.1" customHeight="1" x14ac:dyDescent="0.3">
      <c r="B538" s="19">
        <v>531</v>
      </c>
      <c r="C538" s="22">
        <v>202699197.27224499</v>
      </c>
      <c r="D538" s="23">
        <v>2.2069479981409983</v>
      </c>
      <c r="E538" s="22">
        <v>119472629.43200056</v>
      </c>
      <c r="F538" s="23">
        <v>1.759106412198272</v>
      </c>
      <c r="G538" s="22">
        <v>83226567.840244427</v>
      </c>
      <c r="H538" s="23">
        <v>0.44784158594272627</v>
      </c>
      <c r="I538" s="23">
        <f t="shared" si="27"/>
        <v>185839302.22792694</v>
      </c>
      <c r="J538" s="4">
        <f t="shared" si="26"/>
        <v>13435247.578281788</v>
      </c>
      <c r="L538" s="22"/>
      <c r="M538" s="22"/>
      <c r="N538" s="19"/>
    </row>
    <row r="539" spans="2:14" ht="11.1" customHeight="1" x14ac:dyDescent="0.3">
      <c r="B539" s="19">
        <v>532</v>
      </c>
      <c r="C539" s="22">
        <v>204188890.35961863</v>
      </c>
      <c r="D539" s="23">
        <v>2.0967283299218877</v>
      </c>
      <c r="E539" s="22">
        <v>121338065.9154118</v>
      </c>
      <c r="F539" s="23">
        <v>1.6118740072915863</v>
      </c>
      <c r="G539" s="22">
        <v>82850824.444206834</v>
      </c>
      <c r="H539" s="23">
        <v>0.48485432263030148</v>
      </c>
      <c r="I539" s="23">
        <f t="shared" si="27"/>
        <v>170877767.97522765</v>
      </c>
      <c r="J539" s="4">
        <f t="shared" si="26"/>
        <v>14545629.678909045</v>
      </c>
      <c r="L539" s="22"/>
      <c r="M539" s="22"/>
      <c r="N539" s="19"/>
    </row>
    <row r="540" spans="2:14" ht="11.1" customHeight="1" x14ac:dyDescent="0.3">
      <c r="B540" s="19">
        <v>533</v>
      </c>
      <c r="C540" s="22">
        <v>199269608.2205708</v>
      </c>
      <c r="D540" s="23">
        <v>2.193917218549494</v>
      </c>
      <c r="E540" s="22">
        <v>116174110.36610144</v>
      </c>
      <c r="F540" s="23">
        <v>1.7113388421535023</v>
      </c>
      <c r="G540" s="22">
        <v>83095497.854469359</v>
      </c>
      <c r="H540" s="23">
        <v>0.48257837639599166</v>
      </c>
      <c r="I540" s="23">
        <f t="shared" si="27"/>
        <v>172190678.07191446</v>
      </c>
      <c r="J540" s="4">
        <f t="shared" si="26"/>
        <v>14477351.291879749</v>
      </c>
      <c r="L540" s="22"/>
      <c r="M540" s="22"/>
      <c r="N540" s="19"/>
    </row>
    <row r="541" spans="2:14" ht="11.1" customHeight="1" x14ac:dyDescent="0.3">
      <c r="B541" s="19">
        <v>534</v>
      </c>
      <c r="C541" s="22">
        <v>197461900.85659692</v>
      </c>
      <c r="D541" s="23">
        <v>2.6136694007392913</v>
      </c>
      <c r="E541" s="22">
        <v>114015712.60716528</v>
      </c>
      <c r="F541" s="23">
        <v>2.1301528052942156</v>
      </c>
      <c r="G541" s="22">
        <v>83446188.24943164</v>
      </c>
      <c r="H541" s="23">
        <v>0.48351659544507575</v>
      </c>
      <c r="I541" s="23">
        <f t="shared" si="27"/>
        <v>172581849.3833074</v>
      </c>
      <c r="J541" s="4">
        <f t="shared" si="26"/>
        <v>14505497.863352273</v>
      </c>
      <c r="L541" s="22"/>
      <c r="M541" s="22"/>
      <c r="N541" s="19"/>
    </row>
    <row r="542" spans="2:14" ht="11.1" customHeight="1" x14ac:dyDescent="0.3">
      <c r="B542" s="19">
        <v>535</v>
      </c>
      <c r="C542" s="22">
        <v>205179499.43136388</v>
      </c>
      <c r="D542" s="23">
        <v>1.7956855709554138</v>
      </c>
      <c r="E542" s="22">
        <v>122668016.897891</v>
      </c>
      <c r="F542" s="23">
        <v>1.3684921824981764</v>
      </c>
      <c r="G542" s="22">
        <v>82511482.533472881</v>
      </c>
      <c r="H542" s="23">
        <v>0.42719338845723742</v>
      </c>
      <c r="I542" s="23">
        <f t="shared" si="27"/>
        <v>193147845.36215353</v>
      </c>
      <c r="J542" s="4">
        <f t="shared" si="26"/>
        <v>12815801.653717123</v>
      </c>
      <c r="L542" s="22"/>
      <c r="M542" s="22"/>
      <c r="N542" s="19"/>
    </row>
    <row r="543" spans="2:14" ht="11.1" customHeight="1" x14ac:dyDescent="0.3">
      <c r="B543" s="19">
        <v>536</v>
      </c>
      <c r="C543" s="22">
        <v>201795430.23912421</v>
      </c>
      <c r="D543" s="23">
        <v>1.8697579258537853</v>
      </c>
      <c r="E543" s="22">
        <v>118889225.14233281</v>
      </c>
      <c r="F543" s="23">
        <v>1.4074444287505645</v>
      </c>
      <c r="G543" s="22">
        <v>82906205.096791402</v>
      </c>
      <c r="H543" s="23">
        <v>0.46231349710322078</v>
      </c>
      <c r="I543" s="23">
        <f t="shared" si="27"/>
        <v>179328973.98900929</v>
      </c>
      <c r="J543" s="4">
        <f t="shared" si="26"/>
        <v>13869404.913096623</v>
      </c>
      <c r="L543" s="22"/>
      <c r="M543" s="22"/>
      <c r="N543" s="19"/>
    </row>
    <row r="544" spans="2:14" ht="11.1" customHeight="1" x14ac:dyDescent="0.3">
      <c r="B544" s="19">
        <v>537</v>
      </c>
      <c r="C544" s="22">
        <v>200771485.35946777</v>
      </c>
      <c r="D544" s="23">
        <v>2.1425152423296603</v>
      </c>
      <c r="E544" s="22">
        <v>117718309.85694398</v>
      </c>
      <c r="F544" s="23">
        <v>1.6603727872537049</v>
      </c>
      <c r="G544" s="22">
        <v>83053175.502523795</v>
      </c>
      <c r="H544" s="23">
        <v>0.48214245507595543</v>
      </c>
      <c r="I544" s="23">
        <f t="shared" si="27"/>
        <v>172258581.72858852</v>
      </c>
      <c r="J544" s="4">
        <f t="shared" si="26"/>
        <v>14464273.652278664</v>
      </c>
      <c r="L544" s="22"/>
      <c r="M544" s="22"/>
      <c r="N544" s="19"/>
    </row>
    <row r="545" spans="2:14" ht="11.1" customHeight="1" x14ac:dyDescent="0.3">
      <c r="B545" s="19">
        <v>538</v>
      </c>
      <c r="C545" s="22">
        <v>200601229.05564803</v>
      </c>
      <c r="D545" s="23">
        <v>2.1079682540857747</v>
      </c>
      <c r="E545" s="22">
        <v>117289764.70158282</v>
      </c>
      <c r="F545" s="23">
        <v>1.6366517869044912</v>
      </c>
      <c r="G545" s="22">
        <v>83311464.35406521</v>
      </c>
      <c r="H545" s="23">
        <v>0.4713164671812835</v>
      </c>
      <c r="I545" s="23">
        <f t="shared" si="27"/>
        <v>176763321.79164225</v>
      </c>
      <c r="J545" s="4">
        <f t="shared" si="26"/>
        <v>14139494.015438505</v>
      </c>
      <c r="L545" s="22"/>
      <c r="M545" s="22"/>
      <c r="N545" s="19"/>
    </row>
    <row r="546" spans="2:14" ht="11.1" customHeight="1" x14ac:dyDescent="0.3">
      <c r="B546" s="19">
        <v>539</v>
      </c>
      <c r="C546" s="22">
        <v>201777394.12230518</v>
      </c>
      <c r="D546" s="23">
        <v>2.2603226808453587</v>
      </c>
      <c r="E546" s="22">
        <v>118616379.03597493</v>
      </c>
      <c r="F546" s="23">
        <v>1.8226534423924103</v>
      </c>
      <c r="G546" s="22">
        <v>83161015.08633025</v>
      </c>
      <c r="H546" s="23">
        <v>0.43766923845294836</v>
      </c>
      <c r="I546" s="23">
        <f t="shared" si="27"/>
        <v>190008818.94346449</v>
      </c>
      <c r="J546" s="4">
        <f t="shared" si="26"/>
        <v>13130077.153588451</v>
      </c>
      <c r="L546" s="22"/>
      <c r="M546" s="22"/>
      <c r="N546" s="19"/>
    </row>
    <row r="547" spans="2:14" ht="11.1" customHeight="1" x14ac:dyDescent="0.3">
      <c r="B547" s="19">
        <v>540</v>
      </c>
      <c r="C547" s="22">
        <v>201387655.5104256</v>
      </c>
      <c r="D547" s="23">
        <v>2.0696337817180335</v>
      </c>
      <c r="E547" s="22">
        <v>118361602.74190688</v>
      </c>
      <c r="F547" s="23">
        <v>1.6226118875026605</v>
      </c>
      <c r="G547" s="22">
        <v>83026052.768518716</v>
      </c>
      <c r="H547" s="23">
        <v>0.44702189421537297</v>
      </c>
      <c r="I547" s="23">
        <f t="shared" si="27"/>
        <v>185731513.02633327</v>
      </c>
      <c r="J547" s="4">
        <f t="shared" si="26"/>
        <v>13410656.826461188</v>
      </c>
      <c r="L547" s="22"/>
      <c r="M547" s="22"/>
      <c r="N547" s="19"/>
    </row>
    <row r="548" spans="2:14" ht="11.1" customHeight="1" x14ac:dyDescent="0.3">
      <c r="B548" s="19">
        <v>541</v>
      </c>
      <c r="C548" s="22">
        <v>202561167.5456883</v>
      </c>
      <c r="D548" s="23">
        <v>1.9087464927701656</v>
      </c>
      <c r="E548" s="22">
        <v>119355434.72822919</v>
      </c>
      <c r="F548" s="23">
        <v>1.4746905840358933</v>
      </c>
      <c r="G548" s="22">
        <v>83205732.817459106</v>
      </c>
      <c r="H548" s="23">
        <v>0.43405590873427236</v>
      </c>
      <c r="I548" s="23">
        <f t="shared" si="27"/>
        <v>191693584.03642282</v>
      </c>
      <c r="J548" s="4">
        <f t="shared" si="26"/>
        <v>13021677.262028171</v>
      </c>
      <c r="L548" s="22"/>
      <c r="M548" s="22"/>
      <c r="N548" s="19"/>
    </row>
    <row r="549" spans="2:14" ht="11.1" customHeight="1" x14ac:dyDescent="0.3">
      <c r="B549" s="19">
        <v>542</v>
      </c>
      <c r="C549" s="22">
        <v>201034229.76250032</v>
      </c>
      <c r="D549" s="23">
        <v>2.0746774510099439</v>
      </c>
      <c r="E549" s="22">
        <v>117577227.19992733</v>
      </c>
      <c r="F549" s="23">
        <v>1.5852690283074784</v>
      </c>
      <c r="G549" s="22">
        <v>83457002.562572986</v>
      </c>
      <c r="H549" s="23">
        <v>0.48940842270246554</v>
      </c>
      <c r="I549" s="23">
        <f t="shared" si="27"/>
        <v>170526289.88633168</v>
      </c>
      <c r="J549" s="4">
        <f t="shared" si="26"/>
        <v>14682252.681073966</v>
      </c>
      <c r="L549" s="22"/>
      <c r="M549" s="22"/>
      <c r="N549" s="19"/>
    </row>
    <row r="550" spans="2:14" ht="11.1" customHeight="1" x14ac:dyDescent="0.3">
      <c r="B550" s="19">
        <v>543</v>
      </c>
      <c r="C550" s="22">
        <v>199576175.17937249</v>
      </c>
      <c r="D550" s="23">
        <v>2.2881722714683739</v>
      </c>
      <c r="E550" s="22">
        <v>116391057.40519851</v>
      </c>
      <c r="F550" s="23">
        <v>1.7976814825556557</v>
      </c>
      <c r="G550" s="22">
        <v>83185117.774173975</v>
      </c>
      <c r="H550" s="23">
        <v>0.49049078891271813</v>
      </c>
      <c r="I550" s="23">
        <f t="shared" si="27"/>
        <v>169595677.74671626</v>
      </c>
      <c r="J550" s="4">
        <f t="shared" si="26"/>
        <v>14714723.667381544</v>
      </c>
      <c r="L550" s="22"/>
      <c r="M550" s="22"/>
      <c r="N550" s="19"/>
    </row>
    <row r="551" spans="2:14" ht="11.1" customHeight="1" x14ac:dyDescent="0.3">
      <c r="B551" s="19">
        <v>544</v>
      </c>
      <c r="C551" s="22">
        <v>201586007.55887187</v>
      </c>
      <c r="D551" s="23">
        <v>2.3256714873089628</v>
      </c>
      <c r="E551" s="22">
        <v>118376725.57503162</v>
      </c>
      <c r="F551" s="23">
        <v>1.8570486801316053</v>
      </c>
      <c r="G551" s="22">
        <v>83209281.983840242</v>
      </c>
      <c r="H551" s="23">
        <v>0.46862280717735749</v>
      </c>
      <c r="I551" s="23">
        <f t="shared" si="27"/>
        <v>177561315.21859202</v>
      </c>
      <c r="J551" s="4">
        <f t="shared" si="26"/>
        <v>14058684.215320725</v>
      </c>
      <c r="L551" s="22"/>
      <c r="M551" s="22"/>
      <c r="N551" s="19"/>
    </row>
    <row r="552" spans="2:14" ht="11.1" customHeight="1" x14ac:dyDescent="0.3">
      <c r="B552" s="19">
        <v>545</v>
      </c>
      <c r="C552" s="22">
        <v>199408597.40395632</v>
      </c>
      <c r="D552" s="23">
        <v>2.1644478265657696</v>
      </c>
      <c r="E552" s="22">
        <v>116344215.48781899</v>
      </c>
      <c r="F552" s="23">
        <v>1.6993210570302888</v>
      </c>
      <c r="G552" s="22">
        <v>83064381.916137338</v>
      </c>
      <c r="H552" s="23">
        <v>0.46512676953548082</v>
      </c>
      <c r="I552" s="23">
        <f t="shared" si="27"/>
        <v>178584393.23776874</v>
      </c>
      <c r="J552" s="4">
        <f t="shared" si="26"/>
        <v>13953803.086064424</v>
      </c>
      <c r="L552" s="22"/>
      <c r="M552" s="22"/>
      <c r="N552" s="19"/>
    </row>
    <row r="553" spans="2:14" ht="11.1" customHeight="1" x14ac:dyDescent="0.3">
      <c r="B553" s="19">
        <v>546</v>
      </c>
      <c r="C553" s="22">
        <v>201235167.24990004</v>
      </c>
      <c r="D553" s="23">
        <v>1.9520880142169872</v>
      </c>
      <c r="E553" s="22">
        <v>118369595.64235263</v>
      </c>
      <c r="F553" s="23">
        <v>1.5225966166647216</v>
      </c>
      <c r="G553" s="22">
        <v>82865571.607547417</v>
      </c>
      <c r="H553" s="23">
        <v>0.42949139755226562</v>
      </c>
      <c r="I553" s="23">
        <f t="shared" si="27"/>
        <v>192938839.00774369</v>
      </c>
      <c r="J553" s="4">
        <f t="shared" si="26"/>
        <v>12884741.926567968</v>
      </c>
      <c r="L553" s="22"/>
      <c r="M553" s="22"/>
      <c r="N553" s="19"/>
    </row>
    <row r="554" spans="2:14" ht="11.1" customHeight="1" x14ac:dyDescent="0.3">
      <c r="B554" s="19">
        <v>547</v>
      </c>
      <c r="C554" s="22">
        <v>204473610.22982538</v>
      </c>
      <c r="D554" s="23">
        <v>2.288528556061832</v>
      </c>
      <c r="E554" s="22">
        <v>121727610.35392244</v>
      </c>
      <c r="F554" s="23">
        <v>1.8121025232130392</v>
      </c>
      <c r="G554" s="22">
        <v>82745999.875902936</v>
      </c>
      <c r="H554" s="23">
        <v>0.47642603284879281</v>
      </c>
      <c r="I554" s="23">
        <f t="shared" si="27"/>
        <v>173680685.29152921</v>
      </c>
      <c r="J554" s="4">
        <f t="shared" si="26"/>
        <v>14292780.985463785</v>
      </c>
      <c r="L554" s="22"/>
      <c r="M554" s="22"/>
      <c r="N554" s="19"/>
    </row>
    <row r="555" spans="2:14" ht="11.1" customHeight="1" x14ac:dyDescent="0.3">
      <c r="B555" s="19">
        <v>548</v>
      </c>
      <c r="C555" s="22">
        <v>201030408.812462</v>
      </c>
      <c r="D555" s="23">
        <v>1.9086415989382168</v>
      </c>
      <c r="E555" s="22">
        <v>118095035.581716</v>
      </c>
      <c r="F555" s="23">
        <v>1.4556649051524722</v>
      </c>
      <c r="G555" s="22">
        <v>82935373.230746001</v>
      </c>
      <c r="H555" s="23">
        <v>0.45297669378574468</v>
      </c>
      <c r="I555" s="23">
        <f t="shared" si="27"/>
        <v>183089713.81643301</v>
      </c>
      <c r="J555" s="4">
        <f t="shared" si="26"/>
        <v>13589300.81357234</v>
      </c>
      <c r="L555" s="22"/>
      <c r="M555" s="22"/>
      <c r="N555" s="19"/>
    </row>
    <row r="556" spans="2:14" ht="11.1" customHeight="1" x14ac:dyDescent="0.3">
      <c r="B556" s="19">
        <v>549</v>
      </c>
      <c r="C556" s="22">
        <v>200821490.29329443</v>
      </c>
      <c r="D556" s="23">
        <v>2.0428691784489219</v>
      </c>
      <c r="E556" s="22">
        <v>117440879.91294004</v>
      </c>
      <c r="F556" s="23">
        <v>1.5942099841899158</v>
      </c>
      <c r="G556" s="22">
        <v>83380610.38035439</v>
      </c>
      <c r="H556" s="23">
        <v>0.44865919425900613</v>
      </c>
      <c r="I556" s="23">
        <f t="shared" si="27"/>
        <v>185843980.12407532</v>
      </c>
      <c r="J556" s="4">
        <f t="shared" si="26"/>
        <v>13459775.827770185</v>
      </c>
      <c r="L556" s="22"/>
      <c r="M556" s="22"/>
      <c r="N556" s="19"/>
    </row>
    <row r="557" spans="2:14" ht="11.1" customHeight="1" x14ac:dyDescent="0.3">
      <c r="B557" s="19">
        <v>550</v>
      </c>
      <c r="C557" s="22">
        <v>201422416.75812563</v>
      </c>
      <c r="D557" s="23">
        <v>1.943721590101297</v>
      </c>
      <c r="E557" s="22">
        <v>118630960.05097452</v>
      </c>
      <c r="F557" s="23">
        <v>1.4814038356955832</v>
      </c>
      <c r="G557" s="22">
        <v>82791456.707151115</v>
      </c>
      <c r="H557" s="23">
        <v>0.46231775440571377</v>
      </c>
      <c r="I557" s="23">
        <f t="shared" si="27"/>
        <v>179079120.18991217</v>
      </c>
      <c r="J557" s="4">
        <f t="shared" si="26"/>
        <v>13869532.632171413</v>
      </c>
      <c r="L557" s="22"/>
      <c r="M557" s="22"/>
      <c r="N557" s="19"/>
    </row>
    <row r="558" spans="2:14" ht="11.1" customHeight="1" x14ac:dyDescent="0.3">
      <c r="B558" s="19">
        <v>551</v>
      </c>
      <c r="C558" s="22">
        <v>198531182.74324277</v>
      </c>
      <c r="D558" s="23">
        <v>2.6276323272140427</v>
      </c>
      <c r="E558" s="22">
        <v>115256081.80499919</v>
      </c>
      <c r="F558" s="23">
        <v>2.2533421515180896</v>
      </c>
      <c r="G558" s="22">
        <v>83275100.938243583</v>
      </c>
      <c r="H558" s="23">
        <v>0.37429017569595313</v>
      </c>
      <c r="I558" s="23">
        <f t="shared" si="27"/>
        <v>222488075.68460035</v>
      </c>
      <c r="J558" s="4">
        <f t="shared" si="26"/>
        <v>11228705.270878594</v>
      </c>
      <c r="L558" s="22"/>
      <c r="M558" s="22"/>
      <c r="N558" s="19"/>
    </row>
    <row r="559" spans="2:14" ht="11.1" customHeight="1" x14ac:dyDescent="0.3">
      <c r="B559" s="19">
        <v>552</v>
      </c>
      <c r="C559" s="22">
        <v>203000829.57311887</v>
      </c>
      <c r="D559" s="23">
        <v>1.8453090251516471</v>
      </c>
      <c r="E559" s="22">
        <v>119879042.65008152</v>
      </c>
      <c r="F559" s="23">
        <v>1.4054978998470851</v>
      </c>
      <c r="G559" s="22">
        <v>83121786.92303735</v>
      </c>
      <c r="H559" s="23">
        <v>0.43981112530456201</v>
      </c>
      <c r="I559" s="23">
        <f t="shared" si="27"/>
        <v>188994279.90930623</v>
      </c>
      <c r="J559" s="4">
        <f t="shared" si="26"/>
        <v>13194333.759136861</v>
      </c>
      <c r="L559" s="22"/>
      <c r="M559" s="22"/>
      <c r="N559" s="19"/>
    </row>
    <row r="560" spans="2:14" ht="11.1" customHeight="1" x14ac:dyDescent="0.3">
      <c r="B560" s="19">
        <v>553</v>
      </c>
      <c r="C560" s="22">
        <v>202494516.42355159</v>
      </c>
      <c r="D560" s="23">
        <v>2.0308288301571316</v>
      </c>
      <c r="E560" s="22">
        <v>119758588.16726342</v>
      </c>
      <c r="F560" s="23">
        <v>1.5492299943712886</v>
      </c>
      <c r="G560" s="22">
        <v>82735928.256288171</v>
      </c>
      <c r="H560" s="23">
        <v>0.48159883578584295</v>
      </c>
      <c r="I560" s="23">
        <f t="shared" si="27"/>
        <v>171794286.25753391</v>
      </c>
      <c r="J560" s="4">
        <f t="shared" si="26"/>
        <v>14447965.073575288</v>
      </c>
      <c r="L560" s="22"/>
      <c r="M560" s="22"/>
      <c r="N560" s="19"/>
    </row>
    <row r="561" spans="2:14" ht="11.1" customHeight="1" x14ac:dyDescent="0.3">
      <c r="B561" s="19">
        <v>554</v>
      </c>
      <c r="C561" s="22">
        <v>203306991.46997923</v>
      </c>
      <c r="D561" s="23">
        <v>1.9389609914643731</v>
      </c>
      <c r="E561" s="22">
        <v>120153049.01787572</v>
      </c>
      <c r="F561" s="23">
        <v>1.4836569646510973</v>
      </c>
      <c r="G561" s="22">
        <v>83153942.45210351</v>
      </c>
      <c r="H561" s="23">
        <v>0.45530402681327575</v>
      </c>
      <c r="I561" s="23">
        <f t="shared" si="27"/>
        <v>182633883.19692081</v>
      </c>
      <c r="J561" s="4">
        <f t="shared" si="26"/>
        <v>13659120.804398272</v>
      </c>
      <c r="L561" s="22"/>
      <c r="M561" s="22"/>
      <c r="N561" s="19"/>
    </row>
    <row r="562" spans="2:14" ht="11.1" customHeight="1" x14ac:dyDescent="0.3">
      <c r="B562" s="19">
        <v>555</v>
      </c>
      <c r="C562" s="22">
        <v>203145310.61439562</v>
      </c>
      <c r="D562" s="23">
        <v>2.0884190855596776</v>
      </c>
      <c r="E562" s="22">
        <v>120244829.23843054</v>
      </c>
      <c r="F562" s="23">
        <v>1.657417374352145</v>
      </c>
      <c r="G562" s="22">
        <v>82900481.375965074</v>
      </c>
      <c r="H562" s="23">
        <v>0.43100171120753261</v>
      </c>
      <c r="I562" s="23">
        <f t="shared" si="27"/>
        <v>192343740.68655953</v>
      </c>
      <c r="J562" s="4">
        <f t="shared" si="26"/>
        <v>12930051.336225979</v>
      </c>
      <c r="L562" s="22"/>
      <c r="M562" s="22"/>
      <c r="N562" s="19"/>
    </row>
    <row r="563" spans="2:14" ht="11.1" customHeight="1" x14ac:dyDescent="0.3">
      <c r="B563" s="19">
        <v>556</v>
      </c>
      <c r="C563" s="22">
        <v>204030814.35166201</v>
      </c>
      <c r="D563" s="23">
        <v>1.8532497739142777</v>
      </c>
      <c r="E563" s="22">
        <v>120567387.13291265</v>
      </c>
      <c r="F563" s="23">
        <v>1.4081856542513125</v>
      </c>
      <c r="G563" s="22">
        <v>83463427.218749359</v>
      </c>
      <c r="H563" s="23">
        <v>0.44506411966296522</v>
      </c>
      <c r="I563" s="23">
        <f t="shared" si="27"/>
        <v>187531242.19933504</v>
      </c>
      <c r="J563" s="4">
        <f t="shared" si="26"/>
        <v>13351923.589888956</v>
      </c>
      <c r="L563" s="22"/>
      <c r="M563" s="22"/>
      <c r="N563" s="19"/>
    </row>
    <row r="564" spans="2:14" ht="11.1" customHeight="1" x14ac:dyDescent="0.3">
      <c r="B564" s="19">
        <v>557</v>
      </c>
      <c r="C564" s="22">
        <v>201819820.60011622</v>
      </c>
      <c r="D564" s="23">
        <v>2.2168811986460151</v>
      </c>
      <c r="E564" s="22">
        <v>118510423.92027216</v>
      </c>
      <c r="F564" s="23">
        <v>1.782797185623197</v>
      </c>
      <c r="G564" s="22">
        <v>83309396.679844067</v>
      </c>
      <c r="H564" s="23">
        <v>0.43408401302281807</v>
      </c>
      <c r="I564" s="23">
        <f t="shared" si="27"/>
        <v>191919983.64488217</v>
      </c>
      <c r="J564" s="4">
        <f t="shared" si="26"/>
        <v>13022520.390684541</v>
      </c>
      <c r="L564" s="22"/>
      <c r="M564" s="22"/>
      <c r="N564" s="19"/>
    </row>
    <row r="565" spans="2:14" ht="11.1" customHeight="1" x14ac:dyDescent="0.3">
      <c r="B565" s="19">
        <v>558</v>
      </c>
      <c r="C565" s="22">
        <v>201033862.39917177</v>
      </c>
      <c r="D565" s="23">
        <v>1.8622750963462065</v>
      </c>
      <c r="E565" s="22">
        <v>117787265.76685388</v>
      </c>
      <c r="F565" s="23">
        <v>1.4074014934795016</v>
      </c>
      <c r="G565" s="22">
        <v>83246596.632317886</v>
      </c>
      <c r="H565" s="23">
        <v>0.45487360286670486</v>
      </c>
      <c r="I565" s="23">
        <f t="shared" si="27"/>
        <v>183010392.5742912</v>
      </c>
      <c r="J565" s="4">
        <f t="shared" si="26"/>
        <v>13646208.086001147</v>
      </c>
      <c r="L565" s="22"/>
      <c r="M565" s="22"/>
      <c r="N565" s="19"/>
    </row>
    <row r="566" spans="2:14" ht="11.1" customHeight="1" x14ac:dyDescent="0.3">
      <c r="B566" s="19">
        <v>559</v>
      </c>
      <c r="C566" s="22">
        <v>203855067.6126112</v>
      </c>
      <c r="D566" s="23">
        <v>1.8931818752271283</v>
      </c>
      <c r="E566" s="22">
        <v>120966357.89336261</v>
      </c>
      <c r="F566" s="23">
        <v>1.4368794608509969</v>
      </c>
      <c r="G566" s="22">
        <v>82888709.719248593</v>
      </c>
      <c r="H566" s="23">
        <v>0.45630241437613139</v>
      </c>
      <c r="I566" s="23">
        <f t="shared" si="27"/>
        <v>181653015.86794409</v>
      </c>
      <c r="J566" s="4">
        <f t="shared" si="26"/>
        <v>13689072.431283941</v>
      </c>
      <c r="L566" s="22"/>
      <c r="M566" s="22"/>
      <c r="N566" s="19"/>
    </row>
    <row r="567" spans="2:14" ht="11.1" customHeight="1" x14ac:dyDescent="0.3">
      <c r="B567" s="19">
        <v>560</v>
      </c>
      <c r="C567" s="22">
        <v>199075817.87453902</v>
      </c>
      <c r="D567" s="23">
        <v>2.128575094782676</v>
      </c>
      <c r="E567" s="22">
        <v>115687180.49944779</v>
      </c>
      <c r="F567" s="23">
        <v>1.6810784049557754</v>
      </c>
      <c r="G567" s="22">
        <v>83388637.375091225</v>
      </c>
      <c r="H567" s="23">
        <v>0.44749668982690061</v>
      </c>
      <c r="I567" s="23">
        <f t="shared" si="27"/>
        <v>186344702.14147815</v>
      </c>
      <c r="J567" s="4">
        <f t="shared" si="26"/>
        <v>13424900.694807019</v>
      </c>
      <c r="L567" s="22"/>
      <c r="M567" s="22"/>
      <c r="N567" s="19"/>
    </row>
    <row r="568" spans="2:14" ht="11.1" customHeight="1" x14ac:dyDescent="0.3">
      <c r="B568" s="19">
        <v>561</v>
      </c>
      <c r="C568" s="22">
        <v>202601996.51329252</v>
      </c>
      <c r="D568" s="23">
        <v>2.2590578502943517</v>
      </c>
      <c r="E568" s="22">
        <v>119432073.81742693</v>
      </c>
      <c r="F568" s="23">
        <v>1.8569319692784234</v>
      </c>
      <c r="G568" s="22">
        <v>83169922.695865586</v>
      </c>
      <c r="H568" s="23">
        <v>0.40212588101592828</v>
      </c>
      <c r="I568" s="23">
        <f t="shared" si="27"/>
        <v>206825590.24986312</v>
      </c>
      <c r="J568" s="4">
        <f t="shared" si="26"/>
        <v>12063776.430477848</v>
      </c>
      <c r="L568" s="22"/>
      <c r="M568" s="22"/>
      <c r="N568" s="19"/>
    </row>
    <row r="569" spans="2:14" ht="11.1" customHeight="1" x14ac:dyDescent="0.3">
      <c r="B569" s="19">
        <v>562</v>
      </c>
      <c r="C569" s="22">
        <v>199735699.5963811</v>
      </c>
      <c r="D569" s="23">
        <v>2.3293066655531622</v>
      </c>
      <c r="E569" s="22">
        <v>116681720.83965239</v>
      </c>
      <c r="F569" s="23">
        <v>1.8397606162569373</v>
      </c>
      <c r="G569" s="22">
        <v>83053978.756728709</v>
      </c>
      <c r="H569" s="23">
        <v>0.48954604929622492</v>
      </c>
      <c r="I569" s="23">
        <f t="shared" si="27"/>
        <v>169655089.39583462</v>
      </c>
      <c r="J569" s="4">
        <f t="shared" si="26"/>
        <v>14686381.478886748</v>
      </c>
      <c r="L569" s="22"/>
      <c r="M569" s="22"/>
      <c r="N569" s="19"/>
    </row>
    <row r="570" spans="2:14" ht="11.1" customHeight="1" x14ac:dyDescent="0.3">
      <c r="B570" s="19">
        <v>563</v>
      </c>
      <c r="C570" s="22">
        <v>201798391.06589955</v>
      </c>
      <c r="D570" s="23">
        <v>1.6696191940377241</v>
      </c>
      <c r="E570" s="22">
        <v>118680892.8698352</v>
      </c>
      <c r="F570" s="23">
        <v>1.2446241927427666</v>
      </c>
      <c r="G570" s="22">
        <v>83117498.196064353</v>
      </c>
      <c r="H570" s="23">
        <v>0.42499500129495749</v>
      </c>
      <c r="I570" s="23">
        <f t="shared" si="27"/>
        <v>195572884.25229892</v>
      </c>
      <c r="J570" s="4">
        <f t="shared" si="26"/>
        <v>12749850.038848724</v>
      </c>
      <c r="L570" s="22"/>
      <c r="M570" s="22"/>
      <c r="N570" s="19"/>
    </row>
    <row r="571" spans="2:14" ht="11.1" customHeight="1" x14ac:dyDescent="0.3">
      <c r="B571" s="19">
        <v>564</v>
      </c>
      <c r="C571" s="22">
        <v>199927589.21559289</v>
      </c>
      <c r="D571" s="23">
        <v>2.0114265190420624</v>
      </c>
      <c r="E571" s="22">
        <v>116902073.26352946</v>
      </c>
      <c r="F571" s="23">
        <v>1.5756922120755579</v>
      </c>
      <c r="G571" s="22">
        <v>83025515.952063426</v>
      </c>
      <c r="H571" s="23">
        <v>0.4357343069665045</v>
      </c>
      <c r="I571" s="23">
        <f t="shared" si="27"/>
        <v>190541609.01415026</v>
      </c>
      <c r="J571" s="4">
        <f t="shared" si="26"/>
        <v>13072029.208995136</v>
      </c>
      <c r="L571" s="22"/>
      <c r="M571" s="22"/>
      <c r="N571" s="19"/>
    </row>
    <row r="572" spans="2:14" ht="11.1" customHeight="1" x14ac:dyDescent="0.3">
      <c r="B572" s="19">
        <v>565</v>
      </c>
      <c r="C572" s="22">
        <v>201087312.35686535</v>
      </c>
      <c r="D572" s="23">
        <v>1.7890271973061562</v>
      </c>
      <c r="E572" s="22">
        <v>117804961.34378198</v>
      </c>
      <c r="F572" s="23">
        <v>1.3374270316038834</v>
      </c>
      <c r="G572" s="22">
        <v>83282351.013083369</v>
      </c>
      <c r="H572" s="23">
        <v>0.45160016570227279</v>
      </c>
      <c r="I572" s="23">
        <f t="shared" si="27"/>
        <v>184416121.46792051</v>
      </c>
      <c r="J572" s="4">
        <f t="shared" si="26"/>
        <v>13548004.971068183</v>
      </c>
      <c r="L572" s="22"/>
      <c r="M572" s="22"/>
      <c r="N572" s="19"/>
    </row>
    <row r="573" spans="2:14" ht="11.1" customHeight="1" x14ac:dyDescent="0.3">
      <c r="B573" s="19">
        <v>566</v>
      </c>
      <c r="C573" s="22">
        <v>202010134.01476979</v>
      </c>
      <c r="D573" s="23">
        <v>2.1862772787917688</v>
      </c>
      <c r="E573" s="22">
        <v>119239374.94192052</v>
      </c>
      <c r="F573" s="23">
        <v>1.7342414774274046</v>
      </c>
      <c r="G573" s="22">
        <v>82770759.072849274</v>
      </c>
      <c r="H573" s="23">
        <v>0.45203580136436416</v>
      </c>
      <c r="I573" s="23">
        <f t="shared" si="27"/>
        <v>183106645.14409065</v>
      </c>
      <c r="J573" s="4">
        <f t="shared" si="26"/>
        <v>13561074.040930925</v>
      </c>
      <c r="L573" s="22"/>
      <c r="M573" s="22"/>
      <c r="N573" s="19"/>
    </row>
    <row r="574" spans="2:14" ht="11.1" customHeight="1" x14ac:dyDescent="0.3">
      <c r="B574" s="19">
        <v>567</v>
      </c>
      <c r="C574" s="22">
        <v>202081055.71019739</v>
      </c>
      <c r="D574" s="23">
        <v>1.918277778157047</v>
      </c>
      <c r="E574" s="22">
        <v>119199703.87024127</v>
      </c>
      <c r="F574" s="23">
        <v>1.4770185976920251</v>
      </c>
      <c r="G574" s="22">
        <v>82881351.83995612</v>
      </c>
      <c r="H574" s="23">
        <v>0.44125918046502188</v>
      </c>
      <c r="I574" s="23">
        <f t="shared" si="27"/>
        <v>187829184.09224129</v>
      </c>
      <c r="J574" s="4">
        <f t="shared" si="26"/>
        <v>13237775.413950656</v>
      </c>
      <c r="L574" s="22"/>
      <c r="M574" s="22"/>
      <c r="N574" s="19"/>
    </row>
    <row r="575" spans="2:14" ht="11.1" customHeight="1" x14ac:dyDescent="0.3">
      <c r="B575" s="19">
        <v>568</v>
      </c>
      <c r="C575" s="22">
        <v>200456084.79651326</v>
      </c>
      <c r="D575" s="23">
        <v>2.2470681395015117</v>
      </c>
      <c r="E575" s="22">
        <v>117250201.56040387</v>
      </c>
      <c r="F575" s="23">
        <v>1.783636102461162</v>
      </c>
      <c r="G575" s="22">
        <v>83205883.236109391</v>
      </c>
      <c r="H575" s="23">
        <v>0.46343203704034974</v>
      </c>
      <c r="I575" s="23">
        <f t="shared" si="27"/>
        <v>179542795.02878842</v>
      </c>
      <c r="J575" s="4">
        <f t="shared" si="26"/>
        <v>13902961.111210492</v>
      </c>
      <c r="L575" s="22"/>
      <c r="M575" s="22"/>
      <c r="N575" s="19"/>
    </row>
    <row r="576" spans="2:14" ht="11.1" customHeight="1" x14ac:dyDescent="0.3">
      <c r="B576" s="19">
        <v>569</v>
      </c>
      <c r="C576" s="22">
        <v>199384718.73310828</v>
      </c>
      <c r="D576" s="23">
        <v>2.15662695017331</v>
      </c>
      <c r="E576" s="22">
        <v>116327422.5005497</v>
      </c>
      <c r="F576" s="23">
        <v>1.7012948528432945</v>
      </c>
      <c r="G576" s="22">
        <v>83057296.232558578</v>
      </c>
      <c r="H576" s="23">
        <v>0.45533209733001545</v>
      </c>
      <c r="I576" s="23">
        <f t="shared" si="27"/>
        <v>182410369.74900615</v>
      </c>
      <c r="J576" s="4">
        <f t="shared" si="26"/>
        <v>13659962.919900464</v>
      </c>
      <c r="L576" s="22"/>
      <c r="M576" s="22"/>
      <c r="N576" s="19"/>
    </row>
    <row r="577" spans="2:14" ht="11.1" customHeight="1" x14ac:dyDescent="0.3">
      <c r="B577" s="19">
        <v>570</v>
      </c>
      <c r="C577" s="22">
        <v>202046752.69077531</v>
      </c>
      <c r="D577" s="23">
        <v>2.0523029202592515</v>
      </c>
      <c r="E577" s="22">
        <v>119154080.11929759</v>
      </c>
      <c r="F577" s="23">
        <v>1.6463409907337758</v>
      </c>
      <c r="G577" s="22">
        <v>82892672.571477711</v>
      </c>
      <c r="H577" s="23">
        <v>0.40596192952547572</v>
      </c>
      <c r="I577" s="23">
        <f t="shared" si="27"/>
        <v>204188290.92760006</v>
      </c>
      <c r="J577" s="4">
        <f t="shared" si="26"/>
        <v>12178857.885764271</v>
      </c>
      <c r="L577" s="22"/>
      <c r="M577" s="22"/>
      <c r="N577" s="19"/>
    </row>
    <row r="578" spans="2:14" ht="11.1" customHeight="1" x14ac:dyDescent="0.3">
      <c r="B578" s="19">
        <v>571</v>
      </c>
      <c r="C578" s="22">
        <v>202943413.21961644</v>
      </c>
      <c r="D578" s="23">
        <v>1.7613648175107102</v>
      </c>
      <c r="E578" s="22">
        <v>119994219.15580413</v>
      </c>
      <c r="F578" s="23">
        <v>1.2985757098956598</v>
      </c>
      <c r="G578" s="22">
        <v>82949194.063812315</v>
      </c>
      <c r="H578" s="23">
        <v>0.46278910761505032</v>
      </c>
      <c r="I578" s="23">
        <f t="shared" si="27"/>
        <v>179237567.82281435</v>
      </c>
      <c r="J578" s="4">
        <f t="shared" si="26"/>
        <v>13883673.228451509</v>
      </c>
      <c r="L578" s="22"/>
      <c r="M578" s="22"/>
      <c r="N578" s="19"/>
    </row>
    <row r="579" spans="2:14" ht="11.1" customHeight="1" x14ac:dyDescent="0.3">
      <c r="B579" s="19">
        <v>572</v>
      </c>
      <c r="C579" s="22">
        <v>201578028.00820106</v>
      </c>
      <c r="D579" s="23">
        <v>2.0819840852931315</v>
      </c>
      <c r="E579" s="22">
        <v>118695404.05829594</v>
      </c>
      <c r="F579" s="23">
        <v>1.5934475919943676</v>
      </c>
      <c r="G579" s="22">
        <v>82882623.949905127</v>
      </c>
      <c r="H579" s="23">
        <v>0.48853649329876392</v>
      </c>
      <c r="I579" s="23">
        <f t="shared" si="27"/>
        <v>169654928.72447169</v>
      </c>
      <c r="J579" s="4">
        <f t="shared" si="26"/>
        <v>14656094.798962917</v>
      </c>
      <c r="L579" s="22"/>
      <c r="M579" s="22"/>
      <c r="N579" s="19"/>
    </row>
    <row r="580" spans="2:14" ht="11.1" customHeight="1" x14ac:dyDescent="0.3">
      <c r="B580" s="19">
        <v>573</v>
      </c>
      <c r="C580" s="22">
        <v>201440141.33672622</v>
      </c>
      <c r="D580" s="23">
        <v>2.11702117466039</v>
      </c>
      <c r="E580" s="22">
        <v>117968186.19259676</v>
      </c>
      <c r="F580" s="23">
        <v>1.6540808740104405</v>
      </c>
      <c r="G580" s="22">
        <v>83471955.144129455</v>
      </c>
      <c r="H580" s="23">
        <v>0.46294030064994951</v>
      </c>
      <c r="I580" s="23">
        <f t="shared" si="27"/>
        <v>180308249.30760661</v>
      </c>
      <c r="J580" s="4">
        <f t="shared" si="26"/>
        <v>13888209.019498486</v>
      </c>
      <c r="L580" s="22"/>
      <c r="M580" s="22"/>
      <c r="N580" s="19"/>
    </row>
    <row r="581" spans="2:14" ht="11.1" customHeight="1" x14ac:dyDescent="0.3">
      <c r="B581" s="19">
        <v>574</v>
      </c>
      <c r="C581" s="22">
        <v>203013556.91244686</v>
      </c>
      <c r="D581" s="23">
        <v>2.0845095632275163</v>
      </c>
      <c r="E581" s="22">
        <v>120080673.51635244</v>
      </c>
      <c r="F581" s="23">
        <v>1.6167344443309917</v>
      </c>
      <c r="G581" s="22">
        <v>82932883.396094412</v>
      </c>
      <c r="H581" s="23">
        <v>0.46777511889652468</v>
      </c>
      <c r="I581" s="23">
        <f t="shared" si="27"/>
        <v>177292207.40028241</v>
      </c>
      <c r="J581" s="4">
        <f t="shared" si="26"/>
        <v>14033253.56689574</v>
      </c>
      <c r="L581" s="22"/>
      <c r="M581" s="22"/>
      <c r="N581" s="19"/>
    </row>
    <row r="582" spans="2:14" ht="11.1" customHeight="1" x14ac:dyDescent="0.3">
      <c r="B582" s="19">
        <v>575</v>
      </c>
      <c r="C582" s="22">
        <v>200116017.15080464</v>
      </c>
      <c r="D582" s="23">
        <v>1.8730011497936805</v>
      </c>
      <c r="E582" s="22">
        <v>116923327.66686673</v>
      </c>
      <c r="F582" s="23">
        <v>1.4361823816405792</v>
      </c>
      <c r="G582" s="22">
        <v>83192689.483937904</v>
      </c>
      <c r="H582" s="23">
        <v>0.43681876815310128</v>
      </c>
      <c r="I582" s="23">
        <f t="shared" si="27"/>
        <v>190451270.75396076</v>
      </c>
      <c r="J582" s="4">
        <f t="shared" si="26"/>
        <v>13104563.044593038</v>
      </c>
      <c r="L582" s="22"/>
      <c r="M582" s="22"/>
      <c r="N582" s="19"/>
    </row>
    <row r="583" spans="2:14" ht="11.1" customHeight="1" x14ac:dyDescent="0.3">
      <c r="B583" s="19">
        <v>576</v>
      </c>
      <c r="C583" s="22">
        <v>203327978.76192093</v>
      </c>
      <c r="D583" s="23">
        <v>2.1990938190853528</v>
      </c>
      <c r="E583" s="22">
        <v>120223795.1178062</v>
      </c>
      <c r="F583" s="23">
        <v>1.716278966486402</v>
      </c>
      <c r="G583" s="22">
        <v>83104183.644114733</v>
      </c>
      <c r="H583" s="23">
        <v>0.48281485259895085</v>
      </c>
      <c r="I583" s="23">
        <f t="shared" si="27"/>
        <v>172124331.29753995</v>
      </c>
      <c r="J583" s="4">
        <f t="shared" si="26"/>
        <v>14484445.577968525</v>
      </c>
      <c r="L583" s="22"/>
      <c r="M583" s="22"/>
      <c r="N583" s="19"/>
    </row>
    <row r="584" spans="2:14" ht="11.1" customHeight="1" x14ac:dyDescent="0.3">
      <c r="B584" s="19">
        <v>577</v>
      </c>
      <c r="C584" s="22">
        <v>200208976.12033677</v>
      </c>
      <c r="D584" s="23">
        <v>1.8988556838108468</v>
      </c>
      <c r="E584" s="22">
        <v>117083596.56088421</v>
      </c>
      <c r="F584" s="23">
        <v>1.4455275488407091</v>
      </c>
      <c r="G584" s="22">
        <v>83125379.559452564</v>
      </c>
      <c r="H584" s="23">
        <v>0.45332813497013769</v>
      </c>
      <c r="I584" s="23">
        <f t="shared" si="27"/>
        <v>183366910.51599592</v>
      </c>
      <c r="J584" s="4">
        <f t="shared" ref="J584:J647" si="28">threshold*H584</f>
        <v>13599844.04910413</v>
      </c>
      <c r="L584" s="22"/>
      <c r="M584" s="22"/>
      <c r="N584" s="19"/>
    </row>
    <row r="585" spans="2:14" ht="11.1" customHeight="1" x14ac:dyDescent="0.3">
      <c r="B585" s="19">
        <v>578</v>
      </c>
      <c r="C585" s="22">
        <v>200935127.32784715</v>
      </c>
      <c r="D585" s="23">
        <v>1.9711846804742374</v>
      </c>
      <c r="E585" s="22">
        <v>118101173.7178334</v>
      </c>
      <c r="F585" s="23">
        <v>1.5120144331440377</v>
      </c>
      <c r="G585" s="22">
        <v>82833953.610013753</v>
      </c>
      <c r="H585" s="23">
        <v>0.45917024733019973</v>
      </c>
      <c r="I585" s="23">
        <f t="shared" ref="I585:I648" si="29">G585/H585</f>
        <v>180399218.13672301</v>
      </c>
      <c r="J585" s="4">
        <f t="shared" si="28"/>
        <v>13775107.419905992</v>
      </c>
      <c r="L585" s="22"/>
      <c r="M585" s="22"/>
      <c r="N585" s="19"/>
    </row>
    <row r="586" spans="2:14" ht="11.1" customHeight="1" x14ac:dyDescent="0.3">
      <c r="B586" s="19">
        <v>579</v>
      </c>
      <c r="C586" s="22">
        <v>199979821.88531503</v>
      </c>
      <c r="D586" s="23">
        <v>2.1504597708881481</v>
      </c>
      <c r="E586" s="22">
        <v>116603190.64096466</v>
      </c>
      <c r="F586" s="23">
        <v>1.6960543451139549</v>
      </c>
      <c r="G586" s="22">
        <v>83376631.244350374</v>
      </c>
      <c r="H586" s="23">
        <v>0.45440542577419318</v>
      </c>
      <c r="I586" s="23">
        <f t="shared" si="29"/>
        <v>183485113.76662689</v>
      </c>
      <c r="J586" s="4">
        <f t="shared" si="28"/>
        <v>13632162.773225795</v>
      </c>
      <c r="L586" s="22"/>
      <c r="M586" s="22"/>
      <c r="N586" s="19"/>
    </row>
    <row r="587" spans="2:14" ht="11.1" customHeight="1" x14ac:dyDescent="0.3">
      <c r="B587" s="19">
        <v>580</v>
      </c>
      <c r="C587" s="22">
        <v>202707472.8448405</v>
      </c>
      <c r="D587" s="23">
        <v>1.831214846595816</v>
      </c>
      <c r="E587" s="22">
        <v>120009422.13212363</v>
      </c>
      <c r="F587" s="23">
        <v>1.379208088012184</v>
      </c>
      <c r="G587" s="22">
        <v>82698050.712716863</v>
      </c>
      <c r="H587" s="23">
        <v>0.45200675858363204</v>
      </c>
      <c r="I587" s="23">
        <f t="shared" si="29"/>
        <v>182957553.49289927</v>
      </c>
      <c r="J587" s="4">
        <f t="shared" si="28"/>
        <v>13560202.757508961</v>
      </c>
      <c r="L587" s="22"/>
      <c r="M587" s="22"/>
      <c r="N587" s="19"/>
    </row>
    <row r="588" spans="2:14" ht="11.1" customHeight="1" x14ac:dyDescent="0.3">
      <c r="B588" s="19">
        <v>581</v>
      </c>
      <c r="C588" s="22">
        <v>201677608.39819303</v>
      </c>
      <c r="D588" s="23">
        <v>2.1573671730084092</v>
      </c>
      <c r="E588" s="22">
        <v>119011006.27824187</v>
      </c>
      <c r="F588" s="23">
        <v>1.7057895456605738</v>
      </c>
      <c r="G588" s="22">
        <v>82666602.119951159</v>
      </c>
      <c r="H588" s="23">
        <v>0.45157762734783535</v>
      </c>
      <c r="I588" s="23">
        <f t="shared" si="29"/>
        <v>183061775.23776174</v>
      </c>
      <c r="J588" s="4">
        <f t="shared" si="28"/>
        <v>13547328.82043506</v>
      </c>
      <c r="L588" s="22"/>
      <c r="M588" s="22"/>
      <c r="N588" s="19"/>
    </row>
    <row r="589" spans="2:14" ht="11.1" customHeight="1" x14ac:dyDescent="0.3">
      <c r="B589" s="19">
        <v>582</v>
      </c>
      <c r="C589" s="22">
        <v>201705909.32945994</v>
      </c>
      <c r="D589" s="23">
        <v>2.0190855818113418</v>
      </c>
      <c r="E589" s="22">
        <v>119144532.21457927</v>
      </c>
      <c r="F589" s="23">
        <v>1.5493559920324007</v>
      </c>
      <c r="G589" s="22">
        <v>82561377.114880666</v>
      </c>
      <c r="H589" s="23">
        <v>0.46972958977894108</v>
      </c>
      <c r="I589" s="23">
        <f t="shared" si="29"/>
        <v>175763628.50323051</v>
      </c>
      <c r="J589" s="4">
        <f t="shared" si="28"/>
        <v>14091887.693368232</v>
      </c>
      <c r="L589" s="22"/>
      <c r="M589" s="22"/>
      <c r="N589" s="19"/>
    </row>
    <row r="590" spans="2:14" ht="11.1" customHeight="1" x14ac:dyDescent="0.3">
      <c r="B590" s="19">
        <v>583</v>
      </c>
      <c r="C590" s="22">
        <v>199772551.56463322</v>
      </c>
      <c r="D590" s="23">
        <v>2.1526452893738908</v>
      </c>
      <c r="E590" s="22">
        <v>116902983.85251451</v>
      </c>
      <c r="F590" s="23">
        <v>1.6387543364066983</v>
      </c>
      <c r="G590" s="22">
        <v>82869567.712118715</v>
      </c>
      <c r="H590" s="23">
        <v>0.51389095296719245</v>
      </c>
      <c r="I590" s="23">
        <f t="shared" si="29"/>
        <v>161259051.62103376</v>
      </c>
      <c r="J590" s="4">
        <f t="shared" si="28"/>
        <v>15416728.589015773</v>
      </c>
      <c r="L590" s="22"/>
      <c r="M590" s="22"/>
      <c r="N590" s="19"/>
    </row>
    <row r="591" spans="2:14" ht="11.1" customHeight="1" x14ac:dyDescent="0.3">
      <c r="B591" s="19">
        <v>584</v>
      </c>
      <c r="C591" s="22">
        <v>200719885.7436507</v>
      </c>
      <c r="D591" s="23">
        <v>1.855126749406856</v>
      </c>
      <c r="E591" s="22">
        <v>117424064.77569687</v>
      </c>
      <c r="F591" s="23">
        <v>1.3979026799089009</v>
      </c>
      <c r="G591" s="22">
        <v>83295820.967953831</v>
      </c>
      <c r="H591" s="23">
        <v>0.45722406949795502</v>
      </c>
      <c r="I591" s="23">
        <f t="shared" si="29"/>
        <v>182177244.2107324</v>
      </c>
      <c r="J591" s="4">
        <f t="shared" si="28"/>
        <v>13716722.084938651</v>
      </c>
      <c r="L591" s="22"/>
      <c r="M591" s="22"/>
      <c r="N591" s="19"/>
    </row>
    <row r="592" spans="2:14" ht="11.1" customHeight="1" x14ac:dyDescent="0.3">
      <c r="B592" s="19">
        <v>585</v>
      </c>
      <c r="C592" s="22">
        <v>201639128.64443904</v>
      </c>
      <c r="D592" s="23">
        <v>1.8601525863397839</v>
      </c>
      <c r="E592" s="22">
        <v>118311609.14697146</v>
      </c>
      <c r="F592" s="23">
        <v>1.4032274217697474</v>
      </c>
      <c r="G592" s="22">
        <v>83327519.497467577</v>
      </c>
      <c r="H592" s="23">
        <v>0.45692516457003651</v>
      </c>
      <c r="I592" s="23">
        <f t="shared" si="29"/>
        <v>182365791.94730544</v>
      </c>
      <c r="J592" s="4">
        <f t="shared" si="28"/>
        <v>13707754.937101096</v>
      </c>
      <c r="L592" s="22"/>
      <c r="M592" s="22"/>
      <c r="N592" s="19"/>
    </row>
    <row r="593" spans="2:14" ht="11.1" customHeight="1" x14ac:dyDescent="0.3">
      <c r="B593" s="19">
        <v>586</v>
      </c>
      <c r="C593" s="22">
        <v>202881416.45260677</v>
      </c>
      <c r="D593" s="23">
        <v>1.883248794726528</v>
      </c>
      <c r="E593" s="22">
        <v>120204573.1044506</v>
      </c>
      <c r="F593" s="23">
        <v>1.4313703933068913</v>
      </c>
      <c r="G593" s="22">
        <v>82676843.348156169</v>
      </c>
      <c r="H593" s="23">
        <v>0.45187840141963664</v>
      </c>
      <c r="I593" s="23">
        <f t="shared" si="29"/>
        <v>182962591.45915312</v>
      </c>
      <c r="J593" s="4">
        <f t="shared" si="28"/>
        <v>13556352.0425891</v>
      </c>
      <c r="L593" s="22"/>
      <c r="M593" s="22"/>
      <c r="N593" s="19"/>
    </row>
    <row r="594" spans="2:14" ht="11.1" customHeight="1" x14ac:dyDescent="0.3">
      <c r="B594" s="19">
        <v>587</v>
      </c>
      <c r="C594" s="22">
        <v>203359091.77869961</v>
      </c>
      <c r="D594" s="23">
        <v>2.0355302132244706</v>
      </c>
      <c r="E594" s="22">
        <v>120479390.57627673</v>
      </c>
      <c r="F594" s="23">
        <v>1.5314662767422951</v>
      </c>
      <c r="G594" s="22">
        <v>82879701.202422872</v>
      </c>
      <c r="H594" s="23">
        <v>0.50406393648217551</v>
      </c>
      <c r="I594" s="23">
        <f t="shared" si="29"/>
        <v>164422993.20366797</v>
      </c>
      <c r="J594" s="4">
        <f t="shared" si="28"/>
        <v>15121918.094465265</v>
      </c>
      <c r="L594" s="22"/>
      <c r="M594" s="22"/>
      <c r="N594" s="19"/>
    </row>
    <row r="595" spans="2:14" ht="11.1" customHeight="1" x14ac:dyDescent="0.3">
      <c r="B595" s="19">
        <v>588</v>
      </c>
      <c r="C595" s="22">
        <v>198833032.34707466</v>
      </c>
      <c r="D595" s="23">
        <v>2.0435475974472017</v>
      </c>
      <c r="E595" s="22">
        <v>115675886.81836982</v>
      </c>
      <c r="F595" s="23">
        <v>1.5871433994094963</v>
      </c>
      <c r="G595" s="22">
        <v>83157145.528704837</v>
      </c>
      <c r="H595" s="23">
        <v>0.45640419803770538</v>
      </c>
      <c r="I595" s="23">
        <f t="shared" si="29"/>
        <v>182200658.72802269</v>
      </c>
      <c r="J595" s="4">
        <f t="shared" si="28"/>
        <v>13692125.941131162</v>
      </c>
      <c r="L595" s="22"/>
      <c r="M595" s="22"/>
      <c r="N595" s="19"/>
    </row>
    <row r="596" spans="2:14" ht="11.1" customHeight="1" x14ac:dyDescent="0.3">
      <c r="B596" s="19">
        <v>589</v>
      </c>
      <c r="C596" s="22">
        <v>201020953.73300576</v>
      </c>
      <c r="D596" s="23">
        <v>2.0264884623532895</v>
      </c>
      <c r="E596" s="22">
        <v>117691538.14979219</v>
      </c>
      <c r="F596" s="23">
        <v>1.5723272910910231</v>
      </c>
      <c r="G596" s="22">
        <v>83329415.583213568</v>
      </c>
      <c r="H596" s="23">
        <v>0.45416117126226641</v>
      </c>
      <c r="I596" s="23">
        <f t="shared" si="29"/>
        <v>183479832.39433071</v>
      </c>
      <c r="J596" s="4">
        <f t="shared" si="28"/>
        <v>13624835.137867993</v>
      </c>
      <c r="L596" s="22"/>
      <c r="M596" s="22"/>
      <c r="N596" s="19"/>
    </row>
    <row r="597" spans="2:14" ht="11.1" customHeight="1" x14ac:dyDescent="0.3">
      <c r="B597" s="19">
        <v>590</v>
      </c>
      <c r="C597" s="22">
        <v>202483974.34858164</v>
      </c>
      <c r="D597" s="23">
        <v>1.9173195037017798</v>
      </c>
      <c r="E597" s="22">
        <v>119328553.37499805</v>
      </c>
      <c r="F597" s="23">
        <v>1.4470506991431309</v>
      </c>
      <c r="G597" s="22">
        <v>83155420.973583594</v>
      </c>
      <c r="H597" s="23">
        <v>0.47026880455864895</v>
      </c>
      <c r="I597" s="23">
        <f t="shared" si="29"/>
        <v>176825296.86744931</v>
      </c>
      <c r="J597" s="4">
        <f t="shared" si="28"/>
        <v>14108064.136759467</v>
      </c>
      <c r="L597" s="22"/>
      <c r="M597" s="22"/>
      <c r="N597" s="19"/>
    </row>
    <row r="598" spans="2:14" ht="11.1" customHeight="1" x14ac:dyDescent="0.3">
      <c r="B598" s="19">
        <v>591</v>
      </c>
      <c r="C598" s="22">
        <v>198175588.40614778</v>
      </c>
      <c r="D598" s="23">
        <v>1.7893275201018322</v>
      </c>
      <c r="E598" s="22">
        <v>115338533.14745225</v>
      </c>
      <c r="F598" s="23">
        <v>1.3403831202784968</v>
      </c>
      <c r="G598" s="22">
        <v>82837055.258695528</v>
      </c>
      <c r="H598" s="23">
        <v>0.44894439982333534</v>
      </c>
      <c r="I598" s="23">
        <f t="shared" si="29"/>
        <v>184515176.69291085</v>
      </c>
      <c r="J598" s="4">
        <f t="shared" si="28"/>
        <v>13468331.994700059</v>
      </c>
      <c r="L598" s="22"/>
      <c r="M598" s="22"/>
      <c r="N598" s="19"/>
    </row>
    <row r="599" spans="2:14" ht="11.1" customHeight="1" x14ac:dyDescent="0.3">
      <c r="B599" s="19">
        <v>592</v>
      </c>
      <c r="C599" s="22">
        <v>201793705.87275136</v>
      </c>
      <c r="D599" s="23">
        <v>1.9462338048329633</v>
      </c>
      <c r="E599" s="22">
        <v>118839363.73132218</v>
      </c>
      <c r="F599" s="23">
        <v>1.4927114961791215</v>
      </c>
      <c r="G599" s="22">
        <v>82954342.141429171</v>
      </c>
      <c r="H599" s="23">
        <v>0.4535223086538418</v>
      </c>
      <c r="I599" s="23">
        <f t="shared" si="29"/>
        <v>182911271.52632618</v>
      </c>
      <c r="J599" s="4">
        <f t="shared" si="28"/>
        <v>13605669.259615254</v>
      </c>
      <c r="L599" s="22"/>
      <c r="M599" s="22"/>
      <c r="N599" s="19"/>
    </row>
    <row r="600" spans="2:14" ht="11.1" customHeight="1" x14ac:dyDescent="0.3">
      <c r="B600" s="19">
        <v>593</v>
      </c>
      <c r="C600" s="22">
        <v>202908196.3610937</v>
      </c>
      <c r="D600" s="23">
        <v>2.3363839590547162</v>
      </c>
      <c r="E600" s="22">
        <v>119744501.81406742</v>
      </c>
      <c r="F600" s="23">
        <v>1.881950988972275</v>
      </c>
      <c r="G600" s="22">
        <v>83163694.547026277</v>
      </c>
      <c r="H600" s="23">
        <v>0.45443297008244121</v>
      </c>
      <c r="I600" s="23">
        <f t="shared" si="29"/>
        <v>183005415.58844</v>
      </c>
      <c r="J600" s="4">
        <f t="shared" si="28"/>
        <v>13632989.102473237</v>
      </c>
      <c r="L600" s="22"/>
      <c r="M600" s="22"/>
      <c r="N600" s="19"/>
    </row>
    <row r="601" spans="2:14" ht="11.1" customHeight="1" x14ac:dyDescent="0.3">
      <c r="B601" s="19">
        <v>594</v>
      </c>
      <c r="C601" s="22">
        <v>204106732.48963496</v>
      </c>
      <c r="D601" s="23">
        <v>2.2726379644978403</v>
      </c>
      <c r="E601" s="22">
        <v>120916924.06448273</v>
      </c>
      <c r="F601" s="23">
        <v>1.813434500311883</v>
      </c>
      <c r="G601" s="22">
        <v>83189808.425152227</v>
      </c>
      <c r="H601" s="23">
        <v>0.45920346418595726</v>
      </c>
      <c r="I601" s="23">
        <f t="shared" si="29"/>
        <v>181161108.12148404</v>
      </c>
      <c r="J601" s="4">
        <f t="shared" si="28"/>
        <v>13776103.925578717</v>
      </c>
      <c r="L601" s="22"/>
      <c r="M601" s="22"/>
      <c r="N601" s="19"/>
    </row>
    <row r="602" spans="2:14" ht="11.1" customHeight="1" x14ac:dyDescent="0.3">
      <c r="B602" s="19">
        <v>595</v>
      </c>
      <c r="C602" s="22">
        <v>201598699.14566943</v>
      </c>
      <c r="D602" s="23">
        <v>1.842707937883924</v>
      </c>
      <c r="E602" s="22">
        <v>118722057.17367133</v>
      </c>
      <c r="F602" s="23">
        <v>1.3777579068165642</v>
      </c>
      <c r="G602" s="22">
        <v>82876641.971998096</v>
      </c>
      <c r="H602" s="23">
        <v>0.46495003106735977</v>
      </c>
      <c r="I602" s="23">
        <f t="shared" si="29"/>
        <v>178248492.16966999</v>
      </c>
      <c r="J602" s="4">
        <f t="shared" si="28"/>
        <v>13948500.932020793</v>
      </c>
      <c r="L602" s="22"/>
      <c r="M602" s="22"/>
      <c r="N602" s="19"/>
    </row>
    <row r="603" spans="2:14" ht="11.1" customHeight="1" x14ac:dyDescent="0.3">
      <c r="B603" s="19">
        <v>596</v>
      </c>
      <c r="C603" s="22">
        <v>202834612.00094137</v>
      </c>
      <c r="D603" s="23">
        <v>2.1186607806795301</v>
      </c>
      <c r="E603" s="22">
        <v>119678332.64731395</v>
      </c>
      <c r="F603" s="23">
        <v>1.651668442895311</v>
      </c>
      <c r="G603" s="22">
        <v>83156279.353627414</v>
      </c>
      <c r="H603" s="23">
        <v>0.46699233778421911</v>
      </c>
      <c r="I603" s="23">
        <f t="shared" si="29"/>
        <v>178067759.63003281</v>
      </c>
      <c r="J603" s="4">
        <f t="shared" si="28"/>
        <v>14009770.133526573</v>
      </c>
      <c r="L603" s="22"/>
      <c r="M603" s="22"/>
      <c r="N603" s="19"/>
    </row>
    <row r="604" spans="2:14" ht="11.1" customHeight="1" x14ac:dyDescent="0.3">
      <c r="B604" s="19">
        <v>597</v>
      </c>
      <c r="C604" s="22">
        <v>199298089.99896991</v>
      </c>
      <c r="D604" s="23">
        <v>2.0620094450030106</v>
      </c>
      <c r="E604" s="22">
        <v>116058283.61662748</v>
      </c>
      <c r="F604" s="23">
        <v>1.617431974498118</v>
      </c>
      <c r="G604" s="22">
        <v>83239806.382342428</v>
      </c>
      <c r="H604" s="23">
        <v>0.4445774705048926</v>
      </c>
      <c r="I604" s="23">
        <f t="shared" si="29"/>
        <v>187233523.74966192</v>
      </c>
      <c r="J604" s="4">
        <f t="shared" si="28"/>
        <v>13337324.115146779</v>
      </c>
      <c r="L604" s="22"/>
      <c r="M604" s="22"/>
      <c r="N604" s="19"/>
    </row>
    <row r="605" spans="2:14" ht="11.1" customHeight="1" x14ac:dyDescent="0.3">
      <c r="B605" s="19">
        <v>598</v>
      </c>
      <c r="C605" s="22">
        <v>198842368.1703977</v>
      </c>
      <c r="D605" s="23">
        <v>1.9143902452232344</v>
      </c>
      <c r="E605" s="22">
        <v>115695499.3746936</v>
      </c>
      <c r="F605" s="23">
        <v>1.4635468487902843</v>
      </c>
      <c r="G605" s="22">
        <v>83146868.795704097</v>
      </c>
      <c r="H605" s="23">
        <v>0.45084339643295013</v>
      </c>
      <c r="I605" s="23">
        <f t="shared" si="29"/>
        <v>184425167.26108858</v>
      </c>
      <c r="J605" s="4">
        <f t="shared" si="28"/>
        <v>13525301.892988503</v>
      </c>
      <c r="L605" s="22"/>
      <c r="M605" s="22"/>
      <c r="N605" s="19"/>
    </row>
    <row r="606" spans="2:14" ht="11.1" customHeight="1" x14ac:dyDescent="0.3">
      <c r="B606" s="19">
        <v>599</v>
      </c>
      <c r="C606" s="22">
        <v>198144126.75032538</v>
      </c>
      <c r="D606" s="23">
        <v>2.0154929835006827</v>
      </c>
      <c r="E606" s="22">
        <v>114966517.96008267</v>
      </c>
      <c r="F606" s="23">
        <v>1.5445899748880452</v>
      </c>
      <c r="G606" s="22">
        <v>83177608.790242717</v>
      </c>
      <c r="H606" s="23">
        <v>0.47090300861263756</v>
      </c>
      <c r="I606" s="23">
        <f t="shared" si="29"/>
        <v>176634269.19972005</v>
      </c>
      <c r="J606" s="4">
        <f t="shared" si="28"/>
        <v>14127090.258379128</v>
      </c>
      <c r="L606" s="22"/>
      <c r="M606" s="22"/>
      <c r="N606" s="19"/>
    </row>
    <row r="607" spans="2:14" ht="11.1" customHeight="1" x14ac:dyDescent="0.3">
      <c r="B607" s="19">
        <v>600</v>
      </c>
      <c r="C607" s="22">
        <v>203760320.14800954</v>
      </c>
      <c r="D607" s="23">
        <v>2.0901391843407238</v>
      </c>
      <c r="E607" s="22">
        <v>121266868.77436402</v>
      </c>
      <c r="F607" s="23">
        <v>1.6181667763726499</v>
      </c>
      <c r="G607" s="22">
        <v>82493451.373645514</v>
      </c>
      <c r="H607" s="23">
        <v>0.47197240796807383</v>
      </c>
      <c r="I607" s="23">
        <f t="shared" si="29"/>
        <v>174784478.8825573</v>
      </c>
      <c r="J607" s="4">
        <f t="shared" si="28"/>
        <v>14159172.239042215</v>
      </c>
      <c r="L607" s="22"/>
      <c r="M607" s="22"/>
      <c r="N607" s="19"/>
    </row>
    <row r="608" spans="2:14" ht="11.1" customHeight="1" x14ac:dyDescent="0.3">
      <c r="B608" s="19">
        <v>601</v>
      </c>
      <c r="C608" s="22">
        <v>199654519.42437851</v>
      </c>
      <c r="D608" s="23">
        <v>1.9107588225980652</v>
      </c>
      <c r="E608" s="22">
        <v>116343578.58044346</v>
      </c>
      <c r="F608" s="23">
        <v>1.4513866125228496</v>
      </c>
      <c r="G608" s="22">
        <v>83310940.843935058</v>
      </c>
      <c r="H608" s="23">
        <v>0.45937221007521556</v>
      </c>
      <c r="I608" s="23">
        <f t="shared" si="29"/>
        <v>181358251.58055183</v>
      </c>
      <c r="J608" s="4">
        <f t="shared" si="28"/>
        <v>13781166.302256467</v>
      </c>
      <c r="L608" s="22"/>
      <c r="M608" s="22"/>
      <c r="N608" s="19"/>
    </row>
    <row r="609" spans="2:14" ht="11.1" customHeight="1" x14ac:dyDescent="0.3">
      <c r="B609" s="19">
        <v>602</v>
      </c>
      <c r="C609" s="22">
        <v>200179101.29141203</v>
      </c>
      <c r="D609" s="23">
        <v>2.0758563774756689</v>
      </c>
      <c r="E609" s="22">
        <v>117553477.1995185</v>
      </c>
      <c r="F609" s="23">
        <v>1.6042961956398578</v>
      </c>
      <c r="G609" s="22">
        <v>82625624.091893524</v>
      </c>
      <c r="H609" s="23">
        <v>0.47156018183581105</v>
      </c>
      <c r="I609" s="23">
        <f t="shared" si="29"/>
        <v>175217559.23120394</v>
      </c>
      <c r="J609" s="4">
        <f t="shared" si="28"/>
        <v>14146805.455074331</v>
      </c>
      <c r="L609" s="22"/>
      <c r="M609" s="22"/>
      <c r="N609" s="19"/>
    </row>
    <row r="610" spans="2:14" ht="11.1" customHeight="1" x14ac:dyDescent="0.3">
      <c r="B610" s="19">
        <v>603</v>
      </c>
      <c r="C610" s="22">
        <v>203042638.04347038</v>
      </c>
      <c r="D610" s="23">
        <v>2.2015949727409807</v>
      </c>
      <c r="E610" s="22">
        <v>120039626.23884667</v>
      </c>
      <c r="F610" s="23">
        <v>1.6836233079486003</v>
      </c>
      <c r="G610" s="22">
        <v>83003011.804623708</v>
      </c>
      <c r="H610" s="23">
        <v>0.51797166479238044</v>
      </c>
      <c r="I610" s="23">
        <f t="shared" si="29"/>
        <v>160246240.18360919</v>
      </c>
      <c r="J610" s="4">
        <f t="shared" si="28"/>
        <v>15539149.943771413</v>
      </c>
      <c r="L610" s="22"/>
      <c r="M610" s="22"/>
      <c r="N610" s="19"/>
    </row>
    <row r="611" spans="2:14" ht="11.1" customHeight="1" x14ac:dyDescent="0.3">
      <c r="B611" s="19">
        <v>604</v>
      </c>
      <c r="C611" s="22">
        <v>200563349.47289917</v>
      </c>
      <c r="D611" s="23">
        <v>2.0883135382289502</v>
      </c>
      <c r="E611" s="22">
        <v>117430936.06629869</v>
      </c>
      <c r="F611" s="23">
        <v>1.6308512660379766</v>
      </c>
      <c r="G611" s="22">
        <v>83132413.406600475</v>
      </c>
      <c r="H611" s="23">
        <v>0.45746227219097357</v>
      </c>
      <c r="I611" s="23">
        <f t="shared" si="29"/>
        <v>181725179.23378778</v>
      </c>
      <c r="J611" s="4">
        <f t="shared" si="28"/>
        <v>13723868.165729208</v>
      </c>
      <c r="L611" s="22"/>
      <c r="M611" s="22"/>
      <c r="N611" s="19"/>
    </row>
    <row r="612" spans="2:14" ht="11.1" customHeight="1" x14ac:dyDescent="0.3">
      <c r="B612" s="19">
        <v>605</v>
      </c>
      <c r="C612" s="22">
        <v>202644203.26383367</v>
      </c>
      <c r="D612" s="23">
        <v>1.9646227245966066</v>
      </c>
      <c r="E612" s="22">
        <v>119248955.68846731</v>
      </c>
      <c r="F612" s="23">
        <v>1.5154056789668</v>
      </c>
      <c r="G612" s="22">
        <v>83395247.575366363</v>
      </c>
      <c r="H612" s="23">
        <v>0.44921704562980658</v>
      </c>
      <c r="I612" s="23">
        <f t="shared" si="29"/>
        <v>185645777.21765974</v>
      </c>
      <c r="J612" s="4">
        <f t="shared" si="28"/>
        <v>13476511.368894197</v>
      </c>
      <c r="L612" s="22"/>
      <c r="M612" s="22"/>
      <c r="N612" s="19"/>
    </row>
    <row r="613" spans="2:14" ht="11.1" customHeight="1" x14ac:dyDescent="0.3">
      <c r="B613" s="19">
        <v>606</v>
      </c>
      <c r="C613" s="22">
        <v>208524964.02186742</v>
      </c>
      <c r="D613" s="23">
        <v>2.1340018618060625</v>
      </c>
      <c r="E613" s="22">
        <v>125914700.26033419</v>
      </c>
      <c r="F613" s="23">
        <v>1.6977942249022544</v>
      </c>
      <c r="G613" s="22">
        <v>82610263.761533231</v>
      </c>
      <c r="H613" s="23">
        <v>0.43620763690380815</v>
      </c>
      <c r="I613" s="23">
        <f t="shared" si="29"/>
        <v>189382891.93627831</v>
      </c>
      <c r="J613" s="4">
        <f t="shared" si="28"/>
        <v>13086229.107114244</v>
      </c>
      <c r="L613" s="22"/>
      <c r="M613" s="22"/>
      <c r="N613" s="19"/>
    </row>
    <row r="614" spans="2:14" ht="11.1" customHeight="1" x14ac:dyDescent="0.3">
      <c r="B614" s="19">
        <v>607</v>
      </c>
      <c r="C614" s="22">
        <v>200998817.81924003</v>
      </c>
      <c r="D614" s="23">
        <v>2.1330636444366275</v>
      </c>
      <c r="E614" s="22">
        <v>118023738.2430522</v>
      </c>
      <c r="F614" s="23">
        <v>1.7077521540313034</v>
      </c>
      <c r="G614" s="22">
        <v>82975079.576187834</v>
      </c>
      <c r="H614" s="23">
        <v>0.42531149040532412</v>
      </c>
      <c r="I614" s="23">
        <f t="shared" si="29"/>
        <v>195092494.43769351</v>
      </c>
      <c r="J614" s="4">
        <f t="shared" si="28"/>
        <v>12759344.712159723</v>
      </c>
      <c r="L614" s="22"/>
      <c r="M614" s="22"/>
      <c r="N614" s="19"/>
    </row>
    <row r="615" spans="2:14" ht="11.1" customHeight="1" x14ac:dyDescent="0.3">
      <c r="B615" s="19">
        <v>608</v>
      </c>
      <c r="C615" s="22">
        <v>202079577.45026928</v>
      </c>
      <c r="D615" s="23">
        <v>1.8606111342905478</v>
      </c>
      <c r="E615" s="22">
        <v>119404041.95186101</v>
      </c>
      <c r="F615" s="23">
        <v>1.4264766752895042</v>
      </c>
      <c r="G615" s="22">
        <v>82675535.498408273</v>
      </c>
      <c r="H615" s="23">
        <v>0.43413445900104364</v>
      </c>
      <c r="I615" s="23">
        <f t="shared" si="29"/>
        <v>190437625.45052782</v>
      </c>
      <c r="J615" s="4">
        <f t="shared" si="28"/>
        <v>13024033.770031309</v>
      </c>
      <c r="L615" s="22"/>
      <c r="M615" s="22"/>
      <c r="N615" s="19"/>
    </row>
    <row r="616" spans="2:14" ht="11.1" customHeight="1" x14ac:dyDescent="0.3">
      <c r="B616" s="19">
        <v>609</v>
      </c>
      <c r="C616" s="22">
        <v>203124741.5294205</v>
      </c>
      <c r="D616" s="23">
        <v>1.86589366688745</v>
      </c>
      <c r="E616" s="22">
        <v>120305912.53110167</v>
      </c>
      <c r="F616" s="23">
        <v>1.428939074095817</v>
      </c>
      <c r="G616" s="22">
        <v>82818828.998318821</v>
      </c>
      <c r="H616" s="23">
        <v>0.43695459279163296</v>
      </c>
      <c r="I616" s="23">
        <f t="shared" si="29"/>
        <v>189536465.26336429</v>
      </c>
      <c r="J616" s="4">
        <f t="shared" si="28"/>
        <v>13108637.783748988</v>
      </c>
      <c r="L616" s="22"/>
      <c r="M616" s="22"/>
      <c r="N616" s="19"/>
    </row>
    <row r="617" spans="2:14" ht="11.1" customHeight="1" x14ac:dyDescent="0.3">
      <c r="B617" s="19">
        <v>610</v>
      </c>
      <c r="C617" s="22">
        <v>199449609.34904519</v>
      </c>
      <c r="D617" s="23">
        <v>1.9974384066842992</v>
      </c>
      <c r="E617" s="22">
        <v>116559749.98438984</v>
      </c>
      <c r="F617" s="23">
        <v>1.5034070546632103</v>
      </c>
      <c r="G617" s="22">
        <v>82889859.364655346</v>
      </c>
      <c r="H617" s="23">
        <v>0.49403135202108883</v>
      </c>
      <c r="I617" s="23">
        <f t="shared" si="29"/>
        <v>167782589.15259492</v>
      </c>
      <c r="J617" s="4">
        <f t="shared" si="28"/>
        <v>14820940.560632665</v>
      </c>
      <c r="L617" s="22"/>
      <c r="M617" s="22"/>
      <c r="N617" s="19"/>
    </row>
    <row r="618" spans="2:14" ht="11.1" customHeight="1" x14ac:dyDescent="0.3">
      <c r="B618" s="19">
        <v>611</v>
      </c>
      <c r="C618" s="22">
        <v>201044673.74228519</v>
      </c>
      <c r="D618" s="23">
        <v>2.1274912641701929</v>
      </c>
      <c r="E618" s="22">
        <v>117722058.21562177</v>
      </c>
      <c r="F618" s="23">
        <v>1.6162697868146139</v>
      </c>
      <c r="G618" s="22">
        <v>83322615.526663423</v>
      </c>
      <c r="H618" s="23">
        <v>0.51122147735557899</v>
      </c>
      <c r="I618" s="23">
        <f t="shared" si="29"/>
        <v>162987314.14351076</v>
      </c>
      <c r="J618" s="4">
        <f t="shared" si="28"/>
        <v>15336644.320667369</v>
      </c>
      <c r="L618" s="22"/>
      <c r="M618" s="22"/>
      <c r="N618" s="19"/>
    </row>
    <row r="619" spans="2:14" ht="11.1" customHeight="1" x14ac:dyDescent="0.3">
      <c r="B619" s="19">
        <v>612</v>
      </c>
      <c r="C619" s="22">
        <v>203056693.8934924</v>
      </c>
      <c r="D619" s="23">
        <v>1.7468598477692556</v>
      </c>
      <c r="E619" s="22">
        <v>120201383.54393561</v>
      </c>
      <c r="F619" s="23">
        <v>1.3330540638451962</v>
      </c>
      <c r="G619" s="22">
        <v>82855310.349556789</v>
      </c>
      <c r="H619" s="23">
        <v>0.41380578392405942</v>
      </c>
      <c r="I619" s="23">
        <f t="shared" si="29"/>
        <v>200227530.8089028</v>
      </c>
      <c r="J619" s="4">
        <f t="shared" si="28"/>
        <v>12414173.517721783</v>
      </c>
      <c r="L619" s="22"/>
      <c r="M619" s="22"/>
      <c r="N619" s="19"/>
    </row>
    <row r="620" spans="2:14" ht="11.1" customHeight="1" x14ac:dyDescent="0.3">
      <c r="B620" s="19">
        <v>613</v>
      </c>
      <c r="C620" s="22">
        <v>199168098.80897757</v>
      </c>
      <c r="D620" s="23">
        <v>2.1781133192603357</v>
      </c>
      <c r="E620" s="22">
        <v>116163014.22715537</v>
      </c>
      <c r="F620" s="23">
        <v>1.6848369472906632</v>
      </c>
      <c r="G620" s="22">
        <v>83005084.581822202</v>
      </c>
      <c r="H620" s="23">
        <v>0.49327637196967244</v>
      </c>
      <c r="I620" s="23">
        <f t="shared" si="29"/>
        <v>168272979.00035137</v>
      </c>
      <c r="J620" s="4">
        <f t="shared" si="28"/>
        <v>14798291.159090172</v>
      </c>
      <c r="L620" s="22"/>
      <c r="M620" s="22"/>
      <c r="N620" s="19"/>
    </row>
    <row r="621" spans="2:14" ht="11.1" customHeight="1" x14ac:dyDescent="0.3">
      <c r="B621" s="19">
        <v>614</v>
      </c>
      <c r="C621" s="22">
        <v>202176946.06026995</v>
      </c>
      <c r="D621" s="23">
        <v>1.9016862151405591</v>
      </c>
      <c r="E621" s="22">
        <v>119588328.47589415</v>
      </c>
      <c r="F621" s="23">
        <v>1.4624523945409917</v>
      </c>
      <c r="G621" s="22">
        <v>82588617.584375799</v>
      </c>
      <c r="H621" s="23">
        <v>0.43923382059956739</v>
      </c>
      <c r="I621" s="23">
        <f t="shared" si="29"/>
        <v>188028821.34995854</v>
      </c>
      <c r="J621" s="4">
        <f t="shared" si="28"/>
        <v>13177014.617987022</v>
      </c>
      <c r="L621" s="22"/>
      <c r="M621" s="22"/>
      <c r="N621" s="19"/>
    </row>
    <row r="622" spans="2:14" ht="11.1" customHeight="1" x14ac:dyDescent="0.3">
      <c r="B622" s="19">
        <v>615</v>
      </c>
      <c r="C622" s="22">
        <v>199484060.95193216</v>
      </c>
      <c r="D622" s="23">
        <v>2.0724256805808166</v>
      </c>
      <c r="E622" s="22">
        <v>116288939.52516383</v>
      </c>
      <c r="F622" s="23">
        <v>1.6040928651897439</v>
      </c>
      <c r="G622" s="22">
        <v>83195121.426768333</v>
      </c>
      <c r="H622" s="23">
        <v>0.46833281539107263</v>
      </c>
      <c r="I622" s="23">
        <f t="shared" si="29"/>
        <v>177641025.12717968</v>
      </c>
      <c r="J622" s="4">
        <f t="shared" si="28"/>
        <v>14049984.461732179</v>
      </c>
      <c r="L622" s="22"/>
      <c r="M622" s="22"/>
      <c r="N622" s="19"/>
    </row>
    <row r="623" spans="2:14" ht="11.1" customHeight="1" x14ac:dyDescent="0.3">
      <c r="B623" s="19">
        <v>616</v>
      </c>
      <c r="C623" s="22">
        <v>202810992.45393604</v>
      </c>
      <c r="D623" s="23">
        <v>2.2224855396776468</v>
      </c>
      <c r="E623" s="22">
        <v>120108797.63639602</v>
      </c>
      <c r="F623" s="23">
        <v>1.7257378412480713</v>
      </c>
      <c r="G623" s="22">
        <v>82702194.81754002</v>
      </c>
      <c r="H623" s="23">
        <v>0.49674769842957556</v>
      </c>
      <c r="I623" s="23">
        <f t="shared" si="29"/>
        <v>166487323.6031003</v>
      </c>
      <c r="J623" s="4">
        <f t="shared" si="28"/>
        <v>14902430.952887267</v>
      </c>
      <c r="L623" s="22"/>
      <c r="M623" s="22"/>
      <c r="N623" s="19"/>
    </row>
    <row r="624" spans="2:14" ht="11.1" customHeight="1" x14ac:dyDescent="0.3">
      <c r="B624" s="19">
        <v>617</v>
      </c>
      <c r="C624" s="22">
        <v>200571686.50970033</v>
      </c>
      <c r="D624" s="23">
        <v>1.9377861737485793</v>
      </c>
      <c r="E624" s="22">
        <v>117962920.24805073</v>
      </c>
      <c r="F624" s="23">
        <v>1.4762797876936873</v>
      </c>
      <c r="G624" s="22">
        <v>82608766.261649594</v>
      </c>
      <c r="H624" s="23">
        <v>0.46150638605489203</v>
      </c>
      <c r="I624" s="23">
        <f t="shared" si="29"/>
        <v>178998100.04324409</v>
      </c>
      <c r="J624" s="4">
        <f t="shared" si="28"/>
        <v>13845191.581646761</v>
      </c>
      <c r="L624" s="22"/>
      <c r="M624" s="22"/>
      <c r="N624" s="19"/>
    </row>
    <row r="625" spans="2:14" ht="11.1" customHeight="1" x14ac:dyDescent="0.3">
      <c r="B625" s="19">
        <v>618</v>
      </c>
      <c r="C625" s="22">
        <v>203635771.16583973</v>
      </c>
      <c r="D625" s="23">
        <v>2.0741197918569769</v>
      </c>
      <c r="E625" s="22">
        <v>120596883.39532635</v>
      </c>
      <c r="F625" s="23">
        <v>1.5925829664446929</v>
      </c>
      <c r="G625" s="22">
        <v>83038887.770513386</v>
      </c>
      <c r="H625" s="23">
        <v>0.48153682541228404</v>
      </c>
      <c r="I625" s="23">
        <f t="shared" si="29"/>
        <v>172445560.5226388</v>
      </c>
      <c r="J625" s="4">
        <f t="shared" si="28"/>
        <v>14446104.762368521</v>
      </c>
      <c r="L625" s="22"/>
      <c r="M625" s="22"/>
      <c r="N625" s="19"/>
    </row>
    <row r="626" spans="2:14" ht="11.1" customHeight="1" x14ac:dyDescent="0.3">
      <c r="B626" s="19">
        <v>619</v>
      </c>
      <c r="C626" s="22">
        <v>200145550.10264164</v>
      </c>
      <c r="D626" s="23">
        <v>1.7805618058560282</v>
      </c>
      <c r="E626" s="22">
        <v>117111333.78306368</v>
      </c>
      <c r="F626" s="23">
        <v>1.351076610614157</v>
      </c>
      <c r="G626" s="22">
        <v>83034216.319577962</v>
      </c>
      <c r="H626" s="23">
        <v>0.42948519524187123</v>
      </c>
      <c r="I626" s="23">
        <f t="shared" si="29"/>
        <v>193334292.40282884</v>
      </c>
      <c r="J626" s="4">
        <f t="shared" si="28"/>
        <v>12884555.857256137</v>
      </c>
      <c r="L626" s="22"/>
      <c r="M626" s="22"/>
      <c r="N626" s="19"/>
    </row>
    <row r="627" spans="2:14" ht="11.1" customHeight="1" x14ac:dyDescent="0.3">
      <c r="B627" s="19">
        <v>620</v>
      </c>
      <c r="C627" s="22">
        <v>202198986.56072703</v>
      </c>
      <c r="D627" s="23">
        <v>1.8872585372556725</v>
      </c>
      <c r="E627" s="22">
        <v>119047079.02672754</v>
      </c>
      <c r="F627" s="23">
        <v>1.4231296497859118</v>
      </c>
      <c r="G627" s="22">
        <v>83151907.533999488</v>
      </c>
      <c r="H627" s="23">
        <v>0.46412888746976066</v>
      </c>
      <c r="I627" s="23">
        <f t="shared" si="29"/>
        <v>179156932.00505015</v>
      </c>
      <c r="J627" s="4">
        <f t="shared" si="28"/>
        <v>13923866.624092819</v>
      </c>
      <c r="L627" s="22"/>
      <c r="M627" s="22"/>
      <c r="N627" s="19"/>
    </row>
    <row r="628" spans="2:14" ht="11.1" customHeight="1" x14ac:dyDescent="0.3">
      <c r="B628" s="19">
        <v>621</v>
      </c>
      <c r="C628" s="22">
        <v>201781437.68071061</v>
      </c>
      <c r="D628" s="23">
        <v>2.3195765450944674</v>
      </c>
      <c r="E628" s="22">
        <v>118612552.18709049</v>
      </c>
      <c r="F628" s="23">
        <v>1.8549637089308431</v>
      </c>
      <c r="G628" s="22">
        <v>83168885.493620127</v>
      </c>
      <c r="H628" s="23">
        <v>0.46461283616362437</v>
      </c>
      <c r="I628" s="23">
        <f t="shared" si="29"/>
        <v>179006861.24033439</v>
      </c>
      <c r="J628" s="4">
        <f t="shared" si="28"/>
        <v>13938385.084908731</v>
      </c>
      <c r="L628" s="22"/>
      <c r="M628" s="22"/>
      <c r="N628" s="19"/>
    </row>
    <row r="629" spans="2:14" ht="11.1" customHeight="1" x14ac:dyDescent="0.3">
      <c r="B629" s="19">
        <v>622</v>
      </c>
      <c r="C629" s="22">
        <v>203659828.78818753</v>
      </c>
      <c r="D629" s="23">
        <v>2.446727594047247</v>
      </c>
      <c r="E629" s="22">
        <v>120850817.09827095</v>
      </c>
      <c r="F629" s="23">
        <v>2.0325976207632346</v>
      </c>
      <c r="G629" s="22">
        <v>82809011.689916581</v>
      </c>
      <c r="H629" s="23">
        <v>0.41412997328401246</v>
      </c>
      <c r="I629" s="23">
        <f t="shared" si="29"/>
        <v>199958991.21536353</v>
      </c>
      <c r="J629" s="4">
        <f t="shared" si="28"/>
        <v>12423899.198520374</v>
      </c>
      <c r="L629" s="22"/>
      <c r="M629" s="22"/>
      <c r="N629" s="19"/>
    </row>
    <row r="630" spans="2:14" ht="11.1" customHeight="1" x14ac:dyDescent="0.3">
      <c r="B630" s="19">
        <v>623</v>
      </c>
      <c r="C630" s="22">
        <v>199360576.87053981</v>
      </c>
      <c r="D630" s="23">
        <v>2.0667279485309487</v>
      </c>
      <c r="E630" s="22">
        <v>116820614.95699604</v>
      </c>
      <c r="F630" s="23">
        <v>1.5759471904630067</v>
      </c>
      <c r="G630" s="22">
        <v>82539961.913543776</v>
      </c>
      <c r="H630" s="23">
        <v>0.49078075806794197</v>
      </c>
      <c r="I630" s="23">
        <f t="shared" si="29"/>
        <v>168180925.10081097</v>
      </c>
      <c r="J630" s="4">
        <f t="shared" si="28"/>
        <v>14723422.742038259</v>
      </c>
      <c r="L630" s="22"/>
      <c r="M630" s="22"/>
      <c r="N630" s="19"/>
    </row>
    <row r="631" spans="2:14" ht="11.1" customHeight="1" x14ac:dyDescent="0.3">
      <c r="B631" s="19">
        <v>624</v>
      </c>
      <c r="C631" s="22">
        <v>200308494.04145122</v>
      </c>
      <c r="D631" s="23">
        <v>2.0360012859263401</v>
      </c>
      <c r="E631" s="22">
        <v>117299782.53476685</v>
      </c>
      <c r="F631" s="23">
        <v>1.6327711769863837</v>
      </c>
      <c r="G631" s="22">
        <v>83008711.506684363</v>
      </c>
      <c r="H631" s="23">
        <v>0.40323010893995637</v>
      </c>
      <c r="I631" s="23">
        <f t="shared" si="29"/>
        <v>205859407.98147321</v>
      </c>
      <c r="J631" s="4">
        <f t="shared" si="28"/>
        <v>12096903.268198691</v>
      </c>
      <c r="L631" s="22"/>
      <c r="M631" s="22"/>
      <c r="N631" s="19"/>
    </row>
    <row r="632" spans="2:14" ht="11.1" customHeight="1" x14ac:dyDescent="0.3">
      <c r="B632" s="19">
        <v>625</v>
      </c>
      <c r="C632" s="22">
        <v>198851784.83154443</v>
      </c>
      <c r="D632" s="23">
        <v>2.1722146171441223</v>
      </c>
      <c r="E632" s="22">
        <v>116007541.59384751</v>
      </c>
      <c r="F632" s="23">
        <v>1.7104493426679592</v>
      </c>
      <c r="G632" s="22">
        <v>82844243.237696916</v>
      </c>
      <c r="H632" s="23">
        <v>0.46176527447616311</v>
      </c>
      <c r="I632" s="23">
        <f t="shared" si="29"/>
        <v>179407694.37822556</v>
      </c>
      <c r="J632" s="4">
        <f t="shared" si="28"/>
        <v>13852958.234284893</v>
      </c>
      <c r="L632" s="22"/>
      <c r="M632" s="22"/>
      <c r="N632" s="19"/>
    </row>
    <row r="633" spans="2:14" ht="11.1" customHeight="1" x14ac:dyDescent="0.3">
      <c r="B633" s="19">
        <v>626</v>
      </c>
      <c r="C633" s="22">
        <v>202670080.02501702</v>
      </c>
      <c r="D633" s="23">
        <v>1.7236991030532272</v>
      </c>
      <c r="E633" s="22">
        <v>119863342.63113821</v>
      </c>
      <c r="F633" s="23">
        <v>1.2769920614816788</v>
      </c>
      <c r="G633" s="22">
        <v>82806737.393878818</v>
      </c>
      <c r="H633" s="23">
        <v>0.44670704157154839</v>
      </c>
      <c r="I633" s="23">
        <f t="shared" si="29"/>
        <v>185371462.02701125</v>
      </c>
      <c r="J633" s="4">
        <f t="shared" si="28"/>
        <v>13401211.247146452</v>
      </c>
      <c r="L633" s="22"/>
      <c r="M633" s="22"/>
      <c r="N633" s="19"/>
    </row>
    <row r="634" spans="2:14" ht="11.1" customHeight="1" x14ac:dyDescent="0.3">
      <c r="B634" s="19">
        <v>627</v>
      </c>
      <c r="C634" s="22">
        <v>203509682.86696494</v>
      </c>
      <c r="D634" s="23">
        <v>1.8976410740057081</v>
      </c>
      <c r="E634" s="22">
        <v>120282936.61326027</v>
      </c>
      <c r="F634" s="23">
        <v>1.4307988328540957</v>
      </c>
      <c r="G634" s="22">
        <v>83226746.253704667</v>
      </c>
      <c r="H634" s="23">
        <v>0.46684224115161244</v>
      </c>
      <c r="I634" s="23">
        <f t="shared" si="29"/>
        <v>178275954.73879969</v>
      </c>
      <c r="J634" s="4">
        <f t="shared" si="28"/>
        <v>14005267.234548373</v>
      </c>
      <c r="L634" s="22"/>
      <c r="M634" s="22"/>
      <c r="N634" s="19"/>
    </row>
    <row r="635" spans="2:14" ht="11.1" customHeight="1" x14ac:dyDescent="0.3">
      <c r="B635" s="19">
        <v>628</v>
      </c>
      <c r="C635" s="22">
        <v>200470478.30263785</v>
      </c>
      <c r="D635" s="23">
        <v>2.0310649022478295</v>
      </c>
      <c r="E635" s="22">
        <v>117611760.45779113</v>
      </c>
      <c r="F635" s="23">
        <v>1.5749175671939593</v>
      </c>
      <c r="G635" s="22">
        <v>82858717.844846711</v>
      </c>
      <c r="H635" s="23">
        <v>0.45614733505387028</v>
      </c>
      <c r="I635" s="23">
        <f t="shared" si="29"/>
        <v>181649023.19348469</v>
      </c>
      <c r="J635" s="4">
        <f t="shared" si="28"/>
        <v>13684420.051616108</v>
      </c>
      <c r="L635" s="22"/>
      <c r="M635" s="22"/>
      <c r="N635" s="19"/>
    </row>
    <row r="636" spans="2:14" ht="11.1" customHeight="1" x14ac:dyDescent="0.3">
      <c r="B636" s="19">
        <v>629</v>
      </c>
      <c r="C636" s="22">
        <v>200048755.88409045</v>
      </c>
      <c r="D636" s="23">
        <v>1.7927986357965504</v>
      </c>
      <c r="E636" s="22">
        <v>116516667.30046728</v>
      </c>
      <c r="F636" s="23">
        <v>1.3530558166394413</v>
      </c>
      <c r="G636" s="22">
        <v>83532088.583623171</v>
      </c>
      <c r="H636" s="23">
        <v>0.43974281915710911</v>
      </c>
      <c r="I636" s="23">
        <f t="shared" si="29"/>
        <v>189956685.91868296</v>
      </c>
      <c r="J636" s="4">
        <f t="shared" si="28"/>
        <v>13192284.574713273</v>
      </c>
      <c r="L636" s="22"/>
      <c r="M636" s="22"/>
      <c r="N636" s="19"/>
    </row>
    <row r="637" spans="2:14" ht="11.1" customHeight="1" x14ac:dyDescent="0.3">
      <c r="B637" s="19">
        <v>630</v>
      </c>
      <c r="C637" s="22">
        <v>201867663.07572934</v>
      </c>
      <c r="D637" s="23">
        <v>2.3943259685526805</v>
      </c>
      <c r="E637" s="22">
        <v>118981269.9194171</v>
      </c>
      <c r="F637" s="23">
        <v>1.8850617193103145</v>
      </c>
      <c r="G637" s="22">
        <v>82886393.156312242</v>
      </c>
      <c r="H637" s="23">
        <v>0.50926424924236602</v>
      </c>
      <c r="I637" s="23">
        <f t="shared" si="29"/>
        <v>162757140.87455106</v>
      </c>
      <c r="J637" s="4">
        <f t="shared" si="28"/>
        <v>15277927.477270981</v>
      </c>
      <c r="L637" s="22"/>
      <c r="M637" s="22"/>
      <c r="N637" s="19"/>
    </row>
    <row r="638" spans="2:14" ht="11.1" customHeight="1" x14ac:dyDescent="0.3">
      <c r="B638" s="19">
        <v>631</v>
      </c>
      <c r="C638" s="22">
        <v>199510069.25845858</v>
      </c>
      <c r="D638" s="23">
        <v>1.9038082428402769</v>
      </c>
      <c r="E638" s="22">
        <v>116644554.48545034</v>
      </c>
      <c r="F638" s="23">
        <v>1.4264885463395731</v>
      </c>
      <c r="G638" s="22">
        <v>82865514.773008242</v>
      </c>
      <c r="H638" s="23">
        <v>0.47731969650070383</v>
      </c>
      <c r="I638" s="23">
        <f t="shared" si="29"/>
        <v>173605898.47958654</v>
      </c>
      <c r="J638" s="4">
        <f t="shared" si="28"/>
        <v>14319590.895021114</v>
      </c>
      <c r="L638" s="22"/>
      <c r="M638" s="22"/>
      <c r="N638" s="19"/>
    </row>
    <row r="639" spans="2:14" ht="11.1" customHeight="1" x14ac:dyDescent="0.3">
      <c r="B639" s="19">
        <v>632</v>
      </c>
      <c r="C639" s="22">
        <v>201222909.82727525</v>
      </c>
      <c r="D639" s="23">
        <v>2.2171720639367458</v>
      </c>
      <c r="E639" s="22">
        <v>118728732.31249307</v>
      </c>
      <c r="F639" s="23">
        <v>1.7113819283478486</v>
      </c>
      <c r="G639" s="22">
        <v>82494177.514782175</v>
      </c>
      <c r="H639" s="23">
        <v>0.50579013558889718</v>
      </c>
      <c r="I639" s="23">
        <f t="shared" si="29"/>
        <v>163099617.2330116</v>
      </c>
      <c r="J639" s="4">
        <f t="shared" si="28"/>
        <v>15173704.067666916</v>
      </c>
      <c r="L639" s="22"/>
      <c r="M639" s="22"/>
      <c r="N639" s="19"/>
    </row>
    <row r="640" spans="2:14" ht="11.1" customHeight="1" x14ac:dyDescent="0.3">
      <c r="B640" s="19">
        <v>633</v>
      </c>
      <c r="C640" s="22">
        <v>201870586.15626356</v>
      </c>
      <c r="D640" s="23">
        <v>1.9197014661857019</v>
      </c>
      <c r="E640" s="22">
        <v>118995276.36417332</v>
      </c>
      <c r="F640" s="23">
        <v>1.4690177342524577</v>
      </c>
      <c r="G640" s="22">
        <v>82875309.792090237</v>
      </c>
      <c r="H640" s="23">
        <v>0.45068373193324418</v>
      </c>
      <c r="I640" s="23">
        <f t="shared" si="29"/>
        <v>183887954.94479004</v>
      </c>
      <c r="J640" s="4">
        <f t="shared" si="28"/>
        <v>13520511.957997326</v>
      </c>
      <c r="L640" s="22"/>
      <c r="M640" s="22"/>
      <c r="N640" s="19"/>
    </row>
    <row r="641" spans="2:14" ht="11.1" customHeight="1" x14ac:dyDescent="0.3">
      <c r="B641" s="19">
        <v>634</v>
      </c>
      <c r="C641" s="22">
        <v>201559688.22924644</v>
      </c>
      <c r="D641" s="23">
        <v>2.1642521818450637</v>
      </c>
      <c r="E641" s="22">
        <v>118725383.7679366</v>
      </c>
      <c r="F641" s="23">
        <v>1.6724647709225939</v>
      </c>
      <c r="G641" s="22">
        <v>82834304.461309835</v>
      </c>
      <c r="H641" s="23">
        <v>0.4917874109224698</v>
      </c>
      <c r="I641" s="23">
        <f t="shared" si="29"/>
        <v>168435186.87461612</v>
      </c>
      <c r="J641" s="4">
        <f t="shared" si="28"/>
        <v>14753622.327674095</v>
      </c>
      <c r="L641" s="22"/>
      <c r="M641" s="22"/>
      <c r="N641" s="19"/>
    </row>
    <row r="642" spans="2:14" ht="11.1" customHeight="1" x14ac:dyDescent="0.3">
      <c r="B642" s="19">
        <v>635</v>
      </c>
      <c r="C642" s="22">
        <v>203693299.47614497</v>
      </c>
      <c r="D642" s="23">
        <v>2.2322759403332855</v>
      </c>
      <c r="E642" s="22">
        <v>120725665.96134694</v>
      </c>
      <c r="F642" s="23">
        <v>1.7547986893406937</v>
      </c>
      <c r="G642" s="22">
        <v>82967633.51479803</v>
      </c>
      <c r="H642" s="23">
        <v>0.47747725099259175</v>
      </c>
      <c r="I642" s="23">
        <f t="shared" si="29"/>
        <v>173762484.68869004</v>
      </c>
      <c r="J642" s="4">
        <f t="shared" si="28"/>
        <v>14324317.529777752</v>
      </c>
      <c r="L642" s="22"/>
      <c r="M642" s="22"/>
      <c r="N642" s="19"/>
    </row>
    <row r="643" spans="2:14" ht="11.1" customHeight="1" x14ac:dyDescent="0.3">
      <c r="B643" s="19">
        <v>636</v>
      </c>
      <c r="C643" s="22">
        <v>200450492.72536799</v>
      </c>
      <c r="D643" s="23">
        <v>2.1112079389415856</v>
      </c>
      <c r="E643" s="22">
        <v>117495665.40359262</v>
      </c>
      <c r="F643" s="23">
        <v>1.631344445332009</v>
      </c>
      <c r="G643" s="22">
        <v>82954827.321775377</v>
      </c>
      <c r="H643" s="23">
        <v>0.4798634936095767</v>
      </c>
      <c r="I643" s="23">
        <f t="shared" si="29"/>
        <v>172871719.61713871</v>
      </c>
      <c r="J643" s="4">
        <f t="shared" si="28"/>
        <v>14395904.8082873</v>
      </c>
      <c r="L643" s="22"/>
      <c r="M643" s="22"/>
      <c r="N643" s="19"/>
    </row>
    <row r="644" spans="2:14" ht="11.1" customHeight="1" x14ac:dyDescent="0.3">
      <c r="B644" s="19">
        <v>637</v>
      </c>
      <c r="C644" s="22">
        <v>203905122.6401903</v>
      </c>
      <c r="D644" s="23">
        <v>2.1958259799839572</v>
      </c>
      <c r="E644" s="22">
        <v>120564968.2074631</v>
      </c>
      <c r="F644" s="23">
        <v>1.738659351246459</v>
      </c>
      <c r="G644" s="22">
        <v>83340154.432727203</v>
      </c>
      <c r="H644" s="23">
        <v>0.45716662873749825</v>
      </c>
      <c r="I644" s="23">
        <f t="shared" si="29"/>
        <v>182297108.30573443</v>
      </c>
      <c r="J644" s="4">
        <f t="shared" si="28"/>
        <v>13714998.862124948</v>
      </c>
      <c r="L644" s="22"/>
      <c r="M644" s="22"/>
      <c r="N644" s="19"/>
    </row>
    <row r="645" spans="2:14" ht="11.1" customHeight="1" x14ac:dyDescent="0.3">
      <c r="B645" s="19">
        <v>638</v>
      </c>
      <c r="C645" s="22">
        <v>203554579.87996724</v>
      </c>
      <c r="D645" s="23">
        <v>2.2438472677719594</v>
      </c>
      <c r="E645" s="22">
        <v>120410645.28928617</v>
      </c>
      <c r="F645" s="23">
        <v>1.8168170118043903</v>
      </c>
      <c r="G645" s="22">
        <v>83143934.590681076</v>
      </c>
      <c r="H645" s="23">
        <v>0.42703025596756916</v>
      </c>
      <c r="I645" s="23">
        <f t="shared" si="29"/>
        <v>194702678.3905341</v>
      </c>
      <c r="J645" s="4">
        <f t="shared" si="28"/>
        <v>12810907.679027075</v>
      </c>
      <c r="L645" s="22"/>
      <c r="M645" s="22"/>
      <c r="N645" s="19"/>
    </row>
    <row r="646" spans="2:14" ht="11.1" customHeight="1" x14ac:dyDescent="0.3">
      <c r="B646" s="19">
        <v>639</v>
      </c>
      <c r="C646" s="22">
        <v>204107004.58410299</v>
      </c>
      <c r="D646" s="23">
        <v>1.9549210546433571</v>
      </c>
      <c r="E646" s="22">
        <v>120999454.80883971</v>
      </c>
      <c r="F646" s="23">
        <v>1.5028379997145509</v>
      </c>
      <c r="G646" s="22">
        <v>83107549.77526328</v>
      </c>
      <c r="H646" s="23">
        <v>0.45208305492880618</v>
      </c>
      <c r="I646" s="23">
        <f t="shared" si="29"/>
        <v>183832481.37524423</v>
      </c>
      <c r="J646" s="4">
        <f t="shared" si="28"/>
        <v>13562491.647864185</v>
      </c>
      <c r="L646" s="22"/>
      <c r="M646" s="22"/>
      <c r="N646" s="19"/>
    </row>
    <row r="647" spans="2:14" ht="11.1" customHeight="1" x14ac:dyDescent="0.3">
      <c r="B647" s="19">
        <v>640</v>
      </c>
      <c r="C647" s="22">
        <v>199450849.17655385</v>
      </c>
      <c r="D647" s="23">
        <v>2.2796386256870367</v>
      </c>
      <c r="E647" s="22">
        <v>116072637.70186727</v>
      </c>
      <c r="F647" s="23">
        <v>1.8139113068654951</v>
      </c>
      <c r="G647" s="22">
        <v>83378211.474686578</v>
      </c>
      <c r="H647" s="23">
        <v>0.46572731882154161</v>
      </c>
      <c r="I647" s="23">
        <f t="shared" si="29"/>
        <v>179027959.29099366</v>
      </c>
      <c r="J647" s="4">
        <f t="shared" si="28"/>
        <v>13971819.564646248</v>
      </c>
      <c r="L647" s="22"/>
      <c r="M647" s="22"/>
      <c r="N647" s="19"/>
    </row>
    <row r="648" spans="2:14" ht="11.1" customHeight="1" x14ac:dyDescent="0.3">
      <c r="B648" s="19">
        <v>641</v>
      </c>
      <c r="C648" s="22">
        <v>202015558.48493719</v>
      </c>
      <c r="D648" s="23">
        <v>2.0828427044697566</v>
      </c>
      <c r="E648" s="22">
        <v>118854156.0857697</v>
      </c>
      <c r="F648" s="23">
        <v>1.6407012893054165</v>
      </c>
      <c r="G648" s="22">
        <v>83161402.399167493</v>
      </c>
      <c r="H648" s="23">
        <v>0.44214141516434013</v>
      </c>
      <c r="I648" s="23">
        <f t="shared" si="29"/>
        <v>188087791.70405722</v>
      </c>
      <c r="J648" s="4">
        <f t="shared" ref="J648:J711" si="30">threshold*H648</f>
        <v>13264242.454930205</v>
      </c>
      <c r="L648" s="22"/>
      <c r="M648" s="22"/>
      <c r="N648" s="19"/>
    </row>
    <row r="649" spans="2:14" ht="11.1" customHeight="1" x14ac:dyDescent="0.3">
      <c r="B649" s="19">
        <v>642</v>
      </c>
      <c r="C649" s="22">
        <v>203660677.86802784</v>
      </c>
      <c r="D649" s="23">
        <v>1.8798135267214147</v>
      </c>
      <c r="E649" s="22">
        <v>120301501.55818255</v>
      </c>
      <c r="F649" s="23">
        <v>1.4339839555718048</v>
      </c>
      <c r="G649" s="22">
        <v>83359176.309845284</v>
      </c>
      <c r="H649" s="23">
        <v>0.44582957114960986</v>
      </c>
      <c r="I649" s="23">
        <f t="shared" ref="I649:I712" si="31">G649/H649</f>
        <v>186975431.20546374</v>
      </c>
      <c r="J649" s="4">
        <f t="shared" si="30"/>
        <v>13374887.134488296</v>
      </c>
      <c r="L649" s="22"/>
      <c r="M649" s="22"/>
      <c r="N649" s="19"/>
    </row>
    <row r="650" spans="2:14" ht="11.1" customHeight="1" x14ac:dyDescent="0.3">
      <c r="B650" s="19">
        <v>643</v>
      </c>
      <c r="C650" s="22">
        <v>204266268.58240587</v>
      </c>
      <c r="D650" s="23">
        <v>2.0553366750681032</v>
      </c>
      <c r="E650" s="22">
        <v>120855240.93954556</v>
      </c>
      <c r="F650" s="23">
        <v>1.5939578002479671</v>
      </c>
      <c r="G650" s="22">
        <v>83411027.642860308</v>
      </c>
      <c r="H650" s="23">
        <v>0.46137887482013618</v>
      </c>
      <c r="I650" s="23">
        <f t="shared" si="31"/>
        <v>180786403.96220404</v>
      </c>
      <c r="J650" s="4">
        <f t="shared" si="30"/>
        <v>13841366.244604085</v>
      </c>
      <c r="L650" s="22"/>
      <c r="M650" s="22"/>
      <c r="N650" s="19"/>
    </row>
    <row r="651" spans="2:14" ht="11.1" customHeight="1" x14ac:dyDescent="0.3">
      <c r="B651" s="19">
        <v>644</v>
      </c>
      <c r="C651" s="22">
        <v>206192330.37524766</v>
      </c>
      <c r="D651" s="23">
        <v>2.1087681227952357</v>
      </c>
      <c r="E651" s="22">
        <v>122779935.88647895</v>
      </c>
      <c r="F651" s="23">
        <v>1.6496526702900356</v>
      </c>
      <c r="G651" s="22">
        <v>83412394.488768712</v>
      </c>
      <c r="H651" s="23">
        <v>0.45911545250520014</v>
      </c>
      <c r="I651" s="23">
        <f t="shared" si="31"/>
        <v>181680651.42138502</v>
      </c>
      <c r="J651" s="4">
        <f t="shared" si="30"/>
        <v>13773463.575156003</v>
      </c>
      <c r="L651" s="22"/>
      <c r="M651" s="22"/>
      <c r="N651" s="19"/>
    </row>
    <row r="652" spans="2:14" ht="11.1" customHeight="1" x14ac:dyDescent="0.3">
      <c r="B652" s="19">
        <v>645</v>
      </c>
      <c r="C652" s="22">
        <v>201931050.71454605</v>
      </c>
      <c r="D652" s="23">
        <v>2.3174590297773876</v>
      </c>
      <c r="E652" s="22">
        <v>118628510.48462306</v>
      </c>
      <c r="F652" s="23">
        <v>1.9340031141335658</v>
      </c>
      <c r="G652" s="22">
        <v>83302540.229922995</v>
      </c>
      <c r="H652" s="23">
        <v>0.38345591564382175</v>
      </c>
      <c r="I652" s="23">
        <f t="shared" si="31"/>
        <v>217241505.03730837</v>
      </c>
      <c r="J652" s="4">
        <f t="shared" si="30"/>
        <v>11503677.469314653</v>
      </c>
      <c r="L652" s="22"/>
      <c r="M652" s="22"/>
      <c r="N652" s="19"/>
    </row>
    <row r="653" spans="2:14" ht="11.1" customHeight="1" x14ac:dyDescent="0.3">
      <c r="B653" s="19">
        <v>646</v>
      </c>
      <c r="C653" s="22">
        <v>200926274.935213</v>
      </c>
      <c r="D653" s="23">
        <v>2.075567279095536</v>
      </c>
      <c r="E653" s="22">
        <v>117639943.80851699</v>
      </c>
      <c r="F653" s="23">
        <v>1.610821249732397</v>
      </c>
      <c r="G653" s="22">
        <v>83286331.126696005</v>
      </c>
      <c r="H653" s="23">
        <v>0.46474602936313891</v>
      </c>
      <c r="I653" s="23">
        <f t="shared" si="31"/>
        <v>179208268.31124684</v>
      </c>
      <c r="J653" s="4">
        <f t="shared" si="30"/>
        <v>13942380.880894167</v>
      </c>
      <c r="L653" s="22"/>
      <c r="M653" s="22"/>
      <c r="N653" s="19"/>
    </row>
    <row r="654" spans="2:14" ht="11.1" customHeight="1" x14ac:dyDescent="0.3">
      <c r="B654" s="19">
        <v>647</v>
      </c>
      <c r="C654" s="22">
        <v>202192160.44297221</v>
      </c>
      <c r="D654" s="23">
        <v>2.2795335942200756</v>
      </c>
      <c r="E654" s="22">
        <v>119251013.3322257</v>
      </c>
      <c r="F654" s="23">
        <v>1.7890798353111488</v>
      </c>
      <c r="G654" s="22">
        <v>82941147.110746518</v>
      </c>
      <c r="H654" s="23">
        <v>0.49045375890892684</v>
      </c>
      <c r="I654" s="23">
        <f t="shared" si="31"/>
        <v>169111043.81228322</v>
      </c>
      <c r="J654" s="4">
        <f t="shared" si="30"/>
        <v>14713612.767267805</v>
      </c>
      <c r="L654" s="22"/>
      <c r="M654" s="22"/>
      <c r="N654" s="19"/>
    </row>
    <row r="655" spans="2:14" ht="11.1" customHeight="1" x14ac:dyDescent="0.3">
      <c r="B655" s="19">
        <v>648</v>
      </c>
      <c r="C655" s="22">
        <v>204824796.71009585</v>
      </c>
      <c r="D655" s="23">
        <v>2.0129290980144301</v>
      </c>
      <c r="E655" s="22">
        <v>122023239.41722269</v>
      </c>
      <c r="F655" s="23">
        <v>1.5374048046514441</v>
      </c>
      <c r="G655" s="22">
        <v>82801557.292873159</v>
      </c>
      <c r="H655" s="23">
        <v>0.47552429336298596</v>
      </c>
      <c r="I655" s="23">
        <f t="shared" si="31"/>
        <v>174126871.0107047</v>
      </c>
      <c r="J655" s="4">
        <f t="shared" si="30"/>
        <v>14265728.80088958</v>
      </c>
      <c r="L655" s="22"/>
      <c r="M655" s="22"/>
      <c r="N655" s="19"/>
    </row>
    <row r="656" spans="2:14" ht="11.1" customHeight="1" x14ac:dyDescent="0.3">
      <c r="B656" s="19">
        <v>649</v>
      </c>
      <c r="C656" s="22">
        <v>201448637.92247224</v>
      </c>
      <c r="D656" s="23">
        <v>2.1577581370153207</v>
      </c>
      <c r="E656" s="22">
        <v>118542213.1018102</v>
      </c>
      <c r="F656" s="23">
        <v>1.6722565163227241</v>
      </c>
      <c r="G656" s="22">
        <v>82906424.820662037</v>
      </c>
      <c r="H656" s="23">
        <v>0.48550162069259661</v>
      </c>
      <c r="I656" s="23">
        <f t="shared" si="31"/>
        <v>170764465.631219</v>
      </c>
      <c r="J656" s="4">
        <f t="shared" si="30"/>
        <v>14565048.620777898</v>
      </c>
      <c r="L656" s="22"/>
      <c r="M656" s="22"/>
      <c r="N656" s="19"/>
    </row>
    <row r="657" spans="2:14" ht="11.1" customHeight="1" x14ac:dyDescent="0.3">
      <c r="B657" s="19">
        <v>650</v>
      </c>
      <c r="C657" s="22">
        <v>200413281.98745129</v>
      </c>
      <c r="D657" s="23">
        <v>1.8010992495919285</v>
      </c>
      <c r="E657" s="22">
        <v>117361379.07699953</v>
      </c>
      <c r="F657" s="23">
        <v>1.3517288645669736</v>
      </c>
      <c r="G657" s="22">
        <v>83051902.910451755</v>
      </c>
      <c r="H657" s="23">
        <v>0.44937038502495485</v>
      </c>
      <c r="I657" s="23">
        <f t="shared" si="31"/>
        <v>184818371.83338115</v>
      </c>
      <c r="J657" s="4">
        <f t="shared" si="30"/>
        <v>13481111.550748646</v>
      </c>
      <c r="L657" s="22"/>
      <c r="M657" s="22"/>
      <c r="N657" s="19"/>
    </row>
    <row r="658" spans="2:14" ht="11.1" customHeight="1" x14ac:dyDescent="0.3">
      <c r="B658" s="19">
        <v>651</v>
      </c>
      <c r="C658" s="22">
        <v>201784608.81295666</v>
      </c>
      <c r="D658" s="23">
        <v>2.0172558911889542</v>
      </c>
      <c r="E658" s="22">
        <v>118802796.35495131</v>
      </c>
      <c r="F658" s="23">
        <v>1.5628660060984174</v>
      </c>
      <c r="G658" s="22">
        <v>82981812.458005354</v>
      </c>
      <c r="H658" s="23">
        <v>0.45438988509053679</v>
      </c>
      <c r="I658" s="23">
        <f t="shared" si="31"/>
        <v>182622490.46646649</v>
      </c>
      <c r="J658" s="4">
        <f t="shared" si="30"/>
        <v>13631696.552716104</v>
      </c>
      <c r="L658" s="22"/>
      <c r="M658" s="22"/>
      <c r="N658" s="19"/>
    </row>
    <row r="659" spans="2:14" ht="11.1" customHeight="1" x14ac:dyDescent="0.3">
      <c r="B659" s="19">
        <v>652</v>
      </c>
      <c r="C659" s="22">
        <v>199924509.79707631</v>
      </c>
      <c r="D659" s="23">
        <v>2.0450600248881319</v>
      </c>
      <c r="E659" s="22">
        <v>116772848.87706861</v>
      </c>
      <c r="F659" s="23">
        <v>1.5651451735104416</v>
      </c>
      <c r="G659" s="22">
        <v>83151660.920007706</v>
      </c>
      <c r="H659" s="23">
        <v>0.4799148513776903</v>
      </c>
      <c r="I659" s="23">
        <f t="shared" si="31"/>
        <v>173263362.61798203</v>
      </c>
      <c r="J659" s="4">
        <f t="shared" si="30"/>
        <v>14397445.541330708</v>
      </c>
      <c r="L659" s="22"/>
      <c r="M659" s="22"/>
      <c r="N659" s="19"/>
    </row>
    <row r="660" spans="2:14" ht="11.1" customHeight="1" x14ac:dyDescent="0.3">
      <c r="B660" s="19">
        <v>653</v>
      </c>
      <c r="C660" s="22">
        <v>199405714.30186284</v>
      </c>
      <c r="D660" s="23">
        <v>1.8393857644370322</v>
      </c>
      <c r="E660" s="22">
        <v>116265780.85396925</v>
      </c>
      <c r="F660" s="23">
        <v>1.3976354383213931</v>
      </c>
      <c r="G660" s="22">
        <v>83139933.44789359</v>
      </c>
      <c r="H660" s="23">
        <v>0.44175032611563902</v>
      </c>
      <c r="I660" s="23">
        <f t="shared" si="31"/>
        <v>188205709.27236772</v>
      </c>
      <c r="J660" s="4">
        <f t="shared" si="30"/>
        <v>13252509.78346917</v>
      </c>
      <c r="L660" s="22"/>
      <c r="M660" s="22"/>
      <c r="N660" s="19"/>
    </row>
    <row r="661" spans="2:14" ht="11.1" customHeight="1" x14ac:dyDescent="0.3">
      <c r="B661" s="19">
        <v>654</v>
      </c>
      <c r="C661" s="22">
        <v>201039488.63269696</v>
      </c>
      <c r="D661" s="23">
        <v>2.1590204918175755</v>
      </c>
      <c r="E661" s="22">
        <v>117634810.69908643</v>
      </c>
      <c r="F661" s="23">
        <v>1.685253059422757</v>
      </c>
      <c r="G661" s="22">
        <v>83404677.933610529</v>
      </c>
      <c r="H661" s="23">
        <v>0.47376743239481844</v>
      </c>
      <c r="I661" s="23">
        <f t="shared" si="31"/>
        <v>176045612.74297231</v>
      </c>
      <c r="J661" s="4">
        <f t="shared" si="30"/>
        <v>14213022.971844554</v>
      </c>
      <c r="L661" s="22"/>
      <c r="M661" s="22"/>
      <c r="N661" s="19"/>
    </row>
    <row r="662" spans="2:14" ht="11.1" customHeight="1" x14ac:dyDescent="0.3">
      <c r="B662" s="19">
        <v>655</v>
      </c>
      <c r="C662" s="22">
        <v>203054225.84632263</v>
      </c>
      <c r="D662" s="23">
        <v>1.9941571780261726</v>
      </c>
      <c r="E662" s="22">
        <v>119809381.92261618</v>
      </c>
      <c r="F662" s="23">
        <v>1.5463482941854856</v>
      </c>
      <c r="G662" s="22">
        <v>83244843.923706442</v>
      </c>
      <c r="H662" s="23">
        <v>0.44780888384068707</v>
      </c>
      <c r="I662" s="23">
        <f t="shared" si="31"/>
        <v>185893685.73876196</v>
      </c>
      <c r="J662" s="4">
        <f t="shared" si="30"/>
        <v>13434266.515220612</v>
      </c>
      <c r="L662" s="22"/>
      <c r="M662" s="22"/>
      <c r="N662" s="19"/>
    </row>
    <row r="663" spans="2:14" ht="11.1" customHeight="1" x14ac:dyDescent="0.3">
      <c r="B663" s="19">
        <v>656</v>
      </c>
      <c r="C663" s="22">
        <v>204546060.90628621</v>
      </c>
      <c r="D663" s="23">
        <v>2.0460937902760215</v>
      </c>
      <c r="E663" s="22">
        <v>121437989.03276941</v>
      </c>
      <c r="F663" s="23">
        <v>1.6007014738077487</v>
      </c>
      <c r="G663" s="22">
        <v>83108071.873516798</v>
      </c>
      <c r="H663" s="23">
        <v>0.44539231646827271</v>
      </c>
      <c r="I663" s="23">
        <f t="shared" si="31"/>
        <v>186595207.86644948</v>
      </c>
      <c r="J663" s="4">
        <f t="shared" si="30"/>
        <v>13361769.494048182</v>
      </c>
      <c r="L663" s="22"/>
      <c r="M663" s="22"/>
      <c r="N663" s="19"/>
    </row>
    <row r="664" spans="2:14" ht="11.1" customHeight="1" x14ac:dyDescent="0.3">
      <c r="B664" s="19">
        <v>657</v>
      </c>
      <c r="C664" s="22">
        <v>202239599.32978049</v>
      </c>
      <c r="D664" s="23">
        <v>1.914462158651101</v>
      </c>
      <c r="E664" s="22">
        <v>118529015.00594084</v>
      </c>
      <c r="F664" s="23">
        <v>1.4826697079074158</v>
      </c>
      <c r="G664" s="22">
        <v>83710584.32383965</v>
      </c>
      <c r="H664" s="23">
        <v>0.43179245074368522</v>
      </c>
      <c r="I664" s="23">
        <f t="shared" si="31"/>
        <v>193867642.14998004</v>
      </c>
      <c r="J664" s="4">
        <f t="shared" si="30"/>
        <v>12953773.522310557</v>
      </c>
      <c r="L664" s="22"/>
      <c r="M664" s="22"/>
      <c r="N664" s="19"/>
    </row>
    <row r="665" spans="2:14" ht="11.1" customHeight="1" x14ac:dyDescent="0.3">
      <c r="B665" s="19">
        <v>658</v>
      </c>
      <c r="C665" s="22">
        <v>198690674.83529237</v>
      </c>
      <c r="D665" s="23">
        <v>1.8841496154691686</v>
      </c>
      <c r="E665" s="22">
        <v>115698874.92675245</v>
      </c>
      <c r="F665" s="23">
        <v>1.4444435355949801</v>
      </c>
      <c r="G665" s="22">
        <v>82991799.908539921</v>
      </c>
      <c r="H665" s="23">
        <v>0.43970607987418853</v>
      </c>
      <c r="I665" s="23">
        <f t="shared" si="31"/>
        <v>188743807.9825643</v>
      </c>
      <c r="J665" s="4">
        <f t="shared" si="30"/>
        <v>13191182.396225655</v>
      </c>
      <c r="L665" s="22"/>
      <c r="M665" s="22"/>
      <c r="N665" s="19"/>
    </row>
    <row r="666" spans="2:14" ht="11.1" customHeight="1" x14ac:dyDescent="0.3">
      <c r="B666" s="19">
        <v>659</v>
      </c>
      <c r="C666" s="22">
        <v>201117635.68103462</v>
      </c>
      <c r="D666" s="23">
        <v>2.0708752650015669</v>
      </c>
      <c r="E666" s="22">
        <v>118007206.00614519</v>
      </c>
      <c r="F666" s="23">
        <v>1.6813034659803319</v>
      </c>
      <c r="G666" s="22">
        <v>83110429.67488943</v>
      </c>
      <c r="H666" s="23">
        <v>0.38957179902123507</v>
      </c>
      <c r="I666" s="23">
        <f t="shared" si="31"/>
        <v>213337900.44273505</v>
      </c>
      <c r="J666" s="4">
        <f t="shared" si="30"/>
        <v>11687153.970637051</v>
      </c>
      <c r="L666" s="22"/>
      <c r="M666" s="22"/>
      <c r="N666" s="19"/>
    </row>
    <row r="667" spans="2:14" ht="11.1" customHeight="1" x14ac:dyDescent="0.3">
      <c r="B667" s="19">
        <v>660</v>
      </c>
      <c r="C667" s="22">
        <v>201340905.11610496</v>
      </c>
      <c r="D667" s="23">
        <v>2.0826860543165342</v>
      </c>
      <c r="E667" s="22">
        <v>118415965.78362015</v>
      </c>
      <c r="F667" s="23">
        <v>1.588795306750995</v>
      </c>
      <c r="G667" s="22">
        <v>82924939.332484812</v>
      </c>
      <c r="H667" s="23">
        <v>0.49389074756553919</v>
      </c>
      <c r="I667" s="23">
        <f t="shared" si="31"/>
        <v>167901382.52484816</v>
      </c>
      <c r="J667" s="4">
        <f t="shared" si="30"/>
        <v>14816722.426966175</v>
      </c>
      <c r="L667" s="22"/>
      <c r="M667" s="22"/>
      <c r="N667" s="19"/>
    </row>
    <row r="668" spans="2:14" ht="11.1" customHeight="1" x14ac:dyDescent="0.3">
      <c r="B668" s="19">
        <v>661</v>
      </c>
      <c r="C668" s="22">
        <v>201009271.21990284</v>
      </c>
      <c r="D668" s="23">
        <v>2.0216200848967407</v>
      </c>
      <c r="E668" s="22">
        <v>117873499.79652895</v>
      </c>
      <c r="F668" s="23">
        <v>1.5457445424370972</v>
      </c>
      <c r="G668" s="22">
        <v>83135771.423373893</v>
      </c>
      <c r="H668" s="23">
        <v>0.47587554245964347</v>
      </c>
      <c r="I668" s="23">
        <f t="shared" si="31"/>
        <v>174700660.16352206</v>
      </c>
      <c r="J668" s="4">
        <f t="shared" si="30"/>
        <v>14276266.273789303</v>
      </c>
      <c r="L668" s="22"/>
      <c r="M668" s="22"/>
      <c r="N668" s="19"/>
    </row>
    <row r="669" spans="2:14" ht="11.1" customHeight="1" x14ac:dyDescent="0.3">
      <c r="B669" s="19">
        <v>662</v>
      </c>
      <c r="C669" s="22">
        <v>205720674.80461046</v>
      </c>
      <c r="D669" s="23">
        <v>2.0011010860530307</v>
      </c>
      <c r="E669" s="22">
        <v>123093245.44446658</v>
      </c>
      <c r="F669" s="23">
        <v>1.5271628624279159</v>
      </c>
      <c r="G669" s="22">
        <v>82627429.360143885</v>
      </c>
      <c r="H669" s="23">
        <v>0.47393822362511484</v>
      </c>
      <c r="I669" s="23">
        <f t="shared" si="31"/>
        <v>174342193.22538158</v>
      </c>
      <c r="J669" s="4">
        <f t="shared" si="30"/>
        <v>14218146.708753446</v>
      </c>
      <c r="L669" s="22"/>
      <c r="M669" s="22"/>
      <c r="N669" s="19"/>
    </row>
    <row r="670" spans="2:14" ht="11.1" customHeight="1" x14ac:dyDescent="0.3">
      <c r="B670" s="19">
        <v>663</v>
      </c>
      <c r="C670" s="22">
        <v>201085480.66133034</v>
      </c>
      <c r="D670" s="23">
        <v>2.1616049899291503</v>
      </c>
      <c r="E670" s="22">
        <v>118273625.71762152</v>
      </c>
      <c r="F670" s="23">
        <v>1.6876929451998326</v>
      </c>
      <c r="G670" s="22">
        <v>82811854.943708822</v>
      </c>
      <c r="H670" s="23">
        <v>0.47391204472931769</v>
      </c>
      <c r="I670" s="23">
        <f t="shared" si="31"/>
        <v>174740979.60731956</v>
      </c>
      <c r="J670" s="4">
        <f t="shared" si="30"/>
        <v>14217361.341879532</v>
      </c>
      <c r="L670" s="22"/>
      <c r="M670" s="22"/>
      <c r="N670" s="19"/>
    </row>
    <row r="671" spans="2:14" ht="11.1" customHeight="1" x14ac:dyDescent="0.3">
      <c r="B671" s="19">
        <v>664</v>
      </c>
      <c r="C671" s="22">
        <v>200242050.16860577</v>
      </c>
      <c r="D671" s="23">
        <v>1.7778788814715527</v>
      </c>
      <c r="E671" s="22">
        <v>116939505.16710792</v>
      </c>
      <c r="F671" s="23">
        <v>1.3428486604198366</v>
      </c>
      <c r="G671" s="22">
        <v>83302545.00149785</v>
      </c>
      <c r="H671" s="23">
        <v>0.43503022105171607</v>
      </c>
      <c r="I671" s="23">
        <f t="shared" si="31"/>
        <v>191486800.15863749</v>
      </c>
      <c r="J671" s="4">
        <f t="shared" si="30"/>
        <v>13050906.631551482</v>
      </c>
      <c r="L671" s="22"/>
      <c r="M671" s="22"/>
      <c r="N671" s="19"/>
    </row>
    <row r="672" spans="2:14" ht="11.1" customHeight="1" x14ac:dyDescent="0.3">
      <c r="B672" s="19">
        <v>665</v>
      </c>
      <c r="C672" s="22">
        <v>202011169.30513218</v>
      </c>
      <c r="D672" s="23">
        <v>2.2003121278973472</v>
      </c>
      <c r="E672" s="22">
        <v>118713510.56522965</v>
      </c>
      <c r="F672" s="23">
        <v>1.7164906252353533</v>
      </c>
      <c r="G672" s="22">
        <v>83297658.739902526</v>
      </c>
      <c r="H672" s="23">
        <v>0.48382150266199386</v>
      </c>
      <c r="I672" s="23">
        <f t="shared" si="31"/>
        <v>172166094.89573622</v>
      </c>
      <c r="J672" s="4">
        <f t="shared" si="30"/>
        <v>14514645.079859816</v>
      </c>
      <c r="L672" s="22"/>
      <c r="M672" s="22"/>
      <c r="N672" s="19"/>
    </row>
    <row r="673" spans="2:14" ht="11.1" customHeight="1" x14ac:dyDescent="0.3">
      <c r="B673" s="19">
        <v>666</v>
      </c>
      <c r="C673" s="22">
        <v>200489374.66619581</v>
      </c>
      <c r="D673" s="23">
        <v>1.5432420935240845</v>
      </c>
      <c r="E673" s="22">
        <v>117524826.07805365</v>
      </c>
      <c r="F673" s="23">
        <v>1.1390428685308562</v>
      </c>
      <c r="G673" s="22">
        <v>82964548.588142157</v>
      </c>
      <c r="H673" s="23">
        <v>0.40419922499322825</v>
      </c>
      <c r="I673" s="23">
        <f t="shared" si="31"/>
        <v>205256575.11968783</v>
      </c>
      <c r="J673" s="4">
        <f t="shared" si="30"/>
        <v>12125976.749796847</v>
      </c>
      <c r="L673" s="22"/>
      <c r="M673" s="22"/>
      <c r="N673" s="19"/>
    </row>
    <row r="674" spans="2:14" ht="11.1" customHeight="1" x14ac:dyDescent="0.3">
      <c r="B674" s="19">
        <v>667</v>
      </c>
      <c r="C674" s="22">
        <v>202704607.14803019</v>
      </c>
      <c r="D674" s="23">
        <v>1.7876959149060745</v>
      </c>
      <c r="E674" s="22">
        <v>119674087.08268034</v>
      </c>
      <c r="F674" s="23">
        <v>1.3505150733671443</v>
      </c>
      <c r="G674" s="22">
        <v>83030520.065349847</v>
      </c>
      <c r="H674" s="23">
        <v>0.43718084153893022</v>
      </c>
      <c r="I674" s="23">
        <f t="shared" si="31"/>
        <v>189922595.35681441</v>
      </c>
      <c r="J674" s="4">
        <f t="shared" si="30"/>
        <v>13115425.246167907</v>
      </c>
      <c r="L674" s="22"/>
      <c r="M674" s="22"/>
      <c r="N674" s="19"/>
    </row>
    <row r="675" spans="2:14" ht="11.1" customHeight="1" x14ac:dyDescent="0.3">
      <c r="B675" s="19">
        <v>668</v>
      </c>
      <c r="C675" s="22">
        <v>200062143.05909237</v>
      </c>
      <c r="D675" s="23">
        <v>1.65777222709804</v>
      </c>
      <c r="E675" s="22">
        <v>117700524.94841884</v>
      </c>
      <c r="F675" s="23">
        <v>1.2147866774651244</v>
      </c>
      <c r="G675" s="22">
        <v>82361618.110673532</v>
      </c>
      <c r="H675" s="23">
        <v>0.44298554963291559</v>
      </c>
      <c r="I675" s="23">
        <f t="shared" si="31"/>
        <v>185923938.55493325</v>
      </c>
      <c r="J675" s="4">
        <f t="shared" si="30"/>
        <v>13289566.488987468</v>
      </c>
      <c r="L675" s="22"/>
      <c r="M675" s="22"/>
      <c r="N675" s="19"/>
    </row>
    <row r="676" spans="2:14" ht="11.1" customHeight="1" x14ac:dyDescent="0.3">
      <c r="B676" s="19">
        <v>669</v>
      </c>
      <c r="C676" s="22">
        <v>202868293.28143522</v>
      </c>
      <c r="D676" s="23">
        <v>1.8382730975638506</v>
      </c>
      <c r="E676" s="22">
        <v>119956134.21403112</v>
      </c>
      <c r="F676" s="23">
        <v>1.4004970228670348</v>
      </c>
      <c r="G676" s="22">
        <v>82912159.067404106</v>
      </c>
      <c r="H676" s="23">
        <v>0.43777607469681579</v>
      </c>
      <c r="I676" s="23">
        <f t="shared" si="31"/>
        <v>189393993.54984251</v>
      </c>
      <c r="J676" s="4">
        <f t="shared" si="30"/>
        <v>13133282.240904473</v>
      </c>
      <c r="L676" s="22"/>
      <c r="M676" s="22"/>
      <c r="N676" s="19"/>
    </row>
    <row r="677" spans="2:14" ht="11.1" customHeight="1" x14ac:dyDescent="0.3">
      <c r="B677" s="19">
        <v>670</v>
      </c>
      <c r="C677" s="22">
        <v>205188225.86947387</v>
      </c>
      <c r="D677" s="23">
        <v>2.0307786309940594</v>
      </c>
      <c r="E677" s="22">
        <v>122129308.01651867</v>
      </c>
      <c r="F677" s="23">
        <v>1.5400663941492245</v>
      </c>
      <c r="G677" s="22">
        <v>83058917.852955207</v>
      </c>
      <c r="H677" s="23">
        <v>0.49071223684483489</v>
      </c>
      <c r="I677" s="23">
        <f t="shared" si="31"/>
        <v>169261965.80506054</v>
      </c>
      <c r="J677" s="4">
        <f t="shared" si="30"/>
        <v>14721367.105345046</v>
      </c>
      <c r="L677" s="22"/>
      <c r="M677" s="22"/>
      <c r="N677" s="19"/>
    </row>
    <row r="678" spans="2:14" ht="11.1" customHeight="1" x14ac:dyDescent="0.3">
      <c r="B678" s="19">
        <v>671</v>
      </c>
      <c r="C678" s="22">
        <v>202266893.92365927</v>
      </c>
      <c r="D678" s="23">
        <v>2.2284861480921663</v>
      </c>
      <c r="E678" s="22">
        <v>119016181.85584211</v>
      </c>
      <c r="F678" s="23">
        <v>1.7850428506683436</v>
      </c>
      <c r="G678" s="22">
        <v>83250712.067817152</v>
      </c>
      <c r="H678" s="23">
        <v>0.44344329742382271</v>
      </c>
      <c r="I678" s="23">
        <f t="shared" si="31"/>
        <v>187736994.90207866</v>
      </c>
      <c r="J678" s="4">
        <f t="shared" si="30"/>
        <v>13303298.922714682</v>
      </c>
      <c r="L678" s="22"/>
      <c r="M678" s="22"/>
      <c r="N678" s="19"/>
    </row>
    <row r="679" spans="2:14" ht="11.1" customHeight="1" x14ac:dyDescent="0.3">
      <c r="B679" s="19">
        <v>672</v>
      </c>
      <c r="C679" s="22">
        <v>202891181.76468149</v>
      </c>
      <c r="D679" s="23">
        <v>1.9247911529881347</v>
      </c>
      <c r="E679" s="22">
        <v>120492164.49327296</v>
      </c>
      <c r="F679" s="23">
        <v>1.4695574367093527</v>
      </c>
      <c r="G679" s="22">
        <v>82399017.271408528</v>
      </c>
      <c r="H679" s="23">
        <v>0.45523371627878206</v>
      </c>
      <c r="I679" s="23">
        <f t="shared" si="31"/>
        <v>181003766.47178727</v>
      </c>
      <c r="J679" s="4">
        <f t="shared" si="30"/>
        <v>13657011.488363462</v>
      </c>
      <c r="L679" s="22"/>
      <c r="M679" s="22"/>
      <c r="N679" s="19"/>
    </row>
    <row r="680" spans="2:14" ht="11.1" customHeight="1" x14ac:dyDescent="0.3">
      <c r="B680" s="19">
        <v>673</v>
      </c>
      <c r="C680" s="22">
        <v>202960220.57252884</v>
      </c>
      <c r="D680" s="23">
        <v>2.1002387610490838</v>
      </c>
      <c r="E680" s="22">
        <v>120151567.46681614</v>
      </c>
      <c r="F680" s="23">
        <v>1.6364088114756257</v>
      </c>
      <c r="G680" s="22">
        <v>82808653.105712697</v>
      </c>
      <c r="H680" s="23">
        <v>0.46382994957345813</v>
      </c>
      <c r="I680" s="23">
        <f t="shared" si="31"/>
        <v>178532354.76032588</v>
      </c>
      <c r="J680" s="4">
        <f t="shared" si="30"/>
        <v>13914898.487203743</v>
      </c>
      <c r="L680" s="22"/>
      <c r="M680" s="22"/>
      <c r="N680" s="19"/>
    </row>
    <row r="681" spans="2:14" ht="11.1" customHeight="1" x14ac:dyDescent="0.3">
      <c r="B681" s="19">
        <v>674</v>
      </c>
      <c r="C681" s="22">
        <v>203531352.46383756</v>
      </c>
      <c r="D681" s="23">
        <v>1.9580360803420402</v>
      </c>
      <c r="E681" s="22">
        <v>121000498.54971056</v>
      </c>
      <c r="F681" s="23">
        <v>1.4776984066407888</v>
      </c>
      <c r="G681" s="22">
        <v>82530853.914127007</v>
      </c>
      <c r="H681" s="23">
        <v>0.48033767370125147</v>
      </c>
      <c r="I681" s="23">
        <f t="shared" si="31"/>
        <v>171818406.99311358</v>
      </c>
      <c r="J681" s="4">
        <f t="shared" si="30"/>
        <v>14410130.211037545</v>
      </c>
      <c r="L681" s="22"/>
      <c r="M681" s="22"/>
      <c r="N681" s="19"/>
    </row>
    <row r="682" spans="2:14" ht="11.1" customHeight="1" x14ac:dyDescent="0.3">
      <c r="B682" s="19">
        <v>675</v>
      </c>
      <c r="C682" s="22">
        <v>201330265.4016881</v>
      </c>
      <c r="D682" s="23">
        <v>2.0198561823659662</v>
      </c>
      <c r="E682" s="22">
        <v>118338817.03471832</v>
      </c>
      <c r="F682" s="23">
        <v>1.5638710602415651</v>
      </c>
      <c r="G682" s="22">
        <v>82991448.366969779</v>
      </c>
      <c r="H682" s="23">
        <v>0.45598512212440112</v>
      </c>
      <c r="I682" s="23">
        <f t="shared" si="31"/>
        <v>182004728.53219143</v>
      </c>
      <c r="J682" s="4">
        <f t="shared" si="30"/>
        <v>13679553.663732033</v>
      </c>
      <c r="L682" s="22"/>
      <c r="M682" s="22"/>
      <c r="N682" s="19"/>
    </row>
    <row r="683" spans="2:14" ht="11.1" customHeight="1" x14ac:dyDescent="0.3">
      <c r="B683" s="19">
        <v>676</v>
      </c>
      <c r="C683" s="22">
        <v>199885649.93397716</v>
      </c>
      <c r="D683" s="23">
        <v>2.2225927143036861</v>
      </c>
      <c r="E683" s="22">
        <v>116754914.54966411</v>
      </c>
      <c r="F683" s="23">
        <v>1.7546416297227365</v>
      </c>
      <c r="G683" s="22">
        <v>83130735.384313047</v>
      </c>
      <c r="H683" s="23">
        <v>0.46795108458094958</v>
      </c>
      <c r="I683" s="23">
        <f t="shared" si="31"/>
        <v>177648344.2895675</v>
      </c>
      <c r="J683" s="4">
        <f t="shared" si="30"/>
        <v>14038532.537428487</v>
      </c>
      <c r="L683" s="22"/>
      <c r="M683" s="22"/>
      <c r="N683" s="19"/>
    </row>
    <row r="684" spans="2:14" ht="11.1" customHeight="1" x14ac:dyDescent="0.3">
      <c r="B684" s="19">
        <v>677</v>
      </c>
      <c r="C684" s="22">
        <v>200349025.05542013</v>
      </c>
      <c r="D684" s="23">
        <v>1.9486015759934843</v>
      </c>
      <c r="E684" s="22">
        <v>117281424.80032738</v>
      </c>
      <c r="F684" s="23">
        <v>1.4957851735854235</v>
      </c>
      <c r="G684" s="22">
        <v>83067600.255092755</v>
      </c>
      <c r="H684" s="23">
        <v>0.45281640240806076</v>
      </c>
      <c r="I684" s="23">
        <f t="shared" si="31"/>
        <v>183446535.53480473</v>
      </c>
      <c r="J684" s="4">
        <f t="shared" si="30"/>
        <v>13584492.072241822</v>
      </c>
      <c r="L684" s="22"/>
      <c r="M684" s="22"/>
      <c r="N684" s="19"/>
    </row>
    <row r="685" spans="2:14" ht="11.1" customHeight="1" x14ac:dyDescent="0.3">
      <c r="B685" s="19">
        <v>678</v>
      </c>
      <c r="C685" s="22">
        <v>198576966.82493478</v>
      </c>
      <c r="D685" s="23">
        <v>2.1750994175265572</v>
      </c>
      <c r="E685" s="22">
        <v>115494534.95638041</v>
      </c>
      <c r="F685" s="23">
        <v>1.7017283168060835</v>
      </c>
      <c r="G685" s="22">
        <v>83082431.868554369</v>
      </c>
      <c r="H685" s="23">
        <v>0.47337110072047373</v>
      </c>
      <c r="I685" s="23">
        <f t="shared" si="31"/>
        <v>175512260.34310585</v>
      </c>
      <c r="J685" s="4">
        <f t="shared" si="30"/>
        <v>14201133.021614213</v>
      </c>
      <c r="L685" s="22"/>
      <c r="M685" s="22"/>
      <c r="N685" s="19"/>
    </row>
    <row r="686" spans="2:14" ht="11.1" customHeight="1" x14ac:dyDescent="0.3">
      <c r="B686" s="19">
        <v>679</v>
      </c>
      <c r="C686" s="22">
        <v>203625834.90340093</v>
      </c>
      <c r="D686" s="23">
        <v>2.8146302530406837</v>
      </c>
      <c r="E686" s="22">
        <v>120663993.9173231</v>
      </c>
      <c r="F686" s="23">
        <v>2.3437362334127081</v>
      </c>
      <c r="G686" s="22">
        <v>82961840.98607783</v>
      </c>
      <c r="H686" s="23">
        <v>0.47089401962797561</v>
      </c>
      <c r="I686" s="23">
        <f t="shared" si="31"/>
        <v>176179432.16102186</v>
      </c>
      <c r="J686" s="4">
        <f t="shared" si="30"/>
        <v>14126820.588839268</v>
      </c>
      <c r="L686" s="22"/>
      <c r="M686" s="22"/>
      <c r="N686" s="19"/>
    </row>
    <row r="687" spans="2:14" ht="11.1" customHeight="1" x14ac:dyDescent="0.3">
      <c r="B687" s="19">
        <v>680</v>
      </c>
      <c r="C687" s="22">
        <v>199859255.09461656</v>
      </c>
      <c r="D687" s="23">
        <v>2.2187092562931334</v>
      </c>
      <c r="E687" s="22">
        <v>116698239.86540608</v>
      </c>
      <c r="F687" s="23">
        <v>1.7579624619113596</v>
      </c>
      <c r="G687" s="22">
        <v>83161015.229210481</v>
      </c>
      <c r="H687" s="23">
        <v>0.46074679438177379</v>
      </c>
      <c r="I687" s="23">
        <f t="shared" si="31"/>
        <v>180491793.41723958</v>
      </c>
      <c r="J687" s="4">
        <f t="shared" si="30"/>
        <v>13822403.831453213</v>
      </c>
      <c r="L687" s="22"/>
      <c r="M687" s="22"/>
      <c r="N687" s="19"/>
    </row>
    <row r="688" spans="2:14" ht="11.1" customHeight="1" x14ac:dyDescent="0.3">
      <c r="B688" s="19">
        <v>681</v>
      </c>
      <c r="C688" s="22">
        <v>201749166.86161888</v>
      </c>
      <c r="D688" s="23">
        <v>2.0621832206869861</v>
      </c>
      <c r="E688" s="22">
        <v>117948909.44666722</v>
      </c>
      <c r="F688" s="23">
        <v>1.6170686866163608</v>
      </c>
      <c r="G688" s="22">
        <v>83800257.414951652</v>
      </c>
      <c r="H688" s="23">
        <v>0.44511453407062529</v>
      </c>
      <c r="I688" s="23">
        <f t="shared" si="31"/>
        <v>188266729.12382424</v>
      </c>
      <c r="J688" s="4">
        <f t="shared" si="30"/>
        <v>13353436.022118758</v>
      </c>
      <c r="L688" s="22"/>
      <c r="M688" s="22"/>
      <c r="N688" s="19"/>
    </row>
    <row r="689" spans="2:14" ht="11.1" customHeight="1" x14ac:dyDescent="0.3">
      <c r="B689" s="19">
        <v>682</v>
      </c>
      <c r="C689" s="22">
        <v>201579149.65986881</v>
      </c>
      <c r="D689" s="23">
        <v>1.5949752406771578</v>
      </c>
      <c r="E689" s="22">
        <v>118675357.5380751</v>
      </c>
      <c r="F689" s="23">
        <v>1.1903605025026487</v>
      </c>
      <c r="G689" s="22">
        <v>82903792.121793702</v>
      </c>
      <c r="H689" s="23">
        <v>0.4046147381745091</v>
      </c>
      <c r="I689" s="23">
        <f t="shared" si="31"/>
        <v>204895631.07816786</v>
      </c>
      <c r="J689" s="4">
        <f t="shared" si="30"/>
        <v>12138442.145235274</v>
      </c>
      <c r="L689" s="22"/>
      <c r="M689" s="22"/>
      <c r="N689" s="19"/>
    </row>
    <row r="690" spans="2:14" ht="11.1" customHeight="1" x14ac:dyDescent="0.3">
      <c r="B690" s="19">
        <v>683</v>
      </c>
      <c r="C690" s="22">
        <v>202458095.88270986</v>
      </c>
      <c r="D690" s="23">
        <v>2.0746901741022747</v>
      </c>
      <c r="E690" s="22">
        <v>119879726.59751219</v>
      </c>
      <c r="F690" s="23">
        <v>1.6233561138928994</v>
      </c>
      <c r="G690" s="22">
        <v>82578369.285197675</v>
      </c>
      <c r="H690" s="23">
        <v>0.45133406020937539</v>
      </c>
      <c r="I690" s="23">
        <f t="shared" si="31"/>
        <v>182965073.02570805</v>
      </c>
      <c r="J690" s="4">
        <f t="shared" si="30"/>
        <v>13540021.806281261</v>
      </c>
      <c r="L690" s="22"/>
      <c r="M690" s="22"/>
      <c r="N690" s="19"/>
    </row>
    <row r="691" spans="2:14" ht="11.1" customHeight="1" x14ac:dyDescent="0.3">
      <c r="B691" s="19">
        <v>684</v>
      </c>
      <c r="C691" s="22">
        <v>201338216.14937428</v>
      </c>
      <c r="D691" s="23">
        <v>2.0852618211435767</v>
      </c>
      <c r="E691" s="22">
        <v>118206757.09035051</v>
      </c>
      <c r="F691" s="23">
        <v>1.6054753773333319</v>
      </c>
      <c r="G691" s="22">
        <v>83131459.059023768</v>
      </c>
      <c r="H691" s="23">
        <v>0.47978644381024482</v>
      </c>
      <c r="I691" s="23">
        <f t="shared" si="31"/>
        <v>173267627.98638427</v>
      </c>
      <c r="J691" s="4">
        <f t="shared" si="30"/>
        <v>14393593.314307345</v>
      </c>
      <c r="L691" s="22"/>
      <c r="M691" s="22"/>
      <c r="N691" s="19"/>
    </row>
    <row r="692" spans="2:14" ht="11.1" customHeight="1" x14ac:dyDescent="0.3">
      <c r="B692" s="19">
        <v>685</v>
      </c>
      <c r="C692" s="22">
        <v>199576958.11762521</v>
      </c>
      <c r="D692" s="23">
        <v>2.3738952488379703</v>
      </c>
      <c r="E692" s="22">
        <v>116617347.68141335</v>
      </c>
      <c r="F692" s="23">
        <v>1.8959906749319062</v>
      </c>
      <c r="G692" s="22">
        <v>82959610.436211854</v>
      </c>
      <c r="H692" s="23">
        <v>0.47790457390606411</v>
      </c>
      <c r="I692" s="23">
        <f t="shared" si="31"/>
        <v>173590325.27802971</v>
      </c>
      <c r="J692" s="4">
        <f t="shared" si="30"/>
        <v>14337137.217181923</v>
      </c>
      <c r="L692" s="22"/>
      <c r="M692" s="22"/>
      <c r="N692" s="19"/>
    </row>
    <row r="693" spans="2:14" ht="11.1" customHeight="1" x14ac:dyDescent="0.3">
      <c r="B693" s="19">
        <v>686</v>
      </c>
      <c r="C693" s="22">
        <v>201278434.19665396</v>
      </c>
      <c r="D693" s="23">
        <v>1.7993608990750829</v>
      </c>
      <c r="E693" s="22">
        <v>118325424.11771986</v>
      </c>
      <c r="F693" s="23">
        <v>1.3573279507398517</v>
      </c>
      <c r="G693" s="22">
        <v>82953010.078934103</v>
      </c>
      <c r="H693" s="23">
        <v>0.44203294833523121</v>
      </c>
      <c r="I693" s="23">
        <f t="shared" si="31"/>
        <v>187662504.3254101</v>
      </c>
      <c r="J693" s="4">
        <f t="shared" si="30"/>
        <v>13260988.450056937</v>
      </c>
      <c r="L693" s="22"/>
      <c r="M693" s="22"/>
      <c r="N693" s="19"/>
    </row>
    <row r="694" spans="2:14" ht="11.1" customHeight="1" x14ac:dyDescent="0.3">
      <c r="B694" s="19">
        <v>687</v>
      </c>
      <c r="C694" s="22">
        <v>203504975.71183431</v>
      </c>
      <c r="D694" s="23">
        <v>1.9245451580953254</v>
      </c>
      <c r="E694" s="22">
        <v>120664683.78171504</v>
      </c>
      <c r="F694" s="23">
        <v>1.4289785375894137</v>
      </c>
      <c r="G694" s="22">
        <v>82840291.930119276</v>
      </c>
      <c r="H694" s="23">
        <v>0.49556662050591171</v>
      </c>
      <c r="I694" s="23">
        <f t="shared" si="31"/>
        <v>167162775.90599155</v>
      </c>
      <c r="J694" s="4">
        <f t="shared" si="30"/>
        <v>14866998.615177352</v>
      </c>
      <c r="L694" s="22"/>
      <c r="M694" s="22"/>
      <c r="N694" s="19"/>
    </row>
    <row r="695" spans="2:14" ht="11.1" customHeight="1" x14ac:dyDescent="0.3">
      <c r="B695" s="19">
        <v>688</v>
      </c>
      <c r="C695" s="22">
        <v>198935088.84790546</v>
      </c>
      <c r="D695" s="23">
        <v>2.0629966546155636</v>
      </c>
      <c r="E695" s="22">
        <v>115913828.33930242</v>
      </c>
      <c r="F695" s="23">
        <v>1.6398352920361259</v>
      </c>
      <c r="G695" s="22">
        <v>83021260.508603036</v>
      </c>
      <c r="H695" s="23">
        <v>0.42316136257943771</v>
      </c>
      <c r="I695" s="23">
        <f t="shared" si="31"/>
        <v>196192913.27198598</v>
      </c>
      <c r="J695" s="4">
        <f t="shared" si="30"/>
        <v>12694840.877383132</v>
      </c>
      <c r="L695" s="22"/>
      <c r="M695" s="22"/>
      <c r="N695" s="19"/>
    </row>
    <row r="696" spans="2:14" ht="11.1" customHeight="1" x14ac:dyDescent="0.3">
      <c r="B696" s="19">
        <v>689</v>
      </c>
      <c r="C696" s="22">
        <v>203055660.22055551</v>
      </c>
      <c r="D696" s="23">
        <v>2.0651721530483176</v>
      </c>
      <c r="E696" s="22">
        <v>120549520.86958371</v>
      </c>
      <c r="F696" s="23">
        <v>1.5927821999862632</v>
      </c>
      <c r="G696" s="22">
        <v>82506139.350971803</v>
      </c>
      <c r="H696" s="23">
        <v>0.47238995306205434</v>
      </c>
      <c r="I696" s="23">
        <f t="shared" si="31"/>
        <v>174656846.14197031</v>
      </c>
      <c r="J696" s="4">
        <f t="shared" si="30"/>
        <v>14171698.59186163</v>
      </c>
      <c r="L696" s="22"/>
      <c r="M696" s="22"/>
      <c r="N696" s="19"/>
    </row>
    <row r="697" spans="2:14" ht="11.1" customHeight="1" x14ac:dyDescent="0.3">
      <c r="B697" s="19">
        <v>690</v>
      </c>
      <c r="C697" s="22">
        <v>201912651.82565606</v>
      </c>
      <c r="D697" s="23">
        <v>2.374551121904088</v>
      </c>
      <c r="E697" s="22">
        <v>118937233.40672101</v>
      </c>
      <c r="F697" s="23">
        <v>1.8933730882421083</v>
      </c>
      <c r="G697" s="22">
        <v>82975418.418935046</v>
      </c>
      <c r="H697" s="23">
        <v>0.48117803366197975</v>
      </c>
      <c r="I697" s="23">
        <f t="shared" si="31"/>
        <v>172442240.94656825</v>
      </c>
      <c r="J697" s="4">
        <f t="shared" si="30"/>
        <v>14435341.009859392</v>
      </c>
      <c r="L697" s="22"/>
      <c r="M697" s="22"/>
      <c r="N697" s="19"/>
    </row>
    <row r="698" spans="2:14" ht="11.1" customHeight="1" x14ac:dyDescent="0.3">
      <c r="B698" s="19">
        <v>691</v>
      </c>
      <c r="C698" s="22">
        <v>199674897.0190964</v>
      </c>
      <c r="D698" s="23">
        <v>2.0393426748815542</v>
      </c>
      <c r="E698" s="22">
        <v>116660896.34967485</v>
      </c>
      <c r="F698" s="23">
        <v>1.5690641178853875</v>
      </c>
      <c r="G698" s="22">
        <v>83014000.669421554</v>
      </c>
      <c r="H698" s="23">
        <v>0.47027855699616672</v>
      </c>
      <c r="I698" s="23">
        <f t="shared" si="31"/>
        <v>176520913.90188178</v>
      </c>
      <c r="J698" s="4">
        <f t="shared" si="30"/>
        <v>14108356.709885001</v>
      </c>
      <c r="L698" s="22"/>
      <c r="M698" s="22"/>
      <c r="N698" s="19"/>
    </row>
    <row r="699" spans="2:14" ht="11.1" customHeight="1" x14ac:dyDescent="0.3">
      <c r="B699" s="19">
        <v>692</v>
      </c>
      <c r="C699" s="22">
        <v>204326250.05666527</v>
      </c>
      <c r="D699" s="23">
        <v>2.1675195212673963</v>
      </c>
      <c r="E699" s="22">
        <v>121407382.94876036</v>
      </c>
      <c r="F699" s="23">
        <v>1.7312437135948802</v>
      </c>
      <c r="G699" s="22">
        <v>82918867.107904911</v>
      </c>
      <c r="H699" s="23">
        <v>0.43627580767251617</v>
      </c>
      <c r="I699" s="23">
        <f t="shared" si="31"/>
        <v>190060658.07377222</v>
      </c>
      <c r="J699" s="4">
        <f t="shared" si="30"/>
        <v>13088274.230175486</v>
      </c>
      <c r="L699" s="22"/>
      <c r="M699" s="22"/>
      <c r="N699" s="19"/>
    </row>
    <row r="700" spans="2:14" ht="11.1" customHeight="1" x14ac:dyDescent="0.3">
      <c r="B700" s="19">
        <v>693</v>
      </c>
      <c r="C700" s="22">
        <v>201650003.06691197</v>
      </c>
      <c r="D700" s="23">
        <v>1.7636038062327812</v>
      </c>
      <c r="E700" s="22">
        <v>118957633.96899703</v>
      </c>
      <c r="F700" s="23">
        <v>1.3039506766554647</v>
      </c>
      <c r="G700" s="22">
        <v>82692369.097914934</v>
      </c>
      <c r="H700" s="23">
        <v>0.45965312957731652</v>
      </c>
      <c r="I700" s="23">
        <f t="shared" si="31"/>
        <v>179901677.54096746</v>
      </c>
      <c r="J700" s="4">
        <f t="shared" si="30"/>
        <v>13789593.887319496</v>
      </c>
      <c r="L700" s="22"/>
      <c r="M700" s="22"/>
      <c r="N700" s="19"/>
    </row>
    <row r="701" spans="2:14" ht="11.1" customHeight="1" x14ac:dyDescent="0.3">
      <c r="B701" s="19">
        <v>694</v>
      </c>
      <c r="C701" s="22">
        <v>199449143.93775734</v>
      </c>
      <c r="D701" s="23">
        <v>2.2576066386618807</v>
      </c>
      <c r="E701" s="22">
        <v>116536271.01942112</v>
      </c>
      <c r="F701" s="23">
        <v>1.8137556990527153</v>
      </c>
      <c r="G701" s="22">
        <v>82912872.918336228</v>
      </c>
      <c r="H701" s="23">
        <v>0.44385093960916544</v>
      </c>
      <c r="I701" s="23">
        <f t="shared" si="31"/>
        <v>186803418.71382645</v>
      </c>
      <c r="J701" s="4">
        <f t="shared" si="30"/>
        <v>13315528.188274963</v>
      </c>
      <c r="L701" s="22"/>
      <c r="M701" s="22"/>
      <c r="N701" s="19"/>
    </row>
    <row r="702" spans="2:14" ht="11.1" customHeight="1" x14ac:dyDescent="0.3">
      <c r="B702" s="19">
        <v>695</v>
      </c>
      <c r="C702" s="22">
        <v>203411908.55368885</v>
      </c>
      <c r="D702" s="23">
        <v>1.8865299188952853</v>
      </c>
      <c r="E702" s="22">
        <v>120532062.5623233</v>
      </c>
      <c r="F702" s="23">
        <v>1.4628217790473783</v>
      </c>
      <c r="G702" s="22">
        <v>82879845.991365552</v>
      </c>
      <c r="H702" s="23">
        <v>0.42370813984790701</v>
      </c>
      <c r="I702" s="23">
        <f t="shared" si="31"/>
        <v>195605980.14736241</v>
      </c>
      <c r="J702" s="4">
        <f t="shared" si="30"/>
        <v>12711244.19543721</v>
      </c>
      <c r="L702" s="22"/>
      <c r="M702" s="22"/>
      <c r="N702" s="19"/>
    </row>
    <row r="703" spans="2:14" ht="11.1" customHeight="1" x14ac:dyDescent="0.3">
      <c r="B703" s="19">
        <v>696</v>
      </c>
      <c r="C703" s="22">
        <v>200581353.73500979</v>
      </c>
      <c r="D703" s="23">
        <v>2.1985674818250516</v>
      </c>
      <c r="E703" s="22">
        <v>117496052.67796345</v>
      </c>
      <c r="F703" s="23">
        <v>1.7208878236518559</v>
      </c>
      <c r="G703" s="22">
        <v>83085301.057046339</v>
      </c>
      <c r="H703" s="23">
        <v>0.47767965817319569</v>
      </c>
      <c r="I703" s="23">
        <f t="shared" si="31"/>
        <v>173935187.80931953</v>
      </c>
      <c r="J703" s="4">
        <f t="shared" si="30"/>
        <v>14330389.745195871</v>
      </c>
      <c r="L703" s="22"/>
      <c r="M703" s="22"/>
      <c r="N703" s="19"/>
    </row>
    <row r="704" spans="2:14" ht="11.1" customHeight="1" x14ac:dyDescent="0.3">
      <c r="B704" s="19">
        <v>697</v>
      </c>
      <c r="C704" s="22">
        <v>200607236.77689779</v>
      </c>
      <c r="D704" s="23">
        <v>2.162724517839905</v>
      </c>
      <c r="E704" s="22">
        <v>117315144.41665401</v>
      </c>
      <c r="F704" s="23">
        <v>1.6640643735597405</v>
      </c>
      <c r="G704" s="22">
        <v>83292092.360243782</v>
      </c>
      <c r="H704" s="23">
        <v>0.49866014428016459</v>
      </c>
      <c r="I704" s="23">
        <f t="shared" si="31"/>
        <v>167031781.69668877</v>
      </c>
      <c r="J704" s="4">
        <f t="shared" si="30"/>
        <v>14959804.328404937</v>
      </c>
      <c r="L704" s="22"/>
      <c r="M704" s="22"/>
      <c r="N704" s="19"/>
    </row>
    <row r="705" spans="2:14" ht="11.1" customHeight="1" x14ac:dyDescent="0.3">
      <c r="B705" s="19">
        <v>698</v>
      </c>
      <c r="C705" s="22">
        <v>201977184.9523451</v>
      </c>
      <c r="D705" s="23">
        <v>2.0409711700067668</v>
      </c>
      <c r="E705" s="22">
        <v>119476347.31256092</v>
      </c>
      <c r="F705" s="23">
        <v>1.5752401495588151</v>
      </c>
      <c r="G705" s="22">
        <v>82500837.639784187</v>
      </c>
      <c r="H705" s="23">
        <v>0.46573102044795167</v>
      </c>
      <c r="I705" s="23">
        <f t="shared" si="31"/>
        <v>177142672.52465346</v>
      </c>
      <c r="J705" s="4">
        <f t="shared" si="30"/>
        <v>13971930.61343855</v>
      </c>
      <c r="L705" s="22"/>
      <c r="M705" s="22"/>
      <c r="N705" s="19"/>
    </row>
    <row r="706" spans="2:14" ht="11.1" customHeight="1" x14ac:dyDescent="0.3">
      <c r="B706" s="19">
        <v>699</v>
      </c>
      <c r="C706" s="22">
        <v>205008565.96750784</v>
      </c>
      <c r="D706" s="23">
        <v>2.0160507095003593</v>
      </c>
      <c r="E706" s="22">
        <v>122277875.34136367</v>
      </c>
      <c r="F706" s="23">
        <v>1.5813366449320077</v>
      </c>
      <c r="G706" s="22">
        <v>82730690.626144171</v>
      </c>
      <c r="H706" s="23">
        <v>0.4347140645683516</v>
      </c>
      <c r="I706" s="23">
        <f t="shared" si="31"/>
        <v>190310591.18892652</v>
      </c>
      <c r="J706" s="4">
        <f t="shared" si="30"/>
        <v>13041421.937050547</v>
      </c>
      <c r="L706" s="22"/>
      <c r="M706" s="22"/>
      <c r="N706" s="19"/>
    </row>
    <row r="707" spans="2:14" ht="11.1" customHeight="1" x14ac:dyDescent="0.3">
      <c r="B707" s="19">
        <v>700</v>
      </c>
      <c r="C707" s="22">
        <v>204941096.14895472</v>
      </c>
      <c r="D707" s="23">
        <v>1.964092593900427</v>
      </c>
      <c r="E707" s="22">
        <v>121963973.38259755</v>
      </c>
      <c r="F707" s="23">
        <v>1.4957302611999048</v>
      </c>
      <c r="G707" s="22">
        <v>82977122.766357169</v>
      </c>
      <c r="H707" s="23">
        <v>0.46836233270052219</v>
      </c>
      <c r="I707" s="23">
        <f t="shared" si="31"/>
        <v>177164381.02082384</v>
      </c>
      <c r="J707" s="4">
        <f t="shared" si="30"/>
        <v>14050869.981015665</v>
      </c>
      <c r="L707" s="22"/>
      <c r="M707" s="22"/>
      <c r="N707" s="19"/>
    </row>
    <row r="708" spans="2:14" ht="11.1" customHeight="1" x14ac:dyDescent="0.3">
      <c r="B708" s="19">
        <v>701</v>
      </c>
      <c r="C708" s="22">
        <v>199171595.88918141</v>
      </c>
      <c r="D708" s="23">
        <v>2.0709758035517503</v>
      </c>
      <c r="E708" s="22">
        <v>116466955.72666647</v>
      </c>
      <c r="F708" s="23">
        <v>1.5941311402454836</v>
      </c>
      <c r="G708" s="22">
        <v>82704640.16251494</v>
      </c>
      <c r="H708" s="23">
        <v>0.47684466330626663</v>
      </c>
      <c r="I708" s="23">
        <f t="shared" si="31"/>
        <v>173441471.67144787</v>
      </c>
      <c r="J708" s="4">
        <f t="shared" si="30"/>
        <v>14305339.899187999</v>
      </c>
      <c r="L708" s="22"/>
      <c r="M708" s="22"/>
      <c r="N708" s="19"/>
    </row>
    <row r="709" spans="2:14" ht="11.1" customHeight="1" x14ac:dyDescent="0.3">
      <c r="B709" s="19">
        <v>702</v>
      </c>
      <c r="C709" s="22">
        <v>202587277.14265105</v>
      </c>
      <c r="D709" s="23">
        <v>2.0819916298436998</v>
      </c>
      <c r="E709" s="22">
        <v>119566321.37516037</v>
      </c>
      <c r="F709" s="23">
        <v>1.613831670419543</v>
      </c>
      <c r="G709" s="22">
        <v>83020955.767490685</v>
      </c>
      <c r="H709" s="23">
        <v>0.46815995942415678</v>
      </c>
      <c r="I709" s="23">
        <f t="shared" si="31"/>
        <v>177334592.79517969</v>
      </c>
      <c r="J709" s="4">
        <f t="shared" si="30"/>
        <v>14044798.782724703</v>
      </c>
      <c r="L709" s="22"/>
      <c r="M709" s="22"/>
      <c r="N709" s="19"/>
    </row>
    <row r="710" spans="2:14" ht="11.1" customHeight="1" x14ac:dyDescent="0.3">
      <c r="B710" s="19">
        <v>703</v>
      </c>
      <c r="C710" s="22">
        <v>204360455.54497024</v>
      </c>
      <c r="D710" s="23">
        <v>1.9557672646653925</v>
      </c>
      <c r="E710" s="22">
        <v>121452894.09031981</v>
      </c>
      <c r="F710" s="23">
        <v>1.5094977158700793</v>
      </c>
      <c r="G710" s="22">
        <v>82907561.454650432</v>
      </c>
      <c r="H710" s="23">
        <v>0.44626954879531322</v>
      </c>
      <c r="I710" s="23">
        <f t="shared" si="31"/>
        <v>185779114.16644061</v>
      </c>
      <c r="J710" s="4">
        <f t="shared" si="30"/>
        <v>13388086.463859396</v>
      </c>
      <c r="L710" s="22"/>
      <c r="M710" s="22"/>
      <c r="N710" s="19"/>
    </row>
    <row r="711" spans="2:14" ht="11.1" customHeight="1" x14ac:dyDescent="0.3">
      <c r="B711" s="19">
        <v>704</v>
      </c>
      <c r="C711" s="22">
        <v>203643240.70050982</v>
      </c>
      <c r="D711" s="23">
        <v>2.0044134458337872</v>
      </c>
      <c r="E711" s="22">
        <v>120791760.75734469</v>
      </c>
      <c r="F711" s="23">
        <v>1.5397837567826429</v>
      </c>
      <c r="G711" s="22">
        <v>82851479.943165123</v>
      </c>
      <c r="H711" s="23">
        <v>0.46462968905114432</v>
      </c>
      <c r="I711" s="23">
        <f t="shared" si="31"/>
        <v>178317231.75581491</v>
      </c>
      <c r="J711" s="4">
        <f t="shared" si="30"/>
        <v>13938890.67153433</v>
      </c>
      <c r="L711" s="22"/>
      <c r="M711" s="22"/>
      <c r="N711" s="19"/>
    </row>
    <row r="712" spans="2:14" ht="11.1" customHeight="1" x14ac:dyDescent="0.3">
      <c r="B712" s="19">
        <v>705</v>
      </c>
      <c r="C712" s="22">
        <v>205154771.2891854</v>
      </c>
      <c r="D712" s="23">
        <v>2.1021457666810845</v>
      </c>
      <c r="E712" s="22">
        <v>122284016.68869829</v>
      </c>
      <c r="F712" s="23">
        <v>1.631819020241237</v>
      </c>
      <c r="G712" s="22">
        <v>82870754.600487113</v>
      </c>
      <c r="H712" s="23">
        <v>0.47032674643984751</v>
      </c>
      <c r="I712" s="23">
        <f t="shared" si="31"/>
        <v>176198260.5237312</v>
      </c>
      <c r="J712" s="4">
        <f t="shared" ref="J712:J775" si="32">threshold*H712</f>
        <v>14109802.393195426</v>
      </c>
      <c r="L712" s="22"/>
      <c r="M712" s="22"/>
      <c r="N712" s="19"/>
    </row>
    <row r="713" spans="2:14" ht="11.1" customHeight="1" x14ac:dyDescent="0.3">
      <c r="B713" s="19">
        <v>706</v>
      </c>
      <c r="C713" s="22">
        <v>197833429.80505517</v>
      </c>
      <c r="D713" s="23">
        <v>2.1435756944473821</v>
      </c>
      <c r="E713" s="22">
        <v>114616218.50887977</v>
      </c>
      <c r="F713" s="23">
        <v>1.6339275772734096</v>
      </c>
      <c r="G713" s="22">
        <v>83217211.296175405</v>
      </c>
      <c r="H713" s="23">
        <v>0.5096481171739724</v>
      </c>
      <c r="I713" s="23">
        <f t="shared" ref="I713:I776" si="33">G713/H713</f>
        <v>163283662.77034348</v>
      </c>
      <c r="J713" s="4">
        <f t="shared" si="32"/>
        <v>15289443.515219172</v>
      </c>
      <c r="L713" s="22"/>
      <c r="M713" s="22"/>
      <c r="N713" s="19"/>
    </row>
    <row r="714" spans="2:14" ht="11.1" customHeight="1" x14ac:dyDescent="0.3">
      <c r="B714" s="19">
        <v>707</v>
      </c>
      <c r="C714" s="22">
        <v>202199024.43285066</v>
      </c>
      <c r="D714" s="23">
        <v>2.1962016349502331</v>
      </c>
      <c r="E714" s="22">
        <v>118914254.86939372</v>
      </c>
      <c r="F714" s="23">
        <v>1.7234748384845235</v>
      </c>
      <c r="G714" s="22">
        <v>83284769.563456938</v>
      </c>
      <c r="H714" s="23">
        <v>0.47272679646570959</v>
      </c>
      <c r="I714" s="23">
        <f t="shared" si="33"/>
        <v>176179497.72707289</v>
      </c>
      <c r="J714" s="4">
        <f t="shared" si="32"/>
        <v>14181803.893971287</v>
      </c>
      <c r="L714" s="22"/>
      <c r="M714" s="22"/>
      <c r="N714" s="19"/>
    </row>
    <row r="715" spans="2:14" ht="11.1" customHeight="1" x14ac:dyDescent="0.3">
      <c r="B715" s="19">
        <v>708</v>
      </c>
      <c r="C715" s="22">
        <v>202360346.08914116</v>
      </c>
      <c r="D715" s="23">
        <v>1.9882279644478453</v>
      </c>
      <c r="E715" s="22">
        <v>119940179.92919363</v>
      </c>
      <c r="F715" s="23">
        <v>1.5246589085254967</v>
      </c>
      <c r="G715" s="22">
        <v>82420166.159947529</v>
      </c>
      <c r="H715" s="23">
        <v>0.46356905592234865</v>
      </c>
      <c r="I715" s="23">
        <f t="shared" si="33"/>
        <v>177794796.928278</v>
      </c>
      <c r="J715" s="4">
        <f t="shared" si="32"/>
        <v>13907071.67767046</v>
      </c>
      <c r="L715" s="22"/>
      <c r="M715" s="22"/>
      <c r="N715" s="19"/>
    </row>
    <row r="716" spans="2:14" ht="11.1" customHeight="1" x14ac:dyDescent="0.3">
      <c r="B716" s="19">
        <v>709</v>
      </c>
      <c r="C716" s="22">
        <v>198686101.79920447</v>
      </c>
      <c r="D716" s="23">
        <v>2.1475891801571159</v>
      </c>
      <c r="E716" s="22">
        <v>115656799.53102721</v>
      </c>
      <c r="F716" s="23">
        <v>1.6820738517958167</v>
      </c>
      <c r="G716" s="22">
        <v>83029302.268177256</v>
      </c>
      <c r="H716" s="23">
        <v>0.46551532836129916</v>
      </c>
      <c r="I716" s="23">
        <f t="shared" si="33"/>
        <v>178359974.87012058</v>
      </c>
      <c r="J716" s="4">
        <f t="shared" si="32"/>
        <v>13965459.850838974</v>
      </c>
      <c r="L716" s="22"/>
      <c r="M716" s="22"/>
      <c r="N716" s="19"/>
    </row>
    <row r="717" spans="2:14" ht="11.1" customHeight="1" x14ac:dyDescent="0.3">
      <c r="B717" s="19">
        <v>710</v>
      </c>
      <c r="C717" s="22">
        <v>197820233.50947094</v>
      </c>
      <c r="D717" s="23">
        <v>2.0304539889042941</v>
      </c>
      <c r="E717" s="22">
        <v>114746666.27734464</v>
      </c>
      <c r="F717" s="23">
        <v>1.5938230206204511</v>
      </c>
      <c r="G717" s="22">
        <v>83073567.232126296</v>
      </c>
      <c r="H717" s="23">
        <v>0.43663096828384296</v>
      </c>
      <c r="I717" s="23">
        <f t="shared" si="33"/>
        <v>190260364.62471491</v>
      </c>
      <c r="J717" s="4">
        <f t="shared" si="32"/>
        <v>13098929.048515288</v>
      </c>
      <c r="L717" s="22"/>
      <c r="M717" s="22"/>
      <c r="N717" s="19"/>
    </row>
    <row r="718" spans="2:14" ht="11.1" customHeight="1" x14ac:dyDescent="0.3">
      <c r="B718" s="19">
        <v>711</v>
      </c>
      <c r="C718" s="22">
        <v>202486619.51144731</v>
      </c>
      <c r="D718" s="23">
        <v>1.9944505149464307</v>
      </c>
      <c r="E718" s="22">
        <v>119800368.21566734</v>
      </c>
      <c r="F718" s="23">
        <v>1.5282111421171165</v>
      </c>
      <c r="G718" s="22">
        <v>82686251.295779973</v>
      </c>
      <c r="H718" s="23">
        <v>0.46623937282931416</v>
      </c>
      <c r="I718" s="23">
        <f t="shared" si="33"/>
        <v>177347208.56801304</v>
      </c>
      <c r="J718" s="4">
        <f t="shared" si="32"/>
        <v>13987181.184879424</v>
      </c>
      <c r="L718" s="22"/>
      <c r="M718" s="22"/>
      <c r="N718" s="19"/>
    </row>
    <row r="719" spans="2:14" ht="11.1" customHeight="1" x14ac:dyDescent="0.3">
      <c r="B719" s="19">
        <v>712</v>
      </c>
      <c r="C719" s="22">
        <v>203527429.08472246</v>
      </c>
      <c r="D719" s="23">
        <v>2.0715505627796378</v>
      </c>
      <c r="E719" s="22">
        <v>120926042.93464644</v>
      </c>
      <c r="F719" s="23">
        <v>1.6441946383299682</v>
      </c>
      <c r="G719" s="22">
        <v>82601386.150076017</v>
      </c>
      <c r="H719" s="23">
        <v>0.42735592444966963</v>
      </c>
      <c r="I719" s="23">
        <f t="shared" si="33"/>
        <v>193284757.32832414</v>
      </c>
      <c r="J719" s="4">
        <f t="shared" si="32"/>
        <v>12820677.733490089</v>
      </c>
      <c r="L719" s="22"/>
      <c r="M719" s="22"/>
      <c r="N719" s="19"/>
    </row>
    <row r="720" spans="2:14" ht="11.1" customHeight="1" x14ac:dyDescent="0.3">
      <c r="B720" s="19">
        <v>713</v>
      </c>
      <c r="C720" s="22">
        <v>201234171.05020887</v>
      </c>
      <c r="D720" s="23">
        <v>1.8710340629261746</v>
      </c>
      <c r="E720" s="22">
        <v>118000935.35532539</v>
      </c>
      <c r="F720" s="23">
        <v>1.3992147498043714</v>
      </c>
      <c r="G720" s="22">
        <v>83233235.694883481</v>
      </c>
      <c r="H720" s="23">
        <v>0.47181931312180314</v>
      </c>
      <c r="I720" s="23">
        <f t="shared" si="33"/>
        <v>176409132.43709525</v>
      </c>
      <c r="J720" s="4">
        <f t="shared" si="32"/>
        <v>14154579.393654095</v>
      </c>
      <c r="L720" s="22"/>
      <c r="M720" s="22"/>
      <c r="N720" s="19"/>
    </row>
    <row r="721" spans="2:14" ht="11.1" customHeight="1" x14ac:dyDescent="0.3">
      <c r="B721" s="19">
        <v>714</v>
      </c>
      <c r="C721" s="22">
        <v>200895077.95305151</v>
      </c>
      <c r="D721" s="23">
        <v>2.2446423955030839</v>
      </c>
      <c r="E721" s="22">
        <v>117913772.77647886</v>
      </c>
      <c r="F721" s="23">
        <v>1.7751322027976677</v>
      </c>
      <c r="G721" s="22">
        <v>82981305.176572651</v>
      </c>
      <c r="H721" s="23">
        <v>0.46951019270541616</v>
      </c>
      <c r="I721" s="23">
        <f t="shared" si="33"/>
        <v>176740157.01004696</v>
      </c>
      <c r="J721" s="4">
        <f t="shared" si="32"/>
        <v>14085305.781162485</v>
      </c>
      <c r="L721" s="22"/>
      <c r="M721" s="22"/>
      <c r="N721" s="19"/>
    </row>
    <row r="722" spans="2:14" ht="11.1" customHeight="1" x14ac:dyDescent="0.3">
      <c r="B722" s="19">
        <v>715</v>
      </c>
      <c r="C722" s="22">
        <v>201711800.64095828</v>
      </c>
      <c r="D722" s="23">
        <v>1.889034475878111</v>
      </c>
      <c r="E722" s="22">
        <v>118664363.60828573</v>
      </c>
      <c r="F722" s="23">
        <v>1.409976335048541</v>
      </c>
      <c r="G722" s="22">
        <v>83047437.032672554</v>
      </c>
      <c r="H722" s="23">
        <v>0.47905814082956999</v>
      </c>
      <c r="I722" s="23">
        <f t="shared" si="33"/>
        <v>173355653.42624572</v>
      </c>
      <c r="J722" s="4">
        <f t="shared" si="32"/>
        <v>14371744.224887099</v>
      </c>
      <c r="L722" s="22"/>
      <c r="M722" s="22"/>
      <c r="N722" s="19"/>
    </row>
    <row r="723" spans="2:14" ht="11.1" customHeight="1" x14ac:dyDescent="0.3">
      <c r="B723" s="19">
        <v>716</v>
      </c>
      <c r="C723" s="22">
        <v>202504048.58227846</v>
      </c>
      <c r="D723" s="23">
        <v>2.0627388340392492</v>
      </c>
      <c r="E723" s="22">
        <v>118823872.07493526</v>
      </c>
      <c r="F723" s="23">
        <v>1.5729694628331301</v>
      </c>
      <c r="G723" s="22">
        <v>83680176.507343203</v>
      </c>
      <c r="H723" s="23">
        <v>0.48976937120611908</v>
      </c>
      <c r="I723" s="23">
        <f t="shared" si="33"/>
        <v>170856287.52420792</v>
      </c>
      <c r="J723" s="4">
        <f t="shared" si="32"/>
        <v>14693081.136183573</v>
      </c>
      <c r="L723" s="22"/>
      <c r="M723" s="22"/>
      <c r="N723" s="19"/>
    </row>
    <row r="724" spans="2:14" ht="11.1" customHeight="1" x14ac:dyDescent="0.3">
      <c r="B724" s="19">
        <v>717</v>
      </c>
      <c r="C724" s="22">
        <v>202591252.65313867</v>
      </c>
      <c r="D724" s="23">
        <v>2.039856407605328</v>
      </c>
      <c r="E724" s="22">
        <v>119465723.55686527</v>
      </c>
      <c r="F724" s="23">
        <v>1.5844287330716051</v>
      </c>
      <c r="G724" s="22">
        <v>83125529.096273392</v>
      </c>
      <c r="H724" s="23">
        <v>0.4554276745337229</v>
      </c>
      <c r="I724" s="23">
        <f t="shared" si="33"/>
        <v>182521910.16143054</v>
      </c>
      <c r="J724" s="4">
        <f t="shared" si="32"/>
        <v>13662830.236011688</v>
      </c>
      <c r="L724" s="22"/>
      <c r="M724" s="22"/>
      <c r="N724" s="19"/>
    </row>
    <row r="725" spans="2:14" ht="11.1" customHeight="1" x14ac:dyDescent="0.3">
      <c r="B725" s="19">
        <v>718</v>
      </c>
      <c r="C725" s="22">
        <v>200872623.68501133</v>
      </c>
      <c r="D725" s="23">
        <v>2.2260106478903596</v>
      </c>
      <c r="E725" s="22">
        <v>117654892.11695662</v>
      </c>
      <c r="F725" s="23">
        <v>1.7507443884844009</v>
      </c>
      <c r="G725" s="22">
        <v>83217731.568054706</v>
      </c>
      <c r="H725" s="23">
        <v>0.47526625940595868</v>
      </c>
      <c r="I725" s="23">
        <f t="shared" si="33"/>
        <v>175097074.36852261</v>
      </c>
      <c r="J725" s="4">
        <f t="shared" si="32"/>
        <v>14257987.78217876</v>
      </c>
      <c r="L725" s="22"/>
      <c r="M725" s="22"/>
      <c r="N725" s="19"/>
    </row>
    <row r="726" spans="2:14" ht="11.1" customHeight="1" x14ac:dyDescent="0.3">
      <c r="B726" s="19">
        <v>719</v>
      </c>
      <c r="C726" s="22">
        <v>200188079.45911062</v>
      </c>
      <c r="D726" s="23">
        <v>1.8717776306686462</v>
      </c>
      <c r="E726" s="22">
        <v>116959655.15466996</v>
      </c>
      <c r="F726" s="23">
        <v>1.3952538043282461</v>
      </c>
      <c r="G726" s="22">
        <v>83228424.304440662</v>
      </c>
      <c r="H726" s="23">
        <v>0.47652382634040014</v>
      </c>
      <c r="I726" s="23">
        <f t="shared" si="33"/>
        <v>174657424.6740545</v>
      </c>
      <c r="J726" s="4">
        <f t="shared" si="32"/>
        <v>14295714.790212004</v>
      </c>
      <c r="L726" s="22"/>
      <c r="M726" s="22"/>
      <c r="N726" s="19"/>
    </row>
    <row r="727" spans="2:14" ht="11.1" customHeight="1" x14ac:dyDescent="0.3">
      <c r="B727" s="19">
        <v>720</v>
      </c>
      <c r="C727" s="22">
        <v>202529921.70312548</v>
      </c>
      <c r="D727" s="23">
        <v>2.0835183424345702</v>
      </c>
      <c r="E727" s="22">
        <v>119267848.24438581</v>
      </c>
      <c r="F727" s="23">
        <v>1.6112967044379902</v>
      </c>
      <c r="G727" s="22">
        <v>83262073.458739668</v>
      </c>
      <c r="H727" s="23">
        <v>0.47222163799658001</v>
      </c>
      <c r="I727" s="23">
        <f t="shared" si="33"/>
        <v>176319903.11156109</v>
      </c>
      <c r="J727" s="4">
        <f t="shared" si="32"/>
        <v>14166649.139897401</v>
      </c>
      <c r="L727" s="22"/>
      <c r="M727" s="22"/>
      <c r="N727" s="19"/>
    </row>
    <row r="728" spans="2:14" ht="11.1" customHeight="1" x14ac:dyDescent="0.3">
      <c r="B728" s="19">
        <v>721</v>
      </c>
      <c r="C728" s="22">
        <v>201483898.37972274</v>
      </c>
      <c r="D728" s="23">
        <v>2.0727199221945063</v>
      </c>
      <c r="E728" s="22">
        <v>118570671.2193653</v>
      </c>
      <c r="F728" s="23">
        <v>1.5827803806981873</v>
      </c>
      <c r="G728" s="22">
        <v>82913227.160357445</v>
      </c>
      <c r="H728" s="23">
        <v>0.48993954149631902</v>
      </c>
      <c r="I728" s="23">
        <f t="shared" si="33"/>
        <v>169231548.25824645</v>
      </c>
      <c r="J728" s="4">
        <f t="shared" si="32"/>
        <v>14698186.24488957</v>
      </c>
      <c r="L728" s="22"/>
      <c r="M728" s="22"/>
      <c r="N728" s="19"/>
    </row>
    <row r="729" spans="2:14" ht="11.1" customHeight="1" x14ac:dyDescent="0.3">
      <c r="B729" s="19">
        <v>722</v>
      </c>
      <c r="C729" s="22">
        <v>200920809.46351334</v>
      </c>
      <c r="D729" s="23">
        <v>2.0712558296096368</v>
      </c>
      <c r="E729" s="22">
        <v>117740559.99581368</v>
      </c>
      <c r="F729" s="23">
        <v>1.6034499780559299</v>
      </c>
      <c r="G729" s="22">
        <v>83180249.467699662</v>
      </c>
      <c r="H729" s="23">
        <v>0.46780585155370691</v>
      </c>
      <c r="I729" s="23">
        <f t="shared" si="33"/>
        <v>177809339.47584465</v>
      </c>
      <c r="J729" s="4">
        <f t="shared" si="32"/>
        <v>14034175.546611207</v>
      </c>
      <c r="L729" s="22"/>
      <c r="M729" s="22"/>
      <c r="N729" s="19"/>
    </row>
    <row r="730" spans="2:14" ht="11.1" customHeight="1" x14ac:dyDescent="0.3">
      <c r="B730" s="19">
        <v>723</v>
      </c>
      <c r="C730" s="22">
        <v>204618123.31012297</v>
      </c>
      <c r="D730" s="23">
        <v>1.9348970689184048</v>
      </c>
      <c r="E730" s="22">
        <v>122037560.48328133</v>
      </c>
      <c r="F730" s="23">
        <v>1.4572585293286411</v>
      </c>
      <c r="G730" s="22">
        <v>82580562.826841637</v>
      </c>
      <c r="H730" s="23">
        <v>0.47763853958976377</v>
      </c>
      <c r="I730" s="23">
        <f t="shared" si="33"/>
        <v>172893424.59209591</v>
      </c>
      <c r="J730" s="4">
        <f t="shared" si="32"/>
        <v>14329156.187692912</v>
      </c>
      <c r="L730" s="22"/>
      <c r="M730" s="22"/>
      <c r="N730" s="19"/>
    </row>
    <row r="731" spans="2:14" ht="11.1" customHeight="1" x14ac:dyDescent="0.3">
      <c r="B731" s="19">
        <v>724</v>
      </c>
      <c r="C731" s="22">
        <v>201813223.26247245</v>
      </c>
      <c r="D731" s="23">
        <v>2.1750342860552636</v>
      </c>
      <c r="E731" s="22">
        <v>118833736.17697057</v>
      </c>
      <c r="F731" s="23">
        <v>1.7227639956055301</v>
      </c>
      <c r="G731" s="22">
        <v>82979487.085501879</v>
      </c>
      <c r="H731" s="23">
        <v>0.45227029044973355</v>
      </c>
      <c r="I731" s="23">
        <f t="shared" si="33"/>
        <v>183473221.29646814</v>
      </c>
      <c r="J731" s="4">
        <f t="shared" si="32"/>
        <v>13568108.713492006</v>
      </c>
      <c r="L731" s="22"/>
      <c r="M731" s="22"/>
      <c r="N731" s="19"/>
    </row>
    <row r="732" spans="2:14" ht="11.1" customHeight="1" x14ac:dyDescent="0.3">
      <c r="B732" s="19">
        <v>725</v>
      </c>
      <c r="C732" s="22">
        <v>203085346.44888857</v>
      </c>
      <c r="D732" s="23">
        <v>2.2181945480075029</v>
      </c>
      <c r="E732" s="22">
        <v>120189220.32825273</v>
      </c>
      <c r="F732" s="23">
        <v>1.7278535878054686</v>
      </c>
      <c r="G732" s="22">
        <v>82896126.120635837</v>
      </c>
      <c r="H732" s="23">
        <v>0.49034096020203433</v>
      </c>
      <c r="I732" s="23">
        <f t="shared" si="33"/>
        <v>169058130.66581321</v>
      </c>
      <c r="J732" s="4">
        <f t="shared" si="32"/>
        <v>14710228.806061029</v>
      </c>
      <c r="L732" s="22"/>
      <c r="M732" s="22"/>
      <c r="N732" s="19"/>
    </row>
    <row r="733" spans="2:14" ht="11.1" customHeight="1" x14ac:dyDescent="0.3">
      <c r="B733" s="19">
        <v>726</v>
      </c>
      <c r="C733" s="22">
        <v>201198661.15546998</v>
      </c>
      <c r="D733" s="23">
        <v>1.973626474126138</v>
      </c>
      <c r="E733" s="22">
        <v>118320535.36059216</v>
      </c>
      <c r="F733" s="23">
        <v>1.5090403032000586</v>
      </c>
      <c r="G733" s="22">
        <v>82878125.794877827</v>
      </c>
      <c r="H733" s="23">
        <v>0.46458617092607946</v>
      </c>
      <c r="I733" s="23">
        <f t="shared" si="33"/>
        <v>178391288.81015402</v>
      </c>
      <c r="J733" s="4">
        <f t="shared" si="32"/>
        <v>13937585.127782384</v>
      </c>
      <c r="L733" s="22"/>
      <c r="M733" s="22"/>
      <c r="N733" s="19"/>
    </row>
    <row r="734" spans="2:14" ht="11.1" customHeight="1" x14ac:dyDescent="0.3">
      <c r="B734" s="19">
        <v>727</v>
      </c>
      <c r="C734" s="22">
        <v>202828577.75119972</v>
      </c>
      <c r="D734" s="23">
        <v>1.8775395638358319</v>
      </c>
      <c r="E734" s="22">
        <v>119344495.11732641</v>
      </c>
      <c r="F734" s="23">
        <v>1.418544067664842</v>
      </c>
      <c r="G734" s="22">
        <v>83484082.633873314</v>
      </c>
      <c r="H734" s="23">
        <v>0.45899549617098989</v>
      </c>
      <c r="I734" s="23">
        <f t="shared" si="33"/>
        <v>181884317.66827825</v>
      </c>
      <c r="J734" s="4">
        <f t="shared" si="32"/>
        <v>13769864.885129698</v>
      </c>
      <c r="L734" s="22"/>
      <c r="M734" s="22"/>
      <c r="N734" s="19"/>
    </row>
    <row r="735" spans="2:14" ht="11.1" customHeight="1" x14ac:dyDescent="0.3">
      <c r="B735" s="19">
        <v>728</v>
      </c>
      <c r="C735" s="22">
        <v>203982125.62605491</v>
      </c>
      <c r="D735" s="23">
        <v>2.0158101469093204</v>
      </c>
      <c r="E735" s="22">
        <v>120787928.23477948</v>
      </c>
      <c r="F735" s="23">
        <v>1.5500027393256994</v>
      </c>
      <c r="G735" s="22">
        <v>83194197.391275436</v>
      </c>
      <c r="H735" s="23">
        <v>0.46580740758362094</v>
      </c>
      <c r="I735" s="23">
        <f t="shared" si="33"/>
        <v>178602134.78108022</v>
      </c>
      <c r="J735" s="4">
        <f t="shared" si="32"/>
        <v>13974222.227508629</v>
      </c>
      <c r="L735" s="22"/>
      <c r="M735" s="22"/>
      <c r="N735" s="19"/>
    </row>
    <row r="736" spans="2:14" ht="11.1" customHeight="1" x14ac:dyDescent="0.3">
      <c r="B736" s="19">
        <v>729</v>
      </c>
      <c r="C736" s="22">
        <v>199792583.33392048</v>
      </c>
      <c r="D736" s="23">
        <v>2.0926094871411185</v>
      </c>
      <c r="E736" s="22">
        <v>117187624.20962276</v>
      </c>
      <c r="F736" s="23">
        <v>1.6022209523634465</v>
      </c>
      <c r="G736" s="22">
        <v>82604959.124297723</v>
      </c>
      <c r="H736" s="23">
        <v>0.49038853477767197</v>
      </c>
      <c r="I736" s="23">
        <f t="shared" si="33"/>
        <v>168447982.09189051</v>
      </c>
      <c r="J736" s="4">
        <f t="shared" si="32"/>
        <v>14711656.043330159</v>
      </c>
      <c r="L736" s="22"/>
      <c r="M736" s="22"/>
      <c r="N736" s="19"/>
    </row>
    <row r="737" spans="2:14" ht="11.1" customHeight="1" x14ac:dyDescent="0.3">
      <c r="B737" s="19">
        <v>730</v>
      </c>
      <c r="C737" s="22">
        <v>201069821.11182907</v>
      </c>
      <c r="D737" s="23">
        <v>1.9855226888271371</v>
      </c>
      <c r="E737" s="22">
        <v>118473583.30223092</v>
      </c>
      <c r="F737" s="23">
        <v>1.5166659776982514</v>
      </c>
      <c r="G737" s="22">
        <v>82596237.809598148</v>
      </c>
      <c r="H737" s="23">
        <v>0.46885671112888572</v>
      </c>
      <c r="I737" s="23">
        <f t="shared" si="33"/>
        <v>176165203.24669719</v>
      </c>
      <c r="J737" s="4">
        <f t="shared" si="32"/>
        <v>14065701.333866572</v>
      </c>
      <c r="L737" s="22"/>
      <c r="M737" s="22"/>
      <c r="N737" s="19"/>
    </row>
    <row r="738" spans="2:14" ht="11.1" customHeight="1" x14ac:dyDescent="0.3">
      <c r="B738" s="19">
        <v>731</v>
      </c>
      <c r="C738" s="22">
        <v>200673902.17289308</v>
      </c>
      <c r="D738" s="23">
        <v>1.7639564814777344</v>
      </c>
      <c r="E738" s="22">
        <v>117493272.96626472</v>
      </c>
      <c r="F738" s="23">
        <v>1.3136576752280174</v>
      </c>
      <c r="G738" s="22">
        <v>83180629.206628352</v>
      </c>
      <c r="H738" s="23">
        <v>0.45029880624971708</v>
      </c>
      <c r="I738" s="23">
        <f t="shared" si="33"/>
        <v>184723183.92178863</v>
      </c>
      <c r="J738" s="4">
        <f t="shared" si="32"/>
        <v>13508964.187491512</v>
      </c>
      <c r="L738" s="22"/>
      <c r="M738" s="22"/>
      <c r="N738" s="19"/>
    </row>
    <row r="739" spans="2:14" ht="11.1" customHeight="1" x14ac:dyDescent="0.3">
      <c r="B739" s="19">
        <v>732</v>
      </c>
      <c r="C739" s="22">
        <v>200688223.54307574</v>
      </c>
      <c r="D739" s="23">
        <v>2.3305322813475535</v>
      </c>
      <c r="E739" s="22">
        <v>117563327.15471822</v>
      </c>
      <c r="F739" s="23">
        <v>1.8566479230866275</v>
      </c>
      <c r="G739" s="22">
        <v>83124896.38835752</v>
      </c>
      <c r="H739" s="23">
        <v>0.47388435826092601</v>
      </c>
      <c r="I739" s="23">
        <f t="shared" si="33"/>
        <v>175411774.91785458</v>
      </c>
      <c r="J739" s="4">
        <f t="shared" si="32"/>
        <v>14216530.74782778</v>
      </c>
      <c r="L739" s="22"/>
      <c r="M739" s="22"/>
      <c r="N739" s="19"/>
    </row>
    <row r="740" spans="2:14" ht="11.1" customHeight="1" x14ac:dyDescent="0.3">
      <c r="B740" s="19">
        <v>733</v>
      </c>
      <c r="C740" s="22">
        <v>200440508.32602897</v>
      </c>
      <c r="D740" s="23">
        <v>1.9815183420093394</v>
      </c>
      <c r="E740" s="22">
        <v>117164425.10394171</v>
      </c>
      <c r="F740" s="23">
        <v>1.5267451487156338</v>
      </c>
      <c r="G740" s="22">
        <v>83276083.222087264</v>
      </c>
      <c r="H740" s="23">
        <v>0.45477319329370558</v>
      </c>
      <c r="I740" s="23">
        <f t="shared" si="33"/>
        <v>183115637.53122357</v>
      </c>
      <c r="J740" s="4">
        <f t="shared" si="32"/>
        <v>13643195.798811167</v>
      </c>
      <c r="L740" s="22"/>
      <c r="M740" s="22"/>
      <c r="N740" s="19"/>
    </row>
    <row r="741" spans="2:14" ht="11.1" customHeight="1" x14ac:dyDescent="0.3">
      <c r="B741" s="19">
        <v>734</v>
      </c>
      <c r="C741" s="22">
        <v>200726813.25300393</v>
      </c>
      <c r="D741" s="23">
        <v>1.6750555526865731</v>
      </c>
      <c r="E741" s="22">
        <v>117110463.19622084</v>
      </c>
      <c r="F741" s="23">
        <v>1.2379806449094652</v>
      </c>
      <c r="G741" s="22">
        <v>83616350.05678308</v>
      </c>
      <c r="H741" s="23">
        <v>0.43707490777710789</v>
      </c>
      <c r="I741" s="23">
        <f t="shared" si="33"/>
        <v>191308969.16970658</v>
      </c>
      <c r="J741" s="4">
        <f t="shared" si="32"/>
        <v>13112247.233313236</v>
      </c>
      <c r="L741" s="22"/>
      <c r="M741" s="22"/>
      <c r="N741" s="19"/>
    </row>
    <row r="742" spans="2:14" ht="11.1" customHeight="1" x14ac:dyDescent="0.3">
      <c r="B742" s="19">
        <v>735</v>
      </c>
      <c r="C742" s="22">
        <v>199006848.83426148</v>
      </c>
      <c r="D742" s="23">
        <v>2.0001657746852239</v>
      </c>
      <c r="E742" s="22">
        <v>115871658.45762818</v>
      </c>
      <c r="F742" s="23">
        <v>1.5521910781599406</v>
      </c>
      <c r="G742" s="22">
        <v>83135190.376633301</v>
      </c>
      <c r="H742" s="23">
        <v>0.44797469652528332</v>
      </c>
      <c r="I742" s="23">
        <f t="shared" si="33"/>
        <v>185580103.12071547</v>
      </c>
      <c r="J742" s="4">
        <f t="shared" si="32"/>
        <v>13439240.8957585</v>
      </c>
      <c r="L742" s="22"/>
      <c r="M742" s="22"/>
      <c r="N742" s="19"/>
    </row>
    <row r="743" spans="2:14" ht="11.1" customHeight="1" x14ac:dyDescent="0.3">
      <c r="B743" s="19">
        <v>736</v>
      </c>
      <c r="C743" s="22">
        <v>199466361.57489869</v>
      </c>
      <c r="D743" s="23">
        <v>2.200152545628518</v>
      </c>
      <c r="E743" s="22">
        <v>116327751.39775802</v>
      </c>
      <c r="F743" s="23">
        <v>1.704703270977415</v>
      </c>
      <c r="G743" s="22">
        <v>83138610.177140668</v>
      </c>
      <c r="H743" s="23">
        <v>0.495449274651103</v>
      </c>
      <c r="I743" s="23">
        <f t="shared" si="33"/>
        <v>167804484.59771618</v>
      </c>
      <c r="J743" s="4">
        <f t="shared" si="32"/>
        <v>14863478.239533089</v>
      </c>
      <c r="L743" s="22"/>
      <c r="M743" s="22"/>
      <c r="N743" s="19"/>
    </row>
    <row r="744" spans="2:14" ht="11.1" customHeight="1" x14ac:dyDescent="0.3">
      <c r="B744" s="19">
        <v>737</v>
      </c>
      <c r="C744" s="22">
        <v>203654157.19050276</v>
      </c>
      <c r="D744" s="23">
        <v>2.0534410871669184</v>
      </c>
      <c r="E744" s="22">
        <v>120577181.59632289</v>
      </c>
      <c r="F744" s="23">
        <v>1.5595070889471316</v>
      </c>
      <c r="G744" s="22">
        <v>83076975.594179869</v>
      </c>
      <c r="H744" s="23">
        <v>0.49393399821978679</v>
      </c>
      <c r="I744" s="23">
        <f t="shared" si="33"/>
        <v>168194487.30721498</v>
      </c>
      <c r="J744" s="4">
        <f t="shared" si="32"/>
        <v>14818019.946593603</v>
      </c>
      <c r="L744" s="22"/>
      <c r="M744" s="22"/>
      <c r="N744" s="19"/>
    </row>
    <row r="745" spans="2:14" ht="11.1" customHeight="1" x14ac:dyDescent="0.3">
      <c r="B745" s="19">
        <v>738</v>
      </c>
      <c r="C745" s="22">
        <v>201457036.26726872</v>
      </c>
      <c r="D745" s="23">
        <v>1.8720923120044932</v>
      </c>
      <c r="E745" s="22">
        <v>118423513.55691007</v>
      </c>
      <c r="F745" s="23">
        <v>1.46617078020233</v>
      </c>
      <c r="G745" s="22">
        <v>83033522.710358649</v>
      </c>
      <c r="H745" s="23">
        <v>0.40592153180216317</v>
      </c>
      <c r="I745" s="23">
        <f t="shared" si="33"/>
        <v>204555600.54110971</v>
      </c>
      <c r="J745" s="4">
        <f t="shared" si="32"/>
        <v>12177645.954064894</v>
      </c>
      <c r="L745" s="22"/>
      <c r="M745" s="22"/>
      <c r="N745" s="19"/>
    </row>
    <row r="746" spans="2:14" ht="11.1" customHeight="1" x14ac:dyDescent="0.3">
      <c r="B746" s="19">
        <v>739</v>
      </c>
      <c r="C746" s="22">
        <v>201564882.37985542</v>
      </c>
      <c r="D746" s="23">
        <v>2.1607496055343751</v>
      </c>
      <c r="E746" s="22">
        <v>117969180.77117512</v>
      </c>
      <c r="F746" s="23">
        <v>1.6869884723849331</v>
      </c>
      <c r="G746" s="22">
        <v>83595701.608680308</v>
      </c>
      <c r="H746" s="23">
        <v>0.47376113314944202</v>
      </c>
      <c r="I746" s="23">
        <f t="shared" si="33"/>
        <v>176451160.21434179</v>
      </c>
      <c r="J746" s="4">
        <f t="shared" si="32"/>
        <v>14212833.99448326</v>
      </c>
      <c r="L746" s="22"/>
      <c r="M746" s="22"/>
      <c r="N746" s="19"/>
    </row>
    <row r="747" spans="2:14" ht="11.1" customHeight="1" x14ac:dyDescent="0.3">
      <c r="B747" s="19">
        <v>740</v>
      </c>
      <c r="C747" s="22">
        <v>199586861.84462363</v>
      </c>
      <c r="D747" s="23">
        <v>1.8649772016417663</v>
      </c>
      <c r="E747" s="22">
        <v>116631362.14799985</v>
      </c>
      <c r="F747" s="23">
        <v>1.3981422075329348</v>
      </c>
      <c r="G747" s="22">
        <v>82955499.696623772</v>
      </c>
      <c r="H747" s="23">
        <v>0.46683499410883145</v>
      </c>
      <c r="I747" s="23">
        <f t="shared" si="33"/>
        <v>177697689.21240011</v>
      </c>
      <c r="J747" s="4">
        <f t="shared" si="32"/>
        <v>14005049.823264943</v>
      </c>
      <c r="L747" s="22"/>
      <c r="M747" s="22"/>
      <c r="N747" s="19"/>
    </row>
    <row r="748" spans="2:14" ht="11.1" customHeight="1" x14ac:dyDescent="0.3">
      <c r="B748" s="19">
        <v>741</v>
      </c>
      <c r="C748" s="22">
        <v>203805020.13199848</v>
      </c>
      <c r="D748" s="23">
        <v>2.0782933954141449</v>
      </c>
      <c r="E748" s="22">
        <v>120834925.2404045</v>
      </c>
      <c r="F748" s="23">
        <v>1.6351203234961482</v>
      </c>
      <c r="G748" s="22">
        <v>82970094.891593978</v>
      </c>
      <c r="H748" s="23">
        <v>0.44317307191799671</v>
      </c>
      <c r="I748" s="23">
        <f t="shared" si="33"/>
        <v>187218267.87108243</v>
      </c>
      <c r="J748" s="4">
        <f t="shared" si="32"/>
        <v>13295192.1575399</v>
      </c>
      <c r="L748" s="22"/>
      <c r="M748" s="22"/>
      <c r="N748" s="19"/>
    </row>
    <row r="749" spans="2:14" ht="11.1" customHeight="1" x14ac:dyDescent="0.3">
      <c r="B749" s="19">
        <v>742</v>
      </c>
      <c r="C749" s="22">
        <v>200910361.02787945</v>
      </c>
      <c r="D749" s="23">
        <v>2.1168844552997954</v>
      </c>
      <c r="E749" s="22">
        <v>117661549.29807055</v>
      </c>
      <c r="F749" s="23">
        <v>1.6291607907574845</v>
      </c>
      <c r="G749" s="22">
        <v>83248811.729808897</v>
      </c>
      <c r="H749" s="23">
        <v>0.48772366454231086</v>
      </c>
      <c r="I749" s="23">
        <f t="shared" si="33"/>
        <v>170688481.57681903</v>
      </c>
      <c r="J749" s="4">
        <f t="shared" si="32"/>
        <v>14631709.936269326</v>
      </c>
      <c r="L749" s="22"/>
      <c r="M749" s="22"/>
      <c r="N749" s="19"/>
    </row>
    <row r="750" spans="2:14" ht="11.1" customHeight="1" x14ac:dyDescent="0.3">
      <c r="B750" s="19">
        <v>743</v>
      </c>
      <c r="C750" s="22">
        <v>199004960.59604913</v>
      </c>
      <c r="D750" s="23">
        <v>2.0621886879481051</v>
      </c>
      <c r="E750" s="22">
        <v>115954640.48641692</v>
      </c>
      <c r="F750" s="23">
        <v>1.5822543192865737</v>
      </c>
      <c r="G750" s="22">
        <v>83050320.109632209</v>
      </c>
      <c r="H750" s="23">
        <v>0.47993436866153139</v>
      </c>
      <c r="I750" s="23">
        <f t="shared" si="33"/>
        <v>173045161.0315963</v>
      </c>
      <c r="J750" s="4">
        <f t="shared" si="32"/>
        <v>14398031.059845941</v>
      </c>
      <c r="L750" s="22"/>
      <c r="M750" s="22"/>
      <c r="N750" s="19"/>
    </row>
    <row r="751" spans="2:14" ht="11.1" customHeight="1" x14ac:dyDescent="0.3">
      <c r="B751" s="19">
        <v>744</v>
      </c>
      <c r="C751" s="22">
        <v>199742877.97650313</v>
      </c>
      <c r="D751" s="23">
        <v>1.961942181826273</v>
      </c>
      <c r="E751" s="22">
        <v>116912659.34593067</v>
      </c>
      <c r="F751" s="23">
        <v>1.5011034647563444</v>
      </c>
      <c r="G751" s="22">
        <v>82830218.630572468</v>
      </c>
      <c r="H751" s="23">
        <v>0.46083871706992863</v>
      </c>
      <c r="I751" s="23">
        <f t="shared" si="33"/>
        <v>179737976.78549573</v>
      </c>
      <c r="J751" s="4">
        <f t="shared" si="32"/>
        <v>13825161.512097858</v>
      </c>
      <c r="L751" s="22"/>
      <c r="M751" s="22"/>
      <c r="N751" s="19"/>
    </row>
    <row r="752" spans="2:14" ht="11.1" customHeight="1" x14ac:dyDescent="0.3">
      <c r="B752" s="19">
        <v>745</v>
      </c>
      <c r="C752" s="22">
        <v>200961836.81108841</v>
      </c>
      <c r="D752" s="23">
        <v>2.2392660825012007</v>
      </c>
      <c r="E752" s="22">
        <v>118324947.6022393</v>
      </c>
      <c r="F752" s="23">
        <v>1.7592047869849403</v>
      </c>
      <c r="G752" s="22">
        <v>82636889.208849117</v>
      </c>
      <c r="H752" s="23">
        <v>0.48006129551626042</v>
      </c>
      <c r="I752" s="23">
        <f t="shared" si="33"/>
        <v>172138203.97660047</v>
      </c>
      <c r="J752" s="4">
        <f t="shared" si="32"/>
        <v>14401838.865487812</v>
      </c>
      <c r="L752" s="22"/>
      <c r="M752" s="22"/>
      <c r="N752" s="19"/>
    </row>
    <row r="753" spans="2:14" ht="11.1" customHeight="1" x14ac:dyDescent="0.3">
      <c r="B753" s="19">
        <v>746</v>
      </c>
      <c r="C753" s="22">
        <v>202413126.84286213</v>
      </c>
      <c r="D753" s="23">
        <v>1.9277445820954682</v>
      </c>
      <c r="E753" s="22">
        <v>119683970.23615554</v>
      </c>
      <c r="F753" s="23">
        <v>1.4741838263618912</v>
      </c>
      <c r="G753" s="22">
        <v>82729156.606706589</v>
      </c>
      <c r="H753" s="23">
        <v>0.45356075573357701</v>
      </c>
      <c r="I753" s="23">
        <f t="shared" si="33"/>
        <v>182399282.92054868</v>
      </c>
      <c r="J753" s="4">
        <f t="shared" si="32"/>
        <v>13606822.672007311</v>
      </c>
      <c r="L753" s="22"/>
      <c r="M753" s="22"/>
      <c r="N753" s="19"/>
    </row>
    <row r="754" spans="2:14" ht="11.1" customHeight="1" x14ac:dyDescent="0.3">
      <c r="B754" s="19">
        <v>747</v>
      </c>
      <c r="C754" s="22">
        <v>202136419.38846672</v>
      </c>
      <c r="D754" s="23">
        <v>2.0628992925700818</v>
      </c>
      <c r="E754" s="22">
        <v>119110650.11507429</v>
      </c>
      <c r="F754" s="23">
        <v>1.5829401069977573</v>
      </c>
      <c r="G754" s="22">
        <v>83025769.273392424</v>
      </c>
      <c r="H754" s="23">
        <v>0.47995918557232442</v>
      </c>
      <c r="I754" s="23">
        <f t="shared" si="33"/>
        <v>172985061.58266112</v>
      </c>
      <c r="J754" s="4">
        <f t="shared" si="32"/>
        <v>14398775.567169733</v>
      </c>
      <c r="L754" s="22"/>
      <c r="M754" s="22"/>
      <c r="N754" s="19"/>
    </row>
    <row r="755" spans="2:14" ht="11.1" customHeight="1" x14ac:dyDescent="0.3">
      <c r="B755" s="19">
        <v>748</v>
      </c>
      <c r="C755" s="22">
        <v>201604210.72621104</v>
      </c>
      <c r="D755" s="23">
        <v>2.1559184062484031</v>
      </c>
      <c r="E755" s="22">
        <v>118712513.10846767</v>
      </c>
      <c r="F755" s="23">
        <v>1.6560629722254325</v>
      </c>
      <c r="G755" s="22">
        <v>82891697.617743373</v>
      </c>
      <c r="H755" s="23">
        <v>0.49985543402297061</v>
      </c>
      <c r="I755" s="23">
        <f t="shared" si="33"/>
        <v>165831342.37555197</v>
      </c>
      <c r="J755" s="4">
        <f t="shared" si="32"/>
        <v>14995663.020689119</v>
      </c>
      <c r="L755" s="22"/>
      <c r="M755" s="22"/>
      <c r="N755" s="19"/>
    </row>
    <row r="756" spans="2:14" ht="11.1" customHeight="1" x14ac:dyDescent="0.3">
      <c r="B756" s="19">
        <v>749</v>
      </c>
      <c r="C756" s="22">
        <v>203759125.43916976</v>
      </c>
      <c r="D756" s="23">
        <v>2.1316376568619164</v>
      </c>
      <c r="E756" s="22">
        <v>120531840.71746086</v>
      </c>
      <c r="F756" s="23">
        <v>1.6489427626512465</v>
      </c>
      <c r="G756" s="22">
        <v>83227284.721708909</v>
      </c>
      <c r="H756" s="23">
        <v>0.48269489421066991</v>
      </c>
      <c r="I756" s="23">
        <f t="shared" si="33"/>
        <v>172422136.05305871</v>
      </c>
      <c r="J756" s="4">
        <f t="shared" si="32"/>
        <v>14480846.826320097</v>
      </c>
      <c r="L756" s="22"/>
      <c r="M756" s="22"/>
      <c r="N756" s="19"/>
    </row>
    <row r="757" spans="2:14" ht="11.1" customHeight="1" x14ac:dyDescent="0.3">
      <c r="B757" s="19">
        <v>750</v>
      </c>
      <c r="C757" s="22">
        <v>203091845.06362504</v>
      </c>
      <c r="D757" s="23">
        <v>1.9237141111724674</v>
      </c>
      <c r="E757" s="22">
        <v>120053454.516317</v>
      </c>
      <c r="F757" s="23">
        <v>1.4963270230171999</v>
      </c>
      <c r="G757" s="22">
        <v>83038390.547308043</v>
      </c>
      <c r="H757" s="23">
        <v>0.42738708815526749</v>
      </c>
      <c r="I757" s="23">
        <f t="shared" si="33"/>
        <v>194293166.19209757</v>
      </c>
      <c r="J757" s="4">
        <f t="shared" si="32"/>
        <v>12821612.644658025</v>
      </c>
      <c r="L757" s="22"/>
      <c r="M757" s="22"/>
      <c r="N757" s="19"/>
    </row>
    <row r="758" spans="2:14" ht="11.1" customHeight="1" x14ac:dyDescent="0.3">
      <c r="B758" s="19">
        <v>751</v>
      </c>
      <c r="C758" s="22">
        <v>199936807.80055913</v>
      </c>
      <c r="D758" s="23">
        <v>1.9572465505206948</v>
      </c>
      <c r="E758" s="22">
        <v>116761816.4345192</v>
      </c>
      <c r="F758" s="23">
        <v>1.4933869262757975</v>
      </c>
      <c r="G758" s="22">
        <v>83174991.366039932</v>
      </c>
      <c r="H758" s="23">
        <v>0.46385962424489735</v>
      </c>
      <c r="I758" s="23">
        <f t="shared" si="33"/>
        <v>179310694.48313791</v>
      </c>
      <c r="J758" s="4">
        <f t="shared" si="32"/>
        <v>13915788.727346921</v>
      </c>
      <c r="L758" s="22"/>
      <c r="M758" s="22"/>
      <c r="N758" s="19"/>
    </row>
    <row r="759" spans="2:14" ht="11.1" customHeight="1" x14ac:dyDescent="0.3">
      <c r="B759" s="19">
        <v>752</v>
      </c>
      <c r="C759" s="22">
        <v>204594127.25330076</v>
      </c>
      <c r="D759" s="23">
        <v>1.9179494815046794</v>
      </c>
      <c r="E759" s="22">
        <v>121287072.35713978</v>
      </c>
      <c r="F759" s="23">
        <v>1.4314342058342182</v>
      </c>
      <c r="G759" s="22">
        <v>83307054.896160975</v>
      </c>
      <c r="H759" s="23">
        <v>0.48651527567046116</v>
      </c>
      <c r="I759" s="23">
        <f t="shared" si="33"/>
        <v>171232146.37270427</v>
      </c>
      <c r="J759" s="4">
        <f t="shared" si="32"/>
        <v>14595458.270113835</v>
      </c>
      <c r="L759" s="22"/>
      <c r="M759" s="22"/>
      <c r="N759" s="19"/>
    </row>
    <row r="760" spans="2:14" ht="11.1" customHeight="1" x14ac:dyDescent="0.3">
      <c r="B760" s="19">
        <v>753</v>
      </c>
      <c r="C760" s="22">
        <v>202780792.44808677</v>
      </c>
      <c r="D760" s="23">
        <v>2.1549347303044488</v>
      </c>
      <c r="E760" s="22">
        <v>119824446.22684589</v>
      </c>
      <c r="F760" s="23">
        <v>1.7124320150404624</v>
      </c>
      <c r="G760" s="22">
        <v>82956346.221240878</v>
      </c>
      <c r="H760" s="23">
        <v>0.44250271526398643</v>
      </c>
      <c r="I760" s="23">
        <f t="shared" si="33"/>
        <v>187470818.50503704</v>
      </c>
      <c r="J760" s="4">
        <f t="shared" si="32"/>
        <v>13275081.457919594</v>
      </c>
      <c r="L760" s="22"/>
      <c r="M760" s="22"/>
      <c r="N760" s="19"/>
    </row>
    <row r="761" spans="2:14" ht="11.1" customHeight="1" x14ac:dyDescent="0.3">
      <c r="B761" s="19">
        <v>754</v>
      </c>
      <c r="C761" s="22">
        <v>199705699.64198673</v>
      </c>
      <c r="D761" s="23">
        <v>1.9224844302798627</v>
      </c>
      <c r="E761" s="22">
        <v>116752969.07986599</v>
      </c>
      <c r="F761" s="23">
        <v>1.4758168174210917</v>
      </c>
      <c r="G761" s="22">
        <v>82952730.562120736</v>
      </c>
      <c r="H761" s="23">
        <v>0.44666761285877099</v>
      </c>
      <c r="I761" s="23">
        <f t="shared" si="33"/>
        <v>185714675.01573488</v>
      </c>
      <c r="J761" s="4">
        <f t="shared" si="32"/>
        <v>13400028.385763129</v>
      </c>
      <c r="L761" s="22"/>
      <c r="M761" s="22"/>
      <c r="N761" s="19"/>
    </row>
    <row r="762" spans="2:14" ht="11.1" customHeight="1" x14ac:dyDescent="0.3">
      <c r="B762" s="19">
        <v>755</v>
      </c>
      <c r="C762" s="22">
        <v>201710631.12822416</v>
      </c>
      <c r="D762" s="23">
        <v>2.3277403957325955</v>
      </c>
      <c r="E762" s="22">
        <v>118426605.30183709</v>
      </c>
      <c r="F762" s="23">
        <v>1.8378554777159746</v>
      </c>
      <c r="G762" s="22">
        <v>83284025.826387078</v>
      </c>
      <c r="H762" s="23">
        <v>0.48988491801662093</v>
      </c>
      <c r="I762" s="23">
        <f t="shared" si="33"/>
        <v>170007327.7690933</v>
      </c>
      <c r="J762" s="4">
        <f t="shared" si="32"/>
        <v>14696547.540498627</v>
      </c>
      <c r="L762" s="22"/>
      <c r="M762" s="22"/>
      <c r="N762" s="19"/>
    </row>
    <row r="763" spans="2:14" ht="11.1" customHeight="1" x14ac:dyDescent="0.3">
      <c r="B763" s="19">
        <v>756</v>
      </c>
      <c r="C763" s="22">
        <v>201461639.01885208</v>
      </c>
      <c r="D763" s="23">
        <v>1.7919374113528275</v>
      </c>
      <c r="E763" s="22">
        <v>118250583.8276497</v>
      </c>
      <c r="F763" s="23">
        <v>1.3456188642235358</v>
      </c>
      <c r="G763" s="22">
        <v>83211055.191202387</v>
      </c>
      <c r="H763" s="23">
        <v>0.44631854712929164</v>
      </c>
      <c r="I763" s="23">
        <f t="shared" si="33"/>
        <v>186438712.27492911</v>
      </c>
      <c r="J763" s="4">
        <f t="shared" si="32"/>
        <v>13389556.41387875</v>
      </c>
      <c r="L763" s="22"/>
      <c r="M763" s="22"/>
      <c r="N763" s="19"/>
    </row>
    <row r="764" spans="2:14" ht="11.1" customHeight="1" x14ac:dyDescent="0.3">
      <c r="B764" s="19">
        <v>757</v>
      </c>
      <c r="C764" s="22">
        <v>205537922.0103876</v>
      </c>
      <c r="D764" s="23">
        <v>2.2900646373953952</v>
      </c>
      <c r="E764" s="22">
        <v>122653399.73142728</v>
      </c>
      <c r="F764" s="23">
        <v>1.7877758755575368</v>
      </c>
      <c r="G764" s="22">
        <v>82884522.278960317</v>
      </c>
      <c r="H764" s="23">
        <v>0.50228876183785842</v>
      </c>
      <c r="I764" s="23">
        <f t="shared" si="33"/>
        <v>165013690.48291767</v>
      </c>
      <c r="J764" s="4">
        <f t="shared" si="32"/>
        <v>15068662.855135752</v>
      </c>
      <c r="L764" s="22"/>
      <c r="M764" s="22"/>
      <c r="N764" s="19"/>
    </row>
    <row r="765" spans="2:14" ht="11.1" customHeight="1" x14ac:dyDescent="0.3">
      <c r="B765" s="19">
        <v>758</v>
      </c>
      <c r="C765" s="22">
        <v>203394341.47162256</v>
      </c>
      <c r="D765" s="23">
        <v>1.7928274213416078</v>
      </c>
      <c r="E765" s="22">
        <v>120200871.96375537</v>
      </c>
      <c r="F765" s="23">
        <v>1.3437967017694772</v>
      </c>
      <c r="G765" s="22">
        <v>83193469.507867187</v>
      </c>
      <c r="H765" s="23">
        <v>0.44903071957213059</v>
      </c>
      <c r="I765" s="23">
        <f t="shared" si="33"/>
        <v>185273447.63213533</v>
      </c>
      <c r="J765" s="4">
        <f t="shared" si="32"/>
        <v>13470921.587163918</v>
      </c>
      <c r="L765" s="22"/>
      <c r="M765" s="22"/>
      <c r="N765" s="19"/>
    </row>
    <row r="766" spans="2:14" ht="11.1" customHeight="1" x14ac:dyDescent="0.3">
      <c r="B766" s="19">
        <v>759</v>
      </c>
      <c r="C766" s="22">
        <v>198958446.87063536</v>
      </c>
      <c r="D766" s="23">
        <v>1.8614630231631855</v>
      </c>
      <c r="E766" s="22">
        <v>116065009.28068428</v>
      </c>
      <c r="F766" s="23">
        <v>1.4218511896715642</v>
      </c>
      <c r="G766" s="22">
        <v>82893437.589951083</v>
      </c>
      <c r="H766" s="23">
        <v>0.43961183349162125</v>
      </c>
      <c r="I766" s="23">
        <f t="shared" si="33"/>
        <v>188560523.79566115</v>
      </c>
      <c r="J766" s="4">
        <f t="shared" si="32"/>
        <v>13188355.004748637</v>
      </c>
      <c r="L766" s="22"/>
      <c r="M766" s="22"/>
      <c r="N766" s="19"/>
    </row>
    <row r="767" spans="2:14" ht="11.1" customHeight="1" x14ac:dyDescent="0.3">
      <c r="B767" s="19">
        <v>760</v>
      </c>
      <c r="C767" s="22">
        <v>198955317.01304343</v>
      </c>
      <c r="D767" s="23">
        <v>1.6783422356650473</v>
      </c>
      <c r="E767" s="22">
        <v>115593948.87495272</v>
      </c>
      <c r="F767" s="23">
        <v>1.306392185269021</v>
      </c>
      <c r="G767" s="22">
        <v>83361368.138090715</v>
      </c>
      <c r="H767" s="23">
        <v>0.37195005039602624</v>
      </c>
      <c r="I767" s="23">
        <f t="shared" si="33"/>
        <v>224119792.56175229</v>
      </c>
      <c r="J767" s="4">
        <f t="shared" si="32"/>
        <v>11158501.511880787</v>
      </c>
      <c r="L767" s="22"/>
      <c r="M767" s="22"/>
      <c r="N767" s="19"/>
    </row>
    <row r="768" spans="2:14" ht="11.1" customHeight="1" x14ac:dyDescent="0.3">
      <c r="B768" s="19">
        <v>761</v>
      </c>
      <c r="C768" s="22">
        <v>201855426.96872538</v>
      </c>
      <c r="D768" s="23">
        <v>1.6953474190773505</v>
      </c>
      <c r="E768" s="22">
        <v>118878717.06287073</v>
      </c>
      <c r="F768" s="23">
        <v>1.2498975146783777</v>
      </c>
      <c r="G768" s="22">
        <v>82976709.905854657</v>
      </c>
      <c r="H768" s="23">
        <v>0.44544990439897281</v>
      </c>
      <c r="I768" s="23">
        <f t="shared" si="33"/>
        <v>186276187.48243243</v>
      </c>
      <c r="J768" s="4">
        <f t="shared" si="32"/>
        <v>13363497.131969184</v>
      </c>
      <c r="L768" s="22"/>
      <c r="M768" s="22"/>
      <c r="N768" s="19"/>
    </row>
    <row r="769" spans="2:14" ht="11.1" customHeight="1" x14ac:dyDescent="0.3">
      <c r="B769" s="19">
        <v>762</v>
      </c>
      <c r="C769" s="22">
        <v>201992675.99238518</v>
      </c>
      <c r="D769" s="23">
        <v>1.9590888046411121</v>
      </c>
      <c r="E769" s="22">
        <v>119147248.81076317</v>
      </c>
      <c r="F769" s="23">
        <v>1.5583881629641021</v>
      </c>
      <c r="G769" s="22">
        <v>82845427.181622013</v>
      </c>
      <c r="H769" s="23">
        <v>0.40070064167701003</v>
      </c>
      <c r="I769" s="23">
        <f t="shared" si="33"/>
        <v>206751421.29769948</v>
      </c>
      <c r="J769" s="4">
        <f t="shared" si="32"/>
        <v>12021019.2503103</v>
      </c>
      <c r="L769" s="22"/>
      <c r="M769" s="22"/>
      <c r="N769" s="19"/>
    </row>
    <row r="770" spans="2:14" ht="11.1" customHeight="1" x14ac:dyDescent="0.3">
      <c r="B770" s="19">
        <v>763</v>
      </c>
      <c r="C770" s="22">
        <v>202532936.82046166</v>
      </c>
      <c r="D770" s="23">
        <v>1.9246636739954517</v>
      </c>
      <c r="E770" s="22">
        <v>119716739.91202612</v>
      </c>
      <c r="F770" s="23">
        <v>1.4462612190630884</v>
      </c>
      <c r="G770" s="22">
        <v>82816196.908435538</v>
      </c>
      <c r="H770" s="23">
        <v>0.47840245493236333</v>
      </c>
      <c r="I770" s="23">
        <f t="shared" si="33"/>
        <v>173109891.16923347</v>
      </c>
      <c r="J770" s="4">
        <f t="shared" si="32"/>
        <v>14352073.6479709</v>
      </c>
      <c r="L770" s="22"/>
      <c r="M770" s="22"/>
      <c r="N770" s="19"/>
    </row>
    <row r="771" spans="2:14" ht="11.1" customHeight="1" x14ac:dyDescent="0.3">
      <c r="B771" s="19">
        <v>764</v>
      </c>
      <c r="C771" s="22">
        <v>202030228.16335639</v>
      </c>
      <c r="D771" s="23">
        <v>1.954994918692184</v>
      </c>
      <c r="E771" s="22">
        <v>118943378.34248319</v>
      </c>
      <c r="F771" s="23">
        <v>1.5088581769894702</v>
      </c>
      <c r="G771" s="22">
        <v>83086849.820873201</v>
      </c>
      <c r="H771" s="23">
        <v>0.44613674170271378</v>
      </c>
      <c r="I771" s="23">
        <f t="shared" si="33"/>
        <v>186236285.99555847</v>
      </c>
      <c r="J771" s="4">
        <f t="shared" si="32"/>
        <v>13384102.251081413</v>
      </c>
      <c r="L771" s="22"/>
      <c r="M771" s="22"/>
      <c r="N771" s="19"/>
    </row>
    <row r="772" spans="2:14" ht="11.1" customHeight="1" x14ac:dyDescent="0.3">
      <c r="B772" s="19">
        <v>765</v>
      </c>
      <c r="C772" s="22">
        <v>201572759.91926193</v>
      </c>
      <c r="D772" s="23">
        <v>1.8284204171471981</v>
      </c>
      <c r="E772" s="22">
        <v>118401571.37082627</v>
      </c>
      <c r="F772" s="23">
        <v>1.3907864550656526</v>
      </c>
      <c r="G772" s="22">
        <v>83171188.548435658</v>
      </c>
      <c r="H772" s="23">
        <v>0.43763396208154548</v>
      </c>
      <c r="I772" s="23">
        <f t="shared" si="33"/>
        <v>190047381.49855506</v>
      </c>
      <c r="J772" s="4">
        <f t="shared" si="32"/>
        <v>13129018.862446364</v>
      </c>
      <c r="L772" s="22"/>
      <c r="M772" s="22"/>
      <c r="N772" s="19"/>
    </row>
    <row r="773" spans="2:14" ht="11.1" customHeight="1" x14ac:dyDescent="0.3">
      <c r="B773" s="19">
        <v>766</v>
      </c>
      <c r="C773" s="22">
        <v>205169836.99335116</v>
      </c>
      <c r="D773" s="23">
        <v>1.9268788194981317</v>
      </c>
      <c r="E773" s="22">
        <v>122425900.73416683</v>
      </c>
      <c r="F773" s="23">
        <v>1.4931309764635203</v>
      </c>
      <c r="G773" s="22">
        <v>82743936.259184331</v>
      </c>
      <c r="H773" s="23">
        <v>0.43374784303461134</v>
      </c>
      <c r="I773" s="23">
        <f t="shared" si="33"/>
        <v>190765066.81920651</v>
      </c>
      <c r="J773" s="4">
        <f t="shared" si="32"/>
        <v>13012435.29103834</v>
      </c>
      <c r="L773" s="22"/>
      <c r="M773" s="22"/>
      <c r="N773" s="19"/>
    </row>
    <row r="774" spans="2:14" ht="11.1" customHeight="1" x14ac:dyDescent="0.3">
      <c r="B774" s="19">
        <v>767</v>
      </c>
      <c r="C774" s="22">
        <v>205600333.46164241</v>
      </c>
      <c r="D774" s="23">
        <v>1.9272747793320537</v>
      </c>
      <c r="E774" s="22">
        <v>122871432.63319747</v>
      </c>
      <c r="F774" s="23">
        <v>1.4747082589090101</v>
      </c>
      <c r="G774" s="22">
        <v>82728900.828444943</v>
      </c>
      <c r="H774" s="23">
        <v>0.45256652042304357</v>
      </c>
      <c r="I774" s="23">
        <f t="shared" si="33"/>
        <v>182799427.47667861</v>
      </c>
      <c r="J774" s="4">
        <f t="shared" si="32"/>
        <v>13576995.612691307</v>
      </c>
      <c r="L774" s="22"/>
      <c r="M774" s="22"/>
      <c r="N774" s="19"/>
    </row>
    <row r="775" spans="2:14" ht="11.1" customHeight="1" x14ac:dyDescent="0.3">
      <c r="B775" s="19">
        <v>768</v>
      </c>
      <c r="C775" s="22">
        <v>200798091.17869234</v>
      </c>
      <c r="D775" s="23">
        <v>2.0601004452409981</v>
      </c>
      <c r="E775" s="22">
        <v>117824272.80872312</v>
      </c>
      <c r="F775" s="23">
        <v>1.5954375505141576</v>
      </c>
      <c r="G775" s="22">
        <v>82973818.369969219</v>
      </c>
      <c r="H775" s="23">
        <v>0.46466289472684053</v>
      </c>
      <c r="I775" s="23">
        <f t="shared" si="33"/>
        <v>178567773.13528919</v>
      </c>
      <c r="J775" s="4">
        <f t="shared" si="32"/>
        <v>13939886.841805216</v>
      </c>
      <c r="L775" s="22"/>
      <c r="M775" s="22"/>
      <c r="N775" s="19"/>
    </row>
    <row r="776" spans="2:14" ht="11.1" customHeight="1" x14ac:dyDescent="0.3">
      <c r="B776" s="19">
        <v>769</v>
      </c>
      <c r="C776" s="22">
        <v>201528254.50593871</v>
      </c>
      <c r="D776" s="23">
        <v>1.7381381169808257</v>
      </c>
      <c r="E776" s="22">
        <v>118450832.46265417</v>
      </c>
      <c r="F776" s="23">
        <v>1.2839124362601311</v>
      </c>
      <c r="G776" s="22">
        <v>83077422.043284535</v>
      </c>
      <c r="H776" s="23">
        <v>0.45422568072069458</v>
      </c>
      <c r="I776" s="23">
        <f t="shared" si="33"/>
        <v>182898998.38219234</v>
      </c>
      <c r="J776" s="4">
        <f t="shared" ref="J776:J839" si="34">threshold*H776</f>
        <v>13626770.421620836</v>
      </c>
      <c r="L776" s="22"/>
      <c r="M776" s="22"/>
      <c r="N776" s="19"/>
    </row>
    <row r="777" spans="2:14" ht="11.1" customHeight="1" x14ac:dyDescent="0.3">
      <c r="B777" s="19">
        <v>770</v>
      </c>
      <c r="C777" s="22">
        <v>200302521.0666419</v>
      </c>
      <c r="D777" s="23">
        <v>2.0822573018561483</v>
      </c>
      <c r="E777" s="22">
        <v>117362731.90821701</v>
      </c>
      <c r="F777" s="23">
        <v>1.6222090490370893</v>
      </c>
      <c r="G777" s="22">
        <v>82939789.158424884</v>
      </c>
      <c r="H777" s="23">
        <v>0.46004825281905903</v>
      </c>
      <c r="I777" s="23">
        <f t="shared" ref="I777:I840" si="35">G777/H777</f>
        <v>180284978.04347891</v>
      </c>
      <c r="J777" s="4">
        <f t="shared" si="34"/>
        <v>13801447.584571771</v>
      </c>
      <c r="L777" s="22"/>
      <c r="M777" s="22"/>
      <c r="N777" s="19"/>
    </row>
    <row r="778" spans="2:14" ht="11.1" customHeight="1" x14ac:dyDescent="0.3">
      <c r="B778" s="19">
        <v>771</v>
      </c>
      <c r="C778" s="22">
        <v>200627957.65228078</v>
      </c>
      <c r="D778" s="23">
        <v>2.3972421623414211</v>
      </c>
      <c r="E778" s="22">
        <v>117559880.23405404</v>
      </c>
      <c r="F778" s="23">
        <v>1.9539226697534091</v>
      </c>
      <c r="G778" s="22">
        <v>83068077.418226734</v>
      </c>
      <c r="H778" s="23">
        <v>0.44331949258801195</v>
      </c>
      <c r="I778" s="23">
        <f t="shared" si="35"/>
        <v>187377453.07180527</v>
      </c>
      <c r="J778" s="4">
        <f t="shared" si="34"/>
        <v>13299584.777640359</v>
      </c>
      <c r="L778" s="22"/>
      <c r="M778" s="22"/>
      <c r="N778" s="19"/>
    </row>
    <row r="779" spans="2:14" ht="11.1" customHeight="1" x14ac:dyDescent="0.3">
      <c r="B779" s="19">
        <v>772</v>
      </c>
      <c r="C779" s="22">
        <v>201527184.96212506</v>
      </c>
      <c r="D779" s="23">
        <v>1.9539113582018499</v>
      </c>
      <c r="E779" s="22">
        <v>118396314.94992842</v>
      </c>
      <c r="F779" s="23">
        <v>1.4732402092514671</v>
      </c>
      <c r="G779" s="22">
        <v>83130870.012196645</v>
      </c>
      <c r="H779" s="23">
        <v>0.48067114895038277</v>
      </c>
      <c r="I779" s="23">
        <f t="shared" si="35"/>
        <v>172947492.67503431</v>
      </c>
      <c r="J779" s="4">
        <f t="shared" si="34"/>
        <v>14420134.468511483</v>
      </c>
      <c r="L779" s="22"/>
      <c r="M779" s="22"/>
      <c r="N779" s="19"/>
    </row>
    <row r="780" spans="2:14" ht="11.1" customHeight="1" x14ac:dyDescent="0.3">
      <c r="B780" s="19">
        <v>773</v>
      </c>
      <c r="C780" s="22">
        <v>202300609.03157616</v>
      </c>
      <c r="D780" s="23">
        <v>1.9536751067096916</v>
      </c>
      <c r="E780" s="22">
        <v>119244266.2226793</v>
      </c>
      <c r="F780" s="23">
        <v>1.5690007401082851</v>
      </c>
      <c r="G780" s="22">
        <v>83056342.808896855</v>
      </c>
      <c r="H780" s="23">
        <v>0.38467436660140653</v>
      </c>
      <c r="I780" s="23">
        <f t="shared" si="35"/>
        <v>215913380.30318645</v>
      </c>
      <c r="J780" s="4">
        <f t="shared" si="34"/>
        <v>11540230.998042196</v>
      </c>
      <c r="L780" s="22"/>
      <c r="M780" s="22"/>
      <c r="N780" s="19"/>
    </row>
    <row r="781" spans="2:14" ht="11.1" customHeight="1" x14ac:dyDescent="0.3">
      <c r="B781" s="19">
        <v>774</v>
      </c>
      <c r="C781" s="22">
        <v>201185863.65870205</v>
      </c>
      <c r="D781" s="23">
        <v>2.0177551218494134</v>
      </c>
      <c r="E781" s="22">
        <v>118281828.80552228</v>
      </c>
      <c r="F781" s="23">
        <v>1.5637122987250207</v>
      </c>
      <c r="G781" s="22">
        <v>82904034.853179768</v>
      </c>
      <c r="H781" s="23">
        <v>0.4540428231243927</v>
      </c>
      <c r="I781" s="23">
        <f t="shared" si="35"/>
        <v>182590783.58004749</v>
      </c>
      <c r="J781" s="4">
        <f t="shared" si="34"/>
        <v>13621284.693731781</v>
      </c>
      <c r="L781" s="22"/>
      <c r="M781" s="22"/>
      <c r="N781" s="19"/>
    </row>
    <row r="782" spans="2:14" ht="11.1" customHeight="1" x14ac:dyDescent="0.3">
      <c r="B782" s="19">
        <v>775</v>
      </c>
      <c r="C782" s="22">
        <v>199627800.74429899</v>
      </c>
      <c r="D782" s="23">
        <v>1.7457597159510736</v>
      </c>
      <c r="E782" s="22">
        <v>116587560.06859125</v>
      </c>
      <c r="F782" s="23">
        <v>1.2972603921849191</v>
      </c>
      <c r="G782" s="22">
        <v>83040240.675707743</v>
      </c>
      <c r="H782" s="23">
        <v>0.44849932376615453</v>
      </c>
      <c r="I782" s="23">
        <f t="shared" si="35"/>
        <v>185151317.46108171</v>
      </c>
      <c r="J782" s="4">
        <f t="shared" si="34"/>
        <v>13454979.712984636</v>
      </c>
      <c r="L782" s="22"/>
      <c r="M782" s="22"/>
      <c r="N782" s="19"/>
    </row>
    <row r="783" spans="2:14" ht="11.1" customHeight="1" x14ac:dyDescent="0.3">
      <c r="B783" s="19">
        <v>776</v>
      </c>
      <c r="C783" s="22">
        <v>197232567.24886248</v>
      </c>
      <c r="D783" s="23">
        <v>2.2240646886414108</v>
      </c>
      <c r="E783" s="22">
        <v>113708864.68121195</v>
      </c>
      <c r="F783" s="23">
        <v>1.8206423945205019</v>
      </c>
      <c r="G783" s="22">
        <v>83523702.567650527</v>
      </c>
      <c r="H783" s="23">
        <v>0.40342229412090891</v>
      </c>
      <c r="I783" s="23">
        <f t="shared" si="35"/>
        <v>207037894.99203482</v>
      </c>
      <c r="J783" s="4">
        <f t="shared" si="34"/>
        <v>12102668.823627267</v>
      </c>
      <c r="L783" s="22"/>
      <c r="M783" s="22"/>
      <c r="N783" s="19"/>
    </row>
    <row r="784" spans="2:14" ht="11.1" customHeight="1" x14ac:dyDescent="0.3">
      <c r="B784" s="19">
        <v>777</v>
      </c>
      <c r="C784" s="22">
        <v>200668173.03904748</v>
      </c>
      <c r="D784" s="23">
        <v>2.3674563354893086</v>
      </c>
      <c r="E784" s="22">
        <v>117591137.52100782</v>
      </c>
      <c r="F784" s="23">
        <v>1.8922830867356584</v>
      </c>
      <c r="G784" s="22">
        <v>83077035.518039659</v>
      </c>
      <c r="H784" s="23">
        <v>0.47517324875365019</v>
      </c>
      <c r="I784" s="23">
        <f t="shared" si="35"/>
        <v>174835253.74365148</v>
      </c>
      <c r="J784" s="4">
        <f t="shared" si="34"/>
        <v>14255197.462609505</v>
      </c>
      <c r="L784" s="22"/>
      <c r="M784" s="22"/>
      <c r="N784" s="19"/>
    </row>
    <row r="785" spans="2:14" ht="11.1" customHeight="1" x14ac:dyDescent="0.3">
      <c r="B785" s="19">
        <v>778</v>
      </c>
      <c r="C785" s="22">
        <v>199556917.10705769</v>
      </c>
      <c r="D785" s="23">
        <v>2.0067990716011774</v>
      </c>
      <c r="E785" s="22">
        <v>116282864.25128725</v>
      </c>
      <c r="F785" s="23">
        <v>1.5450901472651757</v>
      </c>
      <c r="G785" s="22">
        <v>83274052.855770439</v>
      </c>
      <c r="H785" s="23">
        <v>0.46170892433600175</v>
      </c>
      <c r="I785" s="23">
        <f t="shared" si="35"/>
        <v>180360500.88381875</v>
      </c>
      <c r="J785" s="4">
        <f t="shared" si="34"/>
        <v>13851267.730080053</v>
      </c>
      <c r="L785" s="22"/>
      <c r="M785" s="22"/>
      <c r="N785" s="19"/>
    </row>
    <row r="786" spans="2:14" ht="11.1" customHeight="1" x14ac:dyDescent="0.3">
      <c r="B786" s="19">
        <v>779</v>
      </c>
      <c r="C786" s="22">
        <v>201629969.17357874</v>
      </c>
      <c r="D786" s="23">
        <v>1.8374654403471158</v>
      </c>
      <c r="E786" s="22">
        <v>119014229.17125425</v>
      </c>
      <c r="F786" s="23">
        <v>1.3672140741195238</v>
      </c>
      <c r="G786" s="22">
        <v>82615740.002324492</v>
      </c>
      <c r="H786" s="23">
        <v>0.470251366227592</v>
      </c>
      <c r="I786" s="23">
        <f t="shared" si="35"/>
        <v>175684210.47891262</v>
      </c>
      <c r="J786" s="4">
        <f t="shared" si="34"/>
        <v>14107540.986827761</v>
      </c>
      <c r="L786" s="22"/>
      <c r="M786" s="22"/>
      <c r="N786" s="19"/>
    </row>
    <row r="787" spans="2:14" ht="11.1" customHeight="1" x14ac:dyDescent="0.3">
      <c r="B787" s="19">
        <v>780</v>
      </c>
      <c r="C787" s="22">
        <v>203361209.72555748</v>
      </c>
      <c r="D787" s="23">
        <v>1.9697999003271756</v>
      </c>
      <c r="E787" s="22">
        <v>120421780.82654385</v>
      </c>
      <c r="F787" s="23">
        <v>1.5320613545882813</v>
      </c>
      <c r="G787" s="22">
        <v>82939428.899013624</v>
      </c>
      <c r="H787" s="23">
        <v>0.43773854573889426</v>
      </c>
      <c r="I787" s="23">
        <f t="shared" si="35"/>
        <v>189472528.07954907</v>
      </c>
      <c r="J787" s="4">
        <f t="shared" si="34"/>
        <v>13132156.372166827</v>
      </c>
      <c r="L787" s="22"/>
      <c r="M787" s="22"/>
      <c r="N787" s="19"/>
    </row>
    <row r="788" spans="2:14" ht="11.1" customHeight="1" x14ac:dyDescent="0.3">
      <c r="B788" s="19">
        <v>781</v>
      </c>
      <c r="C788" s="22">
        <v>197990982.41623297</v>
      </c>
      <c r="D788" s="23">
        <v>2.2825918882505039</v>
      </c>
      <c r="E788" s="22">
        <v>115021086.94010963</v>
      </c>
      <c r="F788" s="23">
        <v>1.8214320929169772</v>
      </c>
      <c r="G788" s="22">
        <v>82969895.476123348</v>
      </c>
      <c r="H788" s="23">
        <v>0.46115979533352669</v>
      </c>
      <c r="I788" s="23">
        <f t="shared" si="35"/>
        <v>179915717.53586337</v>
      </c>
      <c r="J788" s="4">
        <f t="shared" si="34"/>
        <v>13834793.860005802</v>
      </c>
      <c r="L788" s="22"/>
      <c r="M788" s="22"/>
      <c r="N788" s="19"/>
    </row>
    <row r="789" spans="2:14" ht="11.1" customHeight="1" x14ac:dyDescent="0.3">
      <c r="B789" s="19">
        <v>782</v>
      </c>
      <c r="C789" s="22">
        <v>199790575.20250157</v>
      </c>
      <c r="D789" s="23">
        <v>2.1601563845623595</v>
      </c>
      <c r="E789" s="22">
        <v>116968454.01205039</v>
      </c>
      <c r="F789" s="23">
        <v>1.6661392006925035</v>
      </c>
      <c r="G789" s="22">
        <v>82822121.190451175</v>
      </c>
      <c r="H789" s="23">
        <v>0.49401718386985594</v>
      </c>
      <c r="I789" s="23">
        <f t="shared" si="35"/>
        <v>167650284.02791321</v>
      </c>
      <c r="J789" s="4">
        <f t="shared" si="34"/>
        <v>14820515.516095677</v>
      </c>
      <c r="L789" s="22"/>
      <c r="M789" s="22"/>
      <c r="N789" s="19"/>
    </row>
    <row r="790" spans="2:14" ht="11.1" customHeight="1" x14ac:dyDescent="0.3">
      <c r="B790" s="19">
        <v>783</v>
      </c>
      <c r="C790" s="22">
        <v>201548647.90733531</v>
      </c>
      <c r="D790" s="23">
        <v>2.1189753092804486</v>
      </c>
      <c r="E790" s="22">
        <v>118524513.60776728</v>
      </c>
      <c r="F790" s="23">
        <v>1.6460378097114081</v>
      </c>
      <c r="G790" s="22">
        <v>83024134.299568027</v>
      </c>
      <c r="H790" s="23">
        <v>0.47293749956904052</v>
      </c>
      <c r="I790" s="23">
        <f t="shared" si="35"/>
        <v>175549907.49353334</v>
      </c>
      <c r="J790" s="4">
        <f t="shared" si="34"/>
        <v>14188124.987071216</v>
      </c>
      <c r="L790" s="22"/>
      <c r="M790" s="22"/>
      <c r="N790" s="19"/>
    </row>
    <row r="791" spans="2:14" ht="11.1" customHeight="1" x14ac:dyDescent="0.3">
      <c r="B791" s="19">
        <v>784</v>
      </c>
      <c r="C791" s="22">
        <v>201337601.66839603</v>
      </c>
      <c r="D791" s="23">
        <v>1.8412377611042774</v>
      </c>
      <c r="E791" s="22">
        <v>118601664.22665985</v>
      </c>
      <c r="F791" s="23">
        <v>1.3949610878579259</v>
      </c>
      <c r="G791" s="22">
        <v>82735937.441736177</v>
      </c>
      <c r="H791" s="23">
        <v>0.44627667324635145</v>
      </c>
      <c r="I791" s="23">
        <f t="shared" si="35"/>
        <v>185391579.71195301</v>
      </c>
      <c r="J791" s="4">
        <f t="shared" si="34"/>
        <v>13388300.197390543</v>
      </c>
      <c r="L791" s="22"/>
      <c r="M791" s="22"/>
      <c r="N791" s="19"/>
    </row>
    <row r="792" spans="2:14" ht="11.1" customHeight="1" x14ac:dyDescent="0.3">
      <c r="B792" s="19">
        <v>785</v>
      </c>
      <c r="C792" s="22">
        <v>201349497.10708749</v>
      </c>
      <c r="D792" s="23">
        <v>1.9609701856365591</v>
      </c>
      <c r="E792" s="22">
        <v>118464102.17921956</v>
      </c>
      <c r="F792" s="23">
        <v>1.4736310018759948</v>
      </c>
      <c r="G792" s="22">
        <v>82885394.927867934</v>
      </c>
      <c r="H792" s="23">
        <v>0.48733918376056429</v>
      </c>
      <c r="I792" s="23">
        <f t="shared" si="35"/>
        <v>170077427.97999707</v>
      </c>
      <c r="J792" s="4">
        <f t="shared" si="34"/>
        <v>14620175.512816928</v>
      </c>
      <c r="L792" s="22"/>
      <c r="M792" s="22"/>
      <c r="N792" s="19"/>
    </row>
    <row r="793" spans="2:14" ht="11.1" customHeight="1" x14ac:dyDescent="0.3">
      <c r="B793" s="19">
        <v>786</v>
      </c>
      <c r="C793" s="22">
        <v>198936540.23358443</v>
      </c>
      <c r="D793" s="23">
        <v>2.0603464745159554</v>
      </c>
      <c r="E793" s="22">
        <v>115554234.11607602</v>
      </c>
      <c r="F793" s="23">
        <v>1.5931640505126805</v>
      </c>
      <c r="G793" s="22">
        <v>83382306.117508411</v>
      </c>
      <c r="H793" s="23">
        <v>0.46718242400327492</v>
      </c>
      <c r="I793" s="23">
        <f t="shared" si="35"/>
        <v>178479116.15126151</v>
      </c>
      <c r="J793" s="4">
        <f t="shared" si="34"/>
        <v>14015472.720098248</v>
      </c>
      <c r="L793" s="22"/>
      <c r="M793" s="22"/>
      <c r="N793" s="19"/>
    </row>
    <row r="794" spans="2:14" ht="11.1" customHeight="1" x14ac:dyDescent="0.3">
      <c r="B794" s="19">
        <v>787</v>
      </c>
      <c r="C794" s="22">
        <v>201276681.19372287</v>
      </c>
      <c r="D794" s="23">
        <v>2.0027699156693166</v>
      </c>
      <c r="E794" s="22">
        <v>118070101.45302916</v>
      </c>
      <c r="F794" s="23">
        <v>1.5599174381771514</v>
      </c>
      <c r="G794" s="22">
        <v>83206579.740693718</v>
      </c>
      <c r="H794" s="23">
        <v>0.44285247749216516</v>
      </c>
      <c r="I794" s="23">
        <f t="shared" si="35"/>
        <v>187887804.56165743</v>
      </c>
      <c r="J794" s="4">
        <f t="shared" si="34"/>
        <v>13285574.324764956</v>
      </c>
      <c r="L794" s="22"/>
      <c r="M794" s="22"/>
      <c r="N794" s="19"/>
    </row>
    <row r="795" spans="2:14" ht="11.1" customHeight="1" x14ac:dyDescent="0.3">
      <c r="B795" s="19">
        <v>788</v>
      </c>
      <c r="C795" s="22">
        <v>200104486.63743129</v>
      </c>
      <c r="D795" s="23">
        <v>1.8453287899187671</v>
      </c>
      <c r="E795" s="22">
        <v>116747577.01740919</v>
      </c>
      <c r="F795" s="23">
        <v>1.3900829009337861</v>
      </c>
      <c r="G795" s="22">
        <v>83356909.620022103</v>
      </c>
      <c r="H795" s="23">
        <v>0.45524588898498108</v>
      </c>
      <c r="I795" s="23">
        <f t="shared" si="35"/>
        <v>183103047.46710652</v>
      </c>
      <c r="J795" s="4">
        <f t="shared" si="34"/>
        <v>13657376.669549432</v>
      </c>
      <c r="L795" s="22"/>
      <c r="M795" s="22"/>
      <c r="N795" s="19"/>
    </row>
    <row r="796" spans="2:14" ht="11.1" customHeight="1" x14ac:dyDescent="0.3">
      <c r="B796" s="19">
        <v>789</v>
      </c>
      <c r="C796" s="22">
        <v>201990516.94489485</v>
      </c>
      <c r="D796" s="23">
        <v>2.0848038430686064</v>
      </c>
      <c r="E796" s="22">
        <v>118779098.70203447</v>
      </c>
      <c r="F796" s="23">
        <v>1.6721256691475745</v>
      </c>
      <c r="G796" s="22">
        <v>83211418.242860377</v>
      </c>
      <c r="H796" s="23">
        <v>0.4126781739210319</v>
      </c>
      <c r="I796" s="23">
        <f t="shared" si="35"/>
        <v>201637555.60957608</v>
      </c>
      <c r="J796" s="4">
        <f t="shared" si="34"/>
        <v>12380345.217630956</v>
      </c>
      <c r="L796" s="22"/>
      <c r="M796" s="22"/>
      <c r="N796" s="19"/>
    </row>
    <row r="797" spans="2:14" ht="11.1" customHeight="1" x14ac:dyDescent="0.3">
      <c r="B797" s="19">
        <v>790</v>
      </c>
      <c r="C797" s="22">
        <v>202205324.45604667</v>
      </c>
      <c r="D797" s="23">
        <v>1.6458123288016855</v>
      </c>
      <c r="E797" s="22">
        <v>118972161.85290828</v>
      </c>
      <c r="F797" s="23">
        <v>1.2154573271464182</v>
      </c>
      <c r="G797" s="22">
        <v>83233162.603138387</v>
      </c>
      <c r="H797" s="23">
        <v>0.4303550016552673</v>
      </c>
      <c r="I797" s="23">
        <f t="shared" si="35"/>
        <v>193405821.43346784</v>
      </c>
      <c r="J797" s="4">
        <f t="shared" si="34"/>
        <v>12910650.049658019</v>
      </c>
      <c r="L797" s="22"/>
      <c r="M797" s="22"/>
      <c r="N797" s="19"/>
    </row>
    <row r="798" spans="2:14" ht="11.1" customHeight="1" x14ac:dyDescent="0.3">
      <c r="B798" s="19">
        <v>791</v>
      </c>
      <c r="C798" s="22">
        <v>201543246.06232437</v>
      </c>
      <c r="D798" s="23">
        <v>1.8203935203954518</v>
      </c>
      <c r="E798" s="22">
        <v>118323399.6807353</v>
      </c>
      <c r="F798" s="23">
        <v>1.3653273558073986</v>
      </c>
      <c r="G798" s="22">
        <v>83219846.38158907</v>
      </c>
      <c r="H798" s="23">
        <v>0.45506616458805316</v>
      </c>
      <c r="I798" s="23">
        <f t="shared" si="35"/>
        <v>182874168.32434356</v>
      </c>
      <c r="J798" s="4">
        <f t="shared" si="34"/>
        <v>13651984.937641595</v>
      </c>
      <c r="L798" s="22"/>
      <c r="M798" s="22"/>
      <c r="N798" s="19"/>
    </row>
    <row r="799" spans="2:14" ht="11.1" customHeight="1" x14ac:dyDescent="0.3">
      <c r="B799" s="19">
        <v>792</v>
      </c>
      <c r="C799" s="22">
        <v>201640533.57362118</v>
      </c>
      <c r="D799" s="23">
        <v>2.1512759972418669</v>
      </c>
      <c r="E799" s="22">
        <v>118262630.06238057</v>
      </c>
      <c r="F799" s="23">
        <v>1.7169855676158678</v>
      </c>
      <c r="G799" s="22">
        <v>83377903.511240616</v>
      </c>
      <c r="H799" s="23">
        <v>0.43429042962599906</v>
      </c>
      <c r="I799" s="23">
        <f t="shared" si="35"/>
        <v>191986509.08113205</v>
      </c>
      <c r="J799" s="4">
        <f t="shared" si="34"/>
        <v>13028712.888779972</v>
      </c>
      <c r="L799" s="22"/>
      <c r="M799" s="22"/>
      <c r="N799" s="19"/>
    </row>
    <row r="800" spans="2:14" ht="11.1" customHeight="1" x14ac:dyDescent="0.3">
      <c r="B800" s="19">
        <v>793</v>
      </c>
      <c r="C800" s="22">
        <v>203149738.13933229</v>
      </c>
      <c r="D800" s="23">
        <v>2.0143366932736622</v>
      </c>
      <c r="E800" s="22">
        <v>119788470.23992932</v>
      </c>
      <c r="F800" s="23">
        <v>1.5764030228229879</v>
      </c>
      <c r="G800" s="22">
        <v>83361267.899402976</v>
      </c>
      <c r="H800" s="23">
        <v>0.43793367045067422</v>
      </c>
      <c r="I800" s="23">
        <f t="shared" si="35"/>
        <v>190351355.75124088</v>
      </c>
      <c r="J800" s="4">
        <f t="shared" si="34"/>
        <v>13138010.113520227</v>
      </c>
      <c r="L800" s="22"/>
      <c r="M800" s="22"/>
      <c r="N800" s="19"/>
    </row>
    <row r="801" spans="2:14" ht="11.1" customHeight="1" x14ac:dyDescent="0.3">
      <c r="B801" s="19">
        <v>794</v>
      </c>
      <c r="C801" s="22">
        <v>195374136.6013394</v>
      </c>
      <c r="D801" s="23">
        <v>1.9681216338980341</v>
      </c>
      <c r="E801" s="22">
        <v>111950893.6914871</v>
      </c>
      <c r="F801" s="23">
        <v>1.5087443667381133</v>
      </c>
      <c r="G801" s="22">
        <v>83423242.909852296</v>
      </c>
      <c r="H801" s="23">
        <v>0.45937726715992078</v>
      </c>
      <c r="I801" s="23">
        <f t="shared" si="35"/>
        <v>181600720.96212494</v>
      </c>
      <c r="J801" s="4">
        <f t="shared" si="34"/>
        <v>13781318.014797624</v>
      </c>
      <c r="L801" s="22"/>
      <c r="M801" s="22"/>
      <c r="N801" s="19"/>
    </row>
    <row r="802" spans="2:14" ht="11.1" customHeight="1" x14ac:dyDescent="0.3">
      <c r="B802" s="19">
        <v>795</v>
      </c>
      <c r="C802" s="22">
        <v>201137079.89343813</v>
      </c>
      <c r="D802" s="23">
        <v>1.922438004499694</v>
      </c>
      <c r="E802" s="22">
        <v>117964919.50835282</v>
      </c>
      <c r="F802" s="23">
        <v>1.4718575132597012</v>
      </c>
      <c r="G802" s="22">
        <v>83172160.385085315</v>
      </c>
      <c r="H802" s="23">
        <v>0.45058049123999289</v>
      </c>
      <c r="I802" s="23">
        <f t="shared" si="35"/>
        <v>184588906.98129514</v>
      </c>
      <c r="J802" s="4">
        <f t="shared" si="34"/>
        <v>13517414.737199787</v>
      </c>
      <c r="L802" s="22"/>
      <c r="M802" s="22"/>
      <c r="N802" s="19"/>
    </row>
    <row r="803" spans="2:14" ht="11.1" customHeight="1" x14ac:dyDescent="0.3">
      <c r="B803" s="19">
        <v>796</v>
      </c>
      <c r="C803" s="22">
        <v>202625264.19022065</v>
      </c>
      <c r="D803" s="23">
        <v>1.9182619480171157</v>
      </c>
      <c r="E803" s="22">
        <v>119488236.94057457</v>
      </c>
      <c r="F803" s="23">
        <v>1.4716493412434937</v>
      </c>
      <c r="G803" s="22">
        <v>83137027.249646083</v>
      </c>
      <c r="H803" s="23">
        <v>0.44661260677362202</v>
      </c>
      <c r="I803" s="23">
        <f t="shared" si="35"/>
        <v>186150202.63363588</v>
      </c>
      <c r="J803" s="4">
        <f t="shared" si="34"/>
        <v>13398378.203208661</v>
      </c>
      <c r="L803" s="22"/>
      <c r="M803" s="22"/>
      <c r="N803" s="19"/>
    </row>
    <row r="804" spans="2:14" ht="11.1" customHeight="1" x14ac:dyDescent="0.3">
      <c r="B804" s="19">
        <v>797</v>
      </c>
      <c r="C804" s="22">
        <v>201417018.61604196</v>
      </c>
      <c r="D804" s="23">
        <v>2.2839100625531361</v>
      </c>
      <c r="E804" s="22">
        <v>118178721.1408087</v>
      </c>
      <c r="F804" s="23">
        <v>1.8244315785406546</v>
      </c>
      <c r="G804" s="22">
        <v>83238297.475233257</v>
      </c>
      <c r="H804" s="23">
        <v>0.45947848401248148</v>
      </c>
      <c r="I804" s="23">
        <f t="shared" si="35"/>
        <v>181158205.16412285</v>
      </c>
      <c r="J804" s="4">
        <f t="shared" si="34"/>
        <v>13784354.520374445</v>
      </c>
      <c r="L804" s="22"/>
      <c r="M804" s="22"/>
      <c r="N804" s="19"/>
    </row>
    <row r="805" spans="2:14" ht="11.1" customHeight="1" x14ac:dyDescent="0.3">
      <c r="B805" s="19">
        <v>798</v>
      </c>
      <c r="C805" s="22">
        <v>200420711.13827032</v>
      </c>
      <c r="D805" s="23">
        <v>1.7976388367408722</v>
      </c>
      <c r="E805" s="22">
        <v>117195866.80823153</v>
      </c>
      <c r="F805" s="23">
        <v>1.4076970676792282</v>
      </c>
      <c r="G805" s="22">
        <v>83224844.330038786</v>
      </c>
      <c r="H805" s="23">
        <v>0.38994176906164402</v>
      </c>
      <c r="I805" s="23">
        <f t="shared" si="35"/>
        <v>213428903.83431116</v>
      </c>
      <c r="J805" s="4">
        <f t="shared" si="34"/>
        <v>11698253.07184932</v>
      </c>
      <c r="L805" s="22"/>
      <c r="M805" s="22"/>
      <c r="N805" s="19"/>
    </row>
    <row r="806" spans="2:14" ht="11.1" customHeight="1" x14ac:dyDescent="0.3">
      <c r="B806" s="19">
        <v>799</v>
      </c>
      <c r="C806" s="22">
        <v>199068993.07371053</v>
      </c>
      <c r="D806" s="23">
        <v>2.0480216916569787</v>
      </c>
      <c r="E806" s="22">
        <v>116039979.19676141</v>
      </c>
      <c r="F806" s="23">
        <v>1.6109018658801544</v>
      </c>
      <c r="G806" s="22">
        <v>83029013.876949117</v>
      </c>
      <c r="H806" s="23">
        <v>0.43711982577682429</v>
      </c>
      <c r="I806" s="23">
        <f t="shared" si="35"/>
        <v>189945660.16170672</v>
      </c>
      <c r="J806" s="4">
        <f t="shared" si="34"/>
        <v>13113594.773304729</v>
      </c>
      <c r="L806" s="22"/>
      <c r="M806" s="22"/>
      <c r="N806" s="19"/>
    </row>
    <row r="807" spans="2:14" ht="11.1" customHeight="1" x14ac:dyDescent="0.3">
      <c r="B807" s="19">
        <v>800</v>
      </c>
      <c r="C807" s="22">
        <v>206346337.89596725</v>
      </c>
      <c r="D807" s="23">
        <v>1.7995928213154333</v>
      </c>
      <c r="E807" s="22">
        <v>123443264.02649263</v>
      </c>
      <c r="F807" s="23">
        <v>1.3724709141672793</v>
      </c>
      <c r="G807" s="22">
        <v>82903073.86947462</v>
      </c>
      <c r="H807" s="23">
        <v>0.42712190714815401</v>
      </c>
      <c r="I807" s="23">
        <f t="shared" si="35"/>
        <v>194096983.74641874</v>
      </c>
      <c r="J807" s="4">
        <f t="shared" si="34"/>
        <v>12813657.214444621</v>
      </c>
      <c r="L807" s="22"/>
      <c r="M807" s="22"/>
      <c r="N807" s="19"/>
    </row>
    <row r="808" spans="2:14" ht="11.1" customHeight="1" x14ac:dyDescent="0.3">
      <c r="B808" s="19">
        <v>801</v>
      </c>
      <c r="C808" s="22">
        <v>202200353.64419585</v>
      </c>
      <c r="D808" s="23">
        <v>1.8521708109254476</v>
      </c>
      <c r="E808" s="22">
        <v>119414622.02996024</v>
      </c>
      <c r="F808" s="23">
        <v>1.3990323725920506</v>
      </c>
      <c r="G808" s="22">
        <v>82785731.61423561</v>
      </c>
      <c r="H808" s="23">
        <v>0.45313843833339695</v>
      </c>
      <c r="I808" s="23">
        <f t="shared" si="35"/>
        <v>182694127.46955258</v>
      </c>
      <c r="J808" s="4">
        <f t="shared" si="34"/>
        <v>13594153.150001908</v>
      </c>
      <c r="L808" s="22"/>
      <c r="M808" s="22"/>
      <c r="N808" s="19"/>
    </row>
    <row r="809" spans="2:14" ht="11.1" customHeight="1" x14ac:dyDescent="0.3">
      <c r="B809" s="19">
        <v>802</v>
      </c>
      <c r="C809" s="22">
        <v>202417062.66677889</v>
      </c>
      <c r="D809" s="23">
        <v>1.9522045720879648</v>
      </c>
      <c r="E809" s="22">
        <v>119181089.5467339</v>
      </c>
      <c r="F809" s="23">
        <v>1.4923245887237839</v>
      </c>
      <c r="G809" s="22">
        <v>83235973.120044991</v>
      </c>
      <c r="H809" s="23">
        <v>0.4598799833641809</v>
      </c>
      <c r="I809" s="23">
        <f t="shared" si="35"/>
        <v>180994990.28234521</v>
      </c>
      <c r="J809" s="4">
        <f t="shared" si="34"/>
        <v>13796399.500925427</v>
      </c>
      <c r="L809" s="22"/>
      <c r="M809" s="22"/>
      <c r="N809" s="19"/>
    </row>
    <row r="810" spans="2:14" ht="11.1" customHeight="1" x14ac:dyDescent="0.3">
      <c r="B810" s="19">
        <v>803</v>
      </c>
      <c r="C810" s="22">
        <v>203376160.47756401</v>
      </c>
      <c r="D810" s="23">
        <v>1.9129036922562712</v>
      </c>
      <c r="E810" s="22">
        <v>120526637.37140016</v>
      </c>
      <c r="F810" s="23">
        <v>1.4585606467128043</v>
      </c>
      <c r="G810" s="22">
        <v>82849523.106163844</v>
      </c>
      <c r="H810" s="23">
        <v>0.45434304554346694</v>
      </c>
      <c r="I810" s="23">
        <f t="shared" si="35"/>
        <v>182350151.32027072</v>
      </c>
      <c r="J810" s="4">
        <f t="shared" si="34"/>
        <v>13630291.366304008</v>
      </c>
      <c r="L810" s="22"/>
      <c r="M810" s="22"/>
      <c r="N810" s="19"/>
    </row>
    <row r="811" spans="2:14" ht="11.1" customHeight="1" x14ac:dyDescent="0.3">
      <c r="B811" s="19">
        <v>804</v>
      </c>
      <c r="C811" s="22">
        <v>199352424.82656872</v>
      </c>
      <c r="D811" s="23">
        <v>2.3004798390323113</v>
      </c>
      <c r="E811" s="22">
        <v>116233184.10366592</v>
      </c>
      <c r="F811" s="23">
        <v>1.8685843004336897</v>
      </c>
      <c r="G811" s="22">
        <v>83119240.722902805</v>
      </c>
      <c r="H811" s="23">
        <v>0.43189553859862162</v>
      </c>
      <c r="I811" s="23">
        <f t="shared" si="35"/>
        <v>192452186.45369929</v>
      </c>
      <c r="J811" s="4">
        <f t="shared" si="34"/>
        <v>12956866.157958649</v>
      </c>
      <c r="L811" s="22"/>
      <c r="M811" s="22"/>
      <c r="N811" s="19"/>
    </row>
    <row r="812" spans="2:14" ht="11.1" customHeight="1" x14ac:dyDescent="0.3">
      <c r="B812" s="19">
        <v>805</v>
      </c>
      <c r="C812" s="22">
        <v>201708660.60477564</v>
      </c>
      <c r="D812" s="23">
        <v>2.0393214907723434</v>
      </c>
      <c r="E812" s="22">
        <v>118929597.75983806</v>
      </c>
      <c r="F812" s="23">
        <v>1.5697903276549305</v>
      </c>
      <c r="G812" s="22">
        <v>82779062.844937578</v>
      </c>
      <c r="H812" s="23">
        <v>0.46953116311741283</v>
      </c>
      <c r="I812" s="23">
        <f t="shared" si="35"/>
        <v>176301530.86183444</v>
      </c>
      <c r="J812" s="4">
        <f t="shared" si="34"/>
        <v>14085934.893522386</v>
      </c>
      <c r="L812" s="22"/>
      <c r="M812" s="22"/>
      <c r="N812" s="19"/>
    </row>
    <row r="813" spans="2:14" ht="11.1" customHeight="1" x14ac:dyDescent="0.3">
      <c r="B813" s="19">
        <v>806</v>
      </c>
      <c r="C813" s="22">
        <v>201427157.15869355</v>
      </c>
      <c r="D813" s="23">
        <v>1.741800508847245</v>
      </c>
      <c r="E813" s="22">
        <v>118581508.53260896</v>
      </c>
      <c r="F813" s="23">
        <v>1.2768960162288325</v>
      </c>
      <c r="G813" s="22">
        <v>82845648.626084596</v>
      </c>
      <c r="H813" s="23">
        <v>0.46490449261841249</v>
      </c>
      <c r="I813" s="23">
        <f t="shared" si="35"/>
        <v>178199285.96405977</v>
      </c>
      <c r="J813" s="4">
        <f t="shared" si="34"/>
        <v>13947134.778552374</v>
      </c>
      <c r="L813" s="22"/>
      <c r="M813" s="22"/>
      <c r="N813" s="19"/>
    </row>
    <row r="814" spans="2:14" ht="11.1" customHeight="1" x14ac:dyDescent="0.3">
      <c r="B814" s="19">
        <v>807</v>
      </c>
      <c r="C814" s="22">
        <v>199224782.22241074</v>
      </c>
      <c r="D814" s="23">
        <v>2.1953740972437523</v>
      </c>
      <c r="E814" s="22">
        <v>116316936.37725201</v>
      </c>
      <c r="F814" s="23">
        <v>1.7014185250853686</v>
      </c>
      <c r="G814" s="22">
        <v>82907845.845158726</v>
      </c>
      <c r="H814" s="23">
        <v>0.4939555721583837</v>
      </c>
      <c r="I814" s="23">
        <f t="shared" si="35"/>
        <v>167844742.56031847</v>
      </c>
      <c r="J814" s="4">
        <f t="shared" si="34"/>
        <v>14818667.164751511</v>
      </c>
      <c r="L814" s="22"/>
      <c r="M814" s="22"/>
      <c r="N814" s="19"/>
    </row>
    <row r="815" spans="2:14" ht="11.1" customHeight="1" x14ac:dyDescent="0.3">
      <c r="B815" s="19">
        <v>808</v>
      </c>
      <c r="C815" s="22">
        <v>200918966.96864891</v>
      </c>
      <c r="D815" s="23">
        <v>2.0816634979443549</v>
      </c>
      <c r="E815" s="22">
        <v>117540407.64650944</v>
      </c>
      <c r="F815" s="23">
        <v>1.5915902494127203</v>
      </c>
      <c r="G815" s="22">
        <v>83378559.322139472</v>
      </c>
      <c r="H815" s="23">
        <v>0.49007324853163459</v>
      </c>
      <c r="I815" s="23">
        <f t="shared" si="35"/>
        <v>170134892.22674295</v>
      </c>
      <c r="J815" s="4">
        <f t="shared" si="34"/>
        <v>14702197.455949038</v>
      </c>
      <c r="L815" s="22"/>
      <c r="M815" s="22"/>
      <c r="N815" s="19"/>
    </row>
    <row r="816" spans="2:14" ht="11.1" customHeight="1" x14ac:dyDescent="0.3">
      <c r="B816" s="19">
        <v>809</v>
      </c>
      <c r="C816" s="22">
        <v>201418564.89176255</v>
      </c>
      <c r="D816" s="23">
        <v>1.7832694168065391</v>
      </c>
      <c r="E816" s="22">
        <v>118627453.50133705</v>
      </c>
      <c r="F816" s="23">
        <v>1.3381942112479253</v>
      </c>
      <c r="G816" s="22">
        <v>82791111.390425503</v>
      </c>
      <c r="H816" s="23">
        <v>0.4450752055586138</v>
      </c>
      <c r="I816" s="23">
        <f t="shared" si="35"/>
        <v>186016004.38854912</v>
      </c>
      <c r="J816" s="4">
        <f t="shared" si="34"/>
        <v>13352256.166758414</v>
      </c>
      <c r="L816" s="22"/>
      <c r="M816" s="22"/>
      <c r="N816" s="19"/>
    </row>
    <row r="817" spans="2:14" ht="11.1" customHeight="1" x14ac:dyDescent="0.3">
      <c r="B817" s="19">
        <v>810</v>
      </c>
      <c r="C817" s="22">
        <v>198758144.50455683</v>
      </c>
      <c r="D817" s="23">
        <v>2.1973852361596231</v>
      </c>
      <c r="E817" s="22">
        <v>115340608.63202199</v>
      </c>
      <c r="F817" s="23">
        <v>1.7481423555385109</v>
      </c>
      <c r="G817" s="22">
        <v>83417535.872534841</v>
      </c>
      <c r="H817" s="23">
        <v>0.44924288062111217</v>
      </c>
      <c r="I817" s="23">
        <f t="shared" si="35"/>
        <v>185684714.1510708</v>
      </c>
      <c r="J817" s="4">
        <f t="shared" si="34"/>
        <v>13477286.418633366</v>
      </c>
      <c r="L817" s="22"/>
      <c r="M817" s="22"/>
      <c r="N817" s="19"/>
    </row>
    <row r="818" spans="2:14" ht="11.1" customHeight="1" x14ac:dyDescent="0.3">
      <c r="B818" s="19">
        <v>811</v>
      </c>
      <c r="C818" s="22">
        <v>203112053.30506125</v>
      </c>
      <c r="D818" s="23">
        <v>1.8857660210623035</v>
      </c>
      <c r="E818" s="22">
        <v>120058757.64187428</v>
      </c>
      <c r="F818" s="23">
        <v>1.4607357169749589</v>
      </c>
      <c r="G818" s="22">
        <v>83053295.663186967</v>
      </c>
      <c r="H818" s="23">
        <v>0.42503030408734466</v>
      </c>
      <c r="I818" s="23">
        <f t="shared" si="35"/>
        <v>195405586.05938679</v>
      </c>
      <c r="J818" s="4">
        <f t="shared" si="34"/>
        <v>12750909.12262034</v>
      </c>
      <c r="L818" s="22"/>
      <c r="M818" s="22"/>
      <c r="N818" s="19"/>
    </row>
    <row r="819" spans="2:14" ht="11.1" customHeight="1" x14ac:dyDescent="0.3">
      <c r="B819" s="19">
        <v>812</v>
      </c>
      <c r="C819" s="22">
        <v>201222363.95501643</v>
      </c>
      <c r="D819" s="23">
        <v>1.8261982952834741</v>
      </c>
      <c r="E819" s="22">
        <v>117782213.78856167</v>
      </c>
      <c r="F819" s="23">
        <v>1.3706171088917876</v>
      </c>
      <c r="G819" s="22">
        <v>83440150.166454762</v>
      </c>
      <c r="H819" s="23">
        <v>0.45558118639168654</v>
      </c>
      <c r="I819" s="23">
        <f t="shared" si="35"/>
        <v>183151000.65329954</v>
      </c>
      <c r="J819" s="4">
        <f t="shared" si="34"/>
        <v>13667435.591750596</v>
      </c>
      <c r="L819" s="22"/>
      <c r="M819" s="22"/>
      <c r="N819" s="19"/>
    </row>
    <row r="820" spans="2:14" ht="11.1" customHeight="1" x14ac:dyDescent="0.3">
      <c r="B820" s="19">
        <v>813</v>
      </c>
      <c r="C820" s="22">
        <v>203291439.35672143</v>
      </c>
      <c r="D820" s="23">
        <v>1.9988669654081233</v>
      </c>
      <c r="E820" s="22">
        <v>120666548.82260312</v>
      </c>
      <c r="F820" s="23">
        <v>1.5185784674540317</v>
      </c>
      <c r="G820" s="22">
        <v>82624890.53411831</v>
      </c>
      <c r="H820" s="23">
        <v>0.48028849795409156</v>
      </c>
      <c r="I820" s="23">
        <f t="shared" si="35"/>
        <v>172031791.07157385</v>
      </c>
      <c r="J820" s="4">
        <f t="shared" si="34"/>
        <v>14408654.938622747</v>
      </c>
      <c r="L820" s="22"/>
      <c r="M820" s="22"/>
      <c r="N820" s="19"/>
    </row>
    <row r="821" spans="2:14" ht="11.1" customHeight="1" x14ac:dyDescent="0.3">
      <c r="B821" s="19">
        <v>814</v>
      </c>
      <c r="C821" s="22">
        <v>199789764.6508989</v>
      </c>
      <c r="D821" s="23">
        <v>2.1968440994252236</v>
      </c>
      <c r="E821" s="22">
        <v>116874170.46804363</v>
      </c>
      <c r="F821" s="23">
        <v>1.7409893168647408</v>
      </c>
      <c r="G821" s="22">
        <v>82915594.182855278</v>
      </c>
      <c r="H821" s="23">
        <v>0.45585478256048284</v>
      </c>
      <c r="I821" s="23">
        <f t="shared" si="35"/>
        <v>181890368.0622327</v>
      </c>
      <c r="J821" s="4">
        <f t="shared" si="34"/>
        <v>13675643.476814486</v>
      </c>
      <c r="L821" s="22"/>
      <c r="M821" s="22"/>
      <c r="N821" s="19"/>
    </row>
    <row r="822" spans="2:14" ht="11.1" customHeight="1" x14ac:dyDescent="0.3">
      <c r="B822" s="19">
        <v>815</v>
      </c>
      <c r="C822" s="22">
        <v>200810244.98309869</v>
      </c>
      <c r="D822" s="23">
        <v>2.3065219959757162</v>
      </c>
      <c r="E822" s="22">
        <v>117894418.48725717</v>
      </c>
      <c r="F822" s="23">
        <v>1.8197520456164991</v>
      </c>
      <c r="G822" s="22">
        <v>82915826.495841518</v>
      </c>
      <c r="H822" s="23">
        <v>0.48676995035921711</v>
      </c>
      <c r="I822" s="23">
        <f t="shared" si="35"/>
        <v>170338835.49026167</v>
      </c>
      <c r="J822" s="4">
        <f t="shared" si="34"/>
        <v>14603098.510776512</v>
      </c>
      <c r="L822" s="22"/>
      <c r="M822" s="22"/>
      <c r="N822" s="19"/>
    </row>
    <row r="823" spans="2:14" ht="11.1" customHeight="1" x14ac:dyDescent="0.3">
      <c r="B823" s="19">
        <v>816</v>
      </c>
      <c r="C823" s="22">
        <v>204249536.11487147</v>
      </c>
      <c r="D823" s="23">
        <v>1.6204966386058743</v>
      </c>
      <c r="E823" s="22">
        <v>121272710.34419422</v>
      </c>
      <c r="F823" s="23">
        <v>1.1890734920465469</v>
      </c>
      <c r="G823" s="22">
        <v>82976825.770677254</v>
      </c>
      <c r="H823" s="23">
        <v>0.43142314655932745</v>
      </c>
      <c r="I823" s="23">
        <f t="shared" si="35"/>
        <v>192332809.29044133</v>
      </c>
      <c r="J823" s="4">
        <f t="shared" si="34"/>
        <v>12942694.396779824</v>
      </c>
      <c r="L823" s="22"/>
      <c r="M823" s="22"/>
      <c r="N823" s="19"/>
    </row>
    <row r="824" spans="2:14" ht="11.1" customHeight="1" x14ac:dyDescent="0.3">
      <c r="B824" s="19">
        <v>817</v>
      </c>
      <c r="C824" s="22">
        <v>202549701.50508761</v>
      </c>
      <c r="D824" s="23">
        <v>1.8839823450317581</v>
      </c>
      <c r="E824" s="22">
        <v>119218532.72245583</v>
      </c>
      <c r="F824" s="23">
        <v>1.4118960105758482</v>
      </c>
      <c r="G824" s="22">
        <v>83331168.782631785</v>
      </c>
      <c r="H824" s="23">
        <v>0.47208633445590986</v>
      </c>
      <c r="I824" s="23">
        <f t="shared" si="35"/>
        <v>176516799.36610076</v>
      </c>
      <c r="J824" s="4">
        <f t="shared" si="34"/>
        <v>14162590.033677297</v>
      </c>
      <c r="L824" s="22"/>
      <c r="M824" s="22"/>
      <c r="N824" s="19"/>
    </row>
    <row r="825" spans="2:14" ht="11.1" customHeight="1" x14ac:dyDescent="0.3">
      <c r="B825" s="19">
        <v>818</v>
      </c>
      <c r="C825" s="22">
        <v>202743474.82307407</v>
      </c>
      <c r="D825" s="23">
        <v>2.246722623254743</v>
      </c>
      <c r="E825" s="22">
        <v>119720330.34001583</v>
      </c>
      <c r="F825" s="23">
        <v>1.7688012674388645</v>
      </c>
      <c r="G825" s="22">
        <v>83023144.483058244</v>
      </c>
      <c r="H825" s="23">
        <v>0.47792135581587858</v>
      </c>
      <c r="I825" s="23">
        <f t="shared" si="35"/>
        <v>173717168.05022475</v>
      </c>
      <c r="J825" s="4">
        <f t="shared" si="34"/>
        <v>14337640.674476357</v>
      </c>
      <c r="L825" s="22"/>
      <c r="M825" s="22"/>
      <c r="N825" s="19"/>
    </row>
    <row r="826" spans="2:14" ht="11.1" customHeight="1" x14ac:dyDescent="0.3">
      <c r="B826" s="19">
        <v>819</v>
      </c>
      <c r="C826" s="22">
        <v>203898488.86685205</v>
      </c>
      <c r="D826" s="23">
        <v>2.1649421647938256</v>
      </c>
      <c r="E826" s="22">
        <v>121094436.47571056</v>
      </c>
      <c r="F826" s="23">
        <v>1.6746978126563408</v>
      </c>
      <c r="G826" s="22">
        <v>82804052.391141489</v>
      </c>
      <c r="H826" s="23">
        <v>0.49024435213748485</v>
      </c>
      <c r="I826" s="23">
        <f t="shared" si="35"/>
        <v>168903633.52502182</v>
      </c>
      <c r="J826" s="4">
        <f t="shared" si="34"/>
        <v>14707330.564124545</v>
      </c>
      <c r="L826" s="22"/>
      <c r="M826" s="22"/>
      <c r="N826" s="19"/>
    </row>
    <row r="827" spans="2:14" ht="11.1" customHeight="1" x14ac:dyDescent="0.3">
      <c r="B827" s="19">
        <v>820</v>
      </c>
      <c r="C827" s="22">
        <v>201910006.35640457</v>
      </c>
      <c r="D827" s="23">
        <v>2.0788744524175709</v>
      </c>
      <c r="E827" s="22">
        <v>118507050.76063244</v>
      </c>
      <c r="F827" s="23">
        <v>1.6043056553060684</v>
      </c>
      <c r="G827" s="22">
        <v>83402955.595772132</v>
      </c>
      <c r="H827" s="23">
        <v>0.47456879711150246</v>
      </c>
      <c r="I827" s="23">
        <f t="shared" si="35"/>
        <v>175744709.94176248</v>
      </c>
      <c r="J827" s="4">
        <f t="shared" si="34"/>
        <v>14237063.913345074</v>
      </c>
      <c r="L827" s="22"/>
      <c r="M827" s="22"/>
      <c r="N827" s="19"/>
    </row>
    <row r="828" spans="2:14" ht="11.1" customHeight="1" x14ac:dyDescent="0.3">
      <c r="B828" s="19">
        <v>821</v>
      </c>
      <c r="C828" s="22">
        <v>201039429.33590323</v>
      </c>
      <c r="D828" s="23">
        <v>2.1699736507294691</v>
      </c>
      <c r="E828" s="22">
        <v>118270752.39606756</v>
      </c>
      <c r="F828" s="23">
        <v>1.674064270885961</v>
      </c>
      <c r="G828" s="22">
        <v>82768676.939835668</v>
      </c>
      <c r="H828" s="23">
        <v>0.49590937984350814</v>
      </c>
      <c r="I828" s="23">
        <f t="shared" si="35"/>
        <v>166902826.0081602</v>
      </c>
      <c r="J828" s="4">
        <f t="shared" si="34"/>
        <v>14877281.395305244</v>
      </c>
      <c r="L828" s="22"/>
      <c r="M828" s="22"/>
      <c r="N828" s="19"/>
    </row>
    <row r="829" spans="2:14" ht="11.1" customHeight="1" x14ac:dyDescent="0.3">
      <c r="B829" s="19">
        <v>822</v>
      </c>
      <c r="C829" s="22">
        <v>203002081.10926086</v>
      </c>
      <c r="D829" s="23">
        <v>1.8135506658552214</v>
      </c>
      <c r="E829" s="22">
        <v>120126966.42911947</v>
      </c>
      <c r="F829" s="23">
        <v>1.3589237275252033</v>
      </c>
      <c r="G829" s="22">
        <v>82875114.680141389</v>
      </c>
      <c r="H829" s="23">
        <v>0.4546269383300181</v>
      </c>
      <c r="I829" s="23">
        <f t="shared" si="35"/>
        <v>182292573.74093732</v>
      </c>
      <c r="J829" s="4">
        <f t="shared" si="34"/>
        <v>13638808.149900543</v>
      </c>
      <c r="L829" s="22"/>
      <c r="M829" s="22"/>
      <c r="N829" s="19"/>
    </row>
    <row r="830" spans="2:14" ht="11.1" customHeight="1" x14ac:dyDescent="0.3">
      <c r="B830" s="19">
        <v>823</v>
      </c>
      <c r="C830" s="22">
        <v>201820008.59244332</v>
      </c>
      <c r="D830" s="23">
        <v>2.1718078773956351</v>
      </c>
      <c r="E830" s="22">
        <v>118363755.04715165</v>
      </c>
      <c r="F830" s="23">
        <v>1.7070937617805411</v>
      </c>
      <c r="G830" s="22">
        <v>83456253.545291662</v>
      </c>
      <c r="H830" s="23">
        <v>0.46471411561509401</v>
      </c>
      <c r="I830" s="23">
        <f t="shared" si="35"/>
        <v>179586224.60785219</v>
      </c>
      <c r="J830" s="4">
        <f t="shared" si="34"/>
        <v>13941423.468452821</v>
      </c>
      <c r="L830" s="22"/>
      <c r="M830" s="22"/>
      <c r="N830" s="19"/>
    </row>
    <row r="831" spans="2:14" ht="11.1" customHeight="1" x14ac:dyDescent="0.3">
      <c r="B831" s="19">
        <v>824</v>
      </c>
      <c r="C831" s="22">
        <v>204931571.40593025</v>
      </c>
      <c r="D831" s="23">
        <v>1.7434391783177579</v>
      </c>
      <c r="E831" s="22">
        <v>122229092.50125255</v>
      </c>
      <c r="F831" s="23">
        <v>1.3310190102637325</v>
      </c>
      <c r="G831" s="22">
        <v>82702478.904677704</v>
      </c>
      <c r="H831" s="23">
        <v>0.41242016805402537</v>
      </c>
      <c r="I831" s="23">
        <f t="shared" si="35"/>
        <v>200529666.85626298</v>
      </c>
      <c r="J831" s="4">
        <f t="shared" si="34"/>
        <v>12372605.041620761</v>
      </c>
      <c r="L831" s="22"/>
      <c r="M831" s="22"/>
      <c r="N831" s="19"/>
    </row>
    <row r="832" spans="2:14" ht="11.1" customHeight="1" x14ac:dyDescent="0.3">
      <c r="B832" s="19">
        <v>825</v>
      </c>
      <c r="C832" s="22">
        <v>202190908.91159692</v>
      </c>
      <c r="D832" s="23">
        <v>1.9115783726270175</v>
      </c>
      <c r="E832" s="22">
        <v>119512873.2318441</v>
      </c>
      <c r="F832" s="23">
        <v>1.4846471624878523</v>
      </c>
      <c r="G832" s="22">
        <v>82678035.679752827</v>
      </c>
      <c r="H832" s="23">
        <v>0.42693121013916513</v>
      </c>
      <c r="I832" s="23">
        <f t="shared" si="35"/>
        <v>193656574.44627342</v>
      </c>
      <c r="J832" s="4">
        <f t="shared" si="34"/>
        <v>12807936.304174954</v>
      </c>
      <c r="L832" s="22"/>
      <c r="M832" s="22"/>
      <c r="N832" s="19"/>
    </row>
    <row r="833" spans="2:14" ht="11.1" customHeight="1" x14ac:dyDescent="0.3">
      <c r="B833" s="19">
        <v>826</v>
      </c>
      <c r="C833" s="22">
        <v>203273164.40701735</v>
      </c>
      <c r="D833" s="23">
        <v>2.1288809005372697</v>
      </c>
      <c r="E833" s="22">
        <v>119978113.92390496</v>
      </c>
      <c r="F833" s="23">
        <v>1.6486063220570286</v>
      </c>
      <c r="G833" s="22">
        <v>83295050.483112395</v>
      </c>
      <c r="H833" s="23">
        <v>0.48027457848024113</v>
      </c>
      <c r="I833" s="23">
        <f t="shared" si="35"/>
        <v>173432145.30880946</v>
      </c>
      <c r="J833" s="4">
        <f t="shared" si="34"/>
        <v>14408237.354407234</v>
      </c>
      <c r="L833" s="22"/>
      <c r="M833" s="22"/>
      <c r="N833" s="19"/>
    </row>
    <row r="834" spans="2:14" ht="11.1" customHeight="1" x14ac:dyDescent="0.3">
      <c r="B834" s="19">
        <v>827</v>
      </c>
      <c r="C834" s="22">
        <v>201090677.4820689</v>
      </c>
      <c r="D834" s="23">
        <v>1.8080790416417707</v>
      </c>
      <c r="E834" s="22">
        <v>118288541.97002317</v>
      </c>
      <c r="F834" s="23">
        <v>1.3592807404482057</v>
      </c>
      <c r="G834" s="22">
        <v>82802135.512045726</v>
      </c>
      <c r="H834" s="23">
        <v>0.44879830119356501</v>
      </c>
      <c r="I834" s="23">
        <f t="shared" si="35"/>
        <v>184497435.2439304</v>
      </c>
      <c r="J834" s="4">
        <f t="shared" si="34"/>
        <v>13463949.03580695</v>
      </c>
      <c r="L834" s="22"/>
      <c r="M834" s="22"/>
      <c r="N834" s="19"/>
    </row>
    <row r="835" spans="2:14" ht="11.1" customHeight="1" x14ac:dyDescent="0.3">
      <c r="B835" s="19">
        <v>828</v>
      </c>
      <c r="C835" s="22">
        <v>202664995.72777632</v>
      </c>
      <c r="D835" s="23">
        <v>1.9646752051878154</v>
      </c>
      <c r="E835" s="22">
        <v>120098932.45859417</v>
      </c>
      <c r="F835" s="23">
        <v>1.5283627615794484</v>
      </c>
      <c r="G835" s="22">
        <v>82566063.269182146</v>
      </c>
      <c r="H835" s="23">
        <v>0.43631244360836696</v>
      </c>
      <c r="I835" s="23">
        <f t="shared" si="35"/>
        <v>189236095.55196014</v>
      </c>
      <c r="J835" s="4">
        <f t="shared" si="34"/>
        <v>13089373.308251008</v>
      </c>
      <c r="L835" s="22"/>
      <c r="M835" s="22"/>
      <c r="N835" s="19"/>
    </row>
    <row r="836" spans="2:14" ht="11.1" customHeight="1" x14ac:dyDescent="0.3">
      <c r="B836" s="19">
        <v>829</v>
      </c>
      <c r="C836" s="22">
        <v>202313307.95466658</v>
      </c>
      <c r="D836" s="23">
        <v>2.2385343865390492</v>
      </c>
      <c r="E836" s="22">
        <v>118998460.75273716</v>
      </c>
      <c r="F836" s="23">
        <v>1.7823867675055012</v>
      </c>
      <c r="G836" s="22">
        <v>83314847.20192942</v>
      </c>
      <c r="H836" s="23">
        <v>0.45614761903354806</v>
      </c>
      <c r="I836" s="23">
        <f t="shared" si="35"/>
        <v>182648870.07072574</v>
      </c>
      <c r="J836" s="4">
        <f t="shared" si="34"/>
        <v>13684428.571006441</v>
      </c>
      <c r="L836" s="22"/>
      <c r="M836" s="22"/>
      <c r="N836" s="19"/>
    </row>
    <row r="837" spans="2:14" ht="11.1" customHeight="1" x14ac:dyDescent="0.3">
      <c r="B837" s="19">
        <v>830</v>
      </c>
      <c r="C837" s="22">
        <v>202394790.93129924</v>
      </c>
      <c r="D837" s="23">
        <v>2.0707073355397099</v>
      </c>
      <c r="E837" s="22">
        <v>119593980.6065309</v>
      </c>
      <c r="F837" s="23">
        <v>1.6290455313218457</v>
      </c>
      <c r="G837" s="22">
        <v>82800810.324768335</v>
      </c>
      <c r="H837" s="23">
        <v>0.44166180421786416</v>
      </c>
      <c r="I837" s="23">
        <f t="shared" si="35"/>
        <v>187475596.78926665</v>
      </c>
      <c r="J837" s="4">
        <f t="shared" si="34"/>
        <v>13249854.126535924</v>
      </c>
      <c r="L837" s="22"/>
      <c r="M837" s="22"/>
      <c r="N837" s="19"/>
    </row>
    <row r="838" spans="2:14" ht="11.1" customHeight="1" x14ac:dyDescent="0.3">
      <c r="B838" s="19">
        <v>831</v>
      </c>
      <c r="C838" s="22">
        <v>203415108.08227915</v>
      </c>
      <c r="D838" s="23">
        <v>1.8051738478877999</v>
      </c>
      <c r="E838" s="22">
        <v>120104102.98454139</v>
      </c>
      <c r="F838" s="23">
        <v>1.3575092378221896</v>
      </c>
      <c r="G838" s="22">
        <v>83311005.097737759</v>
      </c>
      <c r="H838" s="23">
        <v>0.44766461006561031</v>
      </c>
      <c r="I838" s="23">
        <f t="shared" si="35"/>
        <v>186101387.5667491</v>
      </c>
      <c r="J838" s="4">
        <f t="shared" si="34"/>
        <v>13429938.30196831</v>
      </c>
      <c r="L838" s="22"/>
      <c r="M838" s="22"/>
      <c r="N838" s="19"/>
    </row>
    <row r="839" spans="2:14" ht="11.1" customHeight="1" x14ac:dyDescent="0.3">
      <c r="B839" s="19">
        <v>832</v>
      </c>
      <c r="C839" s="22">
        <v>202072769.58962297</v>
      </c>
      <c r="D839" s="23">
        <v>1.994620489526457</v>
      </c>
      <c r="E839" s="22">
        <v>119218683.38794786</v>
      </c>
      <c r="F839" s="23">
        <v>1.527633990247814</v>
      </c>
      <c r="G839" s="22">
        <v>82854086.201675117</v>
      </c>
      <c r="H839" s="23">
        <v>0.466986499278643</v>
      </c>
      <c r="I839" s="23">
        <f t="shared" si="35"/>
        <v>177422872.67332214</v>
      </c>
      <c r="J839" s="4">
        <f t="shared" si="34"/>
        <v>14009594.978359289</v>
      </c>
      <c r="L839" s="22"/>
      <c r="M839" s="22"/>
      <c r="N839" s="19"/>
    </row>
    <row r="840" spans="2:14" ht="11.1" customHeight="1" x14ac:dyDescent="0.3">
      <c r="B840" s="19">
        <v>833</v>
      </c>
      <c r="C840" s="22">
        <v>199373190.65054658</v>
      </c>
      <c r="D840" s="23">
        <v>2.1523340135323052</v>
      </c>
      <c r="E840" s="22">
        <v>116254318.456352</v>
      </c>
      <c r="F840" s="23">
        <v>1.6844418783955823</v>
      </c>
      <c r="G840" s="22">
        <v>83118872.194194585</v>
      </c>
      <c r="H840" s="23">
        <v>0.4678921351367229</v>
      </c>
      <c r="I840" s="23">
        <f t="shared" si="35"/>
        <v>177645371.55536157</v>
      </c>
      <c r="J840" s="4">
        <f t="shared" ref="J840:J903" si="36">threshold*H840</f>
        <v>14036764.054101687</v>
      </c>
      <c r="L840" s="22"/>
      <c r="M840" s="22"/>
      <c r="N840" s="19"/>
    </row>
    <row r="841" spans="2:14" ht="11.1" customHeight="1" x14ac:dyDescent="0.3">
      <c r="B841" s="19">
        <v>834</v>
      </c>
      <c r="C841" s="22">
        <v>198642587.52050102</v>
      </c>
      <c r="D841" s="23">
        <v>2.0532101075089706</v>
      </c>
      <c r="E841" s="22">
        <v>115447846.49954252</v>
      </c>
      <c r="F841" s="23">
        <v>1.582912818126788</v>
      </c>
      <c r="G841" s="22">
        <v>83194741.020958498</v>
      </c>
      <c r="H841" s="23">
        <v>0.47029728938218263</v>
      </c>
      <c r="I841" s="23">
        <f t="shared" ref="I841:I904" si="37">G841/H841</f>
        <v>176898193.75792974</v>
      </c>
      <c r="J841" s="4">
        <f t="shared" si="36"/>
        <v>14108918.681465479</v>
      </c>
      <c r="L841" s="22"/>
      <c r="M841" s="22"/>
      <c r="N841" s="19"/>
    </row>
    <row r="842" spans="2:14" ht="11.1" customHeight="1" x14ac:dyDescent="0.3">
      <c r="B842" s="19">
        <v>835</v>
      </c>
      <c r="C842" s="22">
        <v>201349375.34351209</v>
      </c>
      <c r="D842" s="23">
        <v>1.9067024556587777</v>
      </c>
      <c r="E842" s="22">
        <v>118353925.15490615</v>
      </c>
      <c r="F842" s="23">
        <v>1.4777304180296662</v>
      </c>
      <c r="G842" s="22">
        <v>82995450.188605934</v>
      </c>
      <c r="H842" s="23">
        <v>0.42897203762911151</v>
      </c>
      <c r="I842" s="23">
        <f t="shared" si="37"/>
        <v>193475198.6337246</v>
      </c>
      <c r="J842" s="4">
        <f t="shared" si="36"/>
        <v>12869161.128873345</v>
      </c>
      <c r="L842" s="22"/>
      <c r="M842" s="22"/>
      <c r="N842" s="19"/>
    </row>
    <row r="843" spans="2:14" ht="11.1" customHeight="1" x14ac:dyDescent="0.3">
      <c r="B843" s="19">
        <v>836</v>
      </c>
      <c r="C843" s="22">
        <v>202382977.07951841</v>
      </c>
      <c r="D843" s="23">
        <v>1.683869025390514</v>
      </c>
      <c r="E843" s="22">
        <v>118855573.63927369</v>
      </c>
      <c r="F843" s="23">
        <v>1.2549776096027183</v>
      </c>
      <c r="G843" s="22">
        <v>83527403.440244719</v>
      </c>
      <c r="H843" s="23">
        <v>0.42889141578779566</v>
      </c>
      <c r="I843" s="23">
        <f t="shared" si="37"/>
        <v>194751865.77660933</v>
      </c>
      <c r="J843" s="4">
        <f t="shared" si="36"/>
        <v>12866742.47363387</v>
      </c>
      <c r="L843" s="22"/>
      <c r="M843" s="22"/>
      <c r="N843" s="19"/>
    </row>
    <row r="844" spans="2:14" ht="11.1" customHeight="1" x14ac:dyDescent="0.3">
      <c r="B844" s="19">
        <v>837</v>
      </c>
      <c r="C844" s="22">
        <v>203165424.96567601</v>
      </c>
      <c r="D844" s="23">
        <v>2.2740628171016906</v>
      </c>
      <c r="E844" s="22">
        <v>120195522.12286907</v>
      </c>
      <c r="F844" s="23">
        <v>1.8056345276274191</v>
      </c>
      <c r="G844" s="22">
        <v>82969902.842806935</v>
      </c>
      <c r="H844" s="23">
        <v>0.46842828947427151</v>
      </c>
      <c r="I844" s="23">
        <f t="shared" si="37"/>
        <v>177124022.411042</v>
      </c>
      <c r="J844" s="4">
        <f t="shared" si="36"/>
        <v>14052848.684228145</v>
      </c>
      <c r="L844" s="22"/>
      <c r="M844" s="22"/>
      <c r="N844" s="19"/>
    </row>
    <row r="845" spans="2:14" ht="11.1" customHeight="1" x14ac:dyDescent="0.3">
      <c r="B845" s="19">
        <v>838</v>
      </c>
      <c r="C845" s="22">
        <v>200558632.31042758</v>
      </c>
      <c r="D845" s="23">
        <v>1.9399703763665705</v>
      </c>
      <c r="E845" s="22">
        <v>117812290.92730665</v>
      </c>
      <c r="F845" s="23">
        <v>1.4792252936921197</v>
      </c>
      <c r="G845" s="22">
        <v>82746341.383120924</v>
      </c>
      <c r="H845" s="23">
        <v>0.4607450826744508</v>
      </c>
      <c r="I845" s="23">
        <f t="shared" si="37"/>
        <v>179592456.85881168</v>
      </c>
      <c r="J845" s="4">
        <f t="shared" si="36"/>
        <v>13822352.480233524</v>
      </c>
      <c r="L845" s="22"/>
      <c r="M845" s="22"/>
      <c r="N845" s="19"/>
    </row>
    <row r="846" spans="2:14" ht="11.1" customHeight="1" x14ac:dyDescent="0.3">
      <c r="B846" s="19">
        <v>839</v>
      </c>
      <c r="C846" s="22">
        <v>204017036.77568939</v>
      </c>
      <c r="D846" s="23">
        <v>2.0631364109921271</v>
      </c>
      <c r="E846" s="22">
        <v>120864832.45103964</v>
      </c>
      <c r="F846" s="23">
        <v>1.5827773422977784</v>
      </c>
      <c r="G846" s="22">
        <v>83152204.324649751</v>
      </c>
      <c r="H846" s="23">
        <v>0.48035906869434863</v>
      </c>
      <c r="I846" s="23">
        <f t="shared" si="37"/>
        <v>173104266.67006323</v>
      </c>
      <c r="J846" s="4">
        <f t="shared" si="36"/>
        <v>14410772.060830459</v>
      </c>
      <c r="L846" s="22"/>
      <c r="M846" s="22"/>
      <c r="N846" s="19"/>
    </row>
    <row r="847" spans="2:14" ht="11.1" customHeight="1" x14ac:dyDescent="0.3">
      <c r="B847" s="19">
        <v>840</v>
      </c>
      <c r="C847" s="22">
        <v>203963458.96975246</v>
      </c>
      <c r="D847" s="23">
        <v>1.7704864474186484</v>
      </c>
      <c r="E847" s="22">
        <v>121287193.48205678</v>
      </c>
      <c r="F847" s="23">
        <v>1.3026088851490207</v>
      </c>
      <c r="G847" s="22">
        <v>82676265.487695679</v>
      </c>
      <c r="H847" s="23">
        <v>0.46787756226962762</v>
      </c>
      <c r="I847" s="23">
        <f t="shared" si="37"/>
        <v>176704916.3175112</v>
      </c>
      <c r="J847" s="4">
        <f t="shared" si="36"/>
        <v>14036326.868088828</v>
      </c>
      <c r="L847" s="22"/>
      <c r="M847" s="22"/>
      <c r="N847" s="19"/>
    </row>
    <row r="848" spans="2:14" ht="11.1" customHeight="1" x14ac:dyDescent="0.3">
      <c r="B848" s="19">
        <v>841</v>
      </c>
      <c r="C848" s="22">
        <v>205793300.8518571</v>
      </c>
      <c r="D848" s="23">
        <v>1.9427497400463436</v>
      </c>
      <c r="E848" s="22">
        <v>123062194.82962771</v>
      </c>
      <c r="F848" s="23">
        <v>1.4619574496965717</v>
      </c>
      <c r="G848" s="22">
        <v>82731106.022229388</v>
      </c>
      <c r="H848" s="23">
        <v>0.48079229034977189</v>
      </c>
      <c r="I848" s="23">
        <f t="shared" si="37"/>
        <v>172072447.25584781</v>
      </c>
      <c r="J848" s="4">
        <f t="shared" si="36"/>
        <v>14423768.710493157</v>
      </c>
      <c r="L848" s="22"/>
      <c r="M848" s="22"/>
      <c r="N848" s="19"/>
    </row>
    <row r="849" spans="2:14" ht="11.1" customHeight="1" x14ac:dyDescent="0.3">
      <c r="B849" s="19">
        <v>842</v>
      </c>
      <c r="C849" s="22">
        <v>201968026.85960096</v>
      </c>
      <c r="D849" s="23">
        <v>1.8119604834400203</v>
      </c>
      <c r="E849" s="22">
        <v>118727356.92975913</v>
      </c>
      <c r="F849" s="23">
        <v>1.3996219872694313</v>
      </c>
      <c r="G849" s="22">
        <v>83240669.929841831</v>
      </c>
      <c r="H849" s="23">
        <v>0.41233849617058893</v>
      </c>
      <c r="I849" s="23">
        <f t="shared" si="37"/>
        <v>201874602.30587894</v>
      </c>
      <c r="J849" s="4">
        <f t="shared" si="36"/>
        <v>12370154.885117669</v>
      </c>
      <c r="L849" s="22"/>
      <c r="M849" s="22"/>
      <c r="N849" s="19"/>
    </row>
    <row r="850" spans="2:14" ht="11.1" customHeight="1" x14ac:dyDescent="0.3">
      <c r="B850" s="19">
        <v>843</v>
      </c>
      <c r="C850" s="22">
        <v>201230553.73936743</v>
      </c>
      <c r="D850" s="23">
        <v>2.1202461457469646</v>
      </c>
      <c r="E850" s="22">
        <v>118109956.50036384</v>
      </c>
      <c r="F850" s="23">
        <v>1.6485158921986935</v>
      </c>
      <c r="G850" s="22">
        <v>83120597.239003584</v>
      </c>
      <c r="H850" s="23">
        <v>0.47173025354827103</v>
      </c>
      <c r="I850" s="23">
        <f t="shared" si="37"/>
        <v>176203660.06586441</v>
      </c>
      <c r="J850" s="4">
        <f t="shared" si="36"/>
        <v>14151907.606448131</v>
      </c>
      <c r="L850" s="22"/>
      <c r="M850" s="22"/>
      <c r="N850" s="19"/>
    </row>
    <row r="851" spans="2:14" ht="11.1" customHeight="1" x14ac:dyDescent="0.3">
      <c r="B851" s="19">
        <v>844</v>
      </c>
      <c r="C851" s="22">
        <v>202221690.28890055</v>
      </c>
      <c r="D851" s="23">
        <v>2.1710556849269662</v>
      </c>
      <c r="E851" s="22">
        <v>119260711.40145671</v>
      </c>
      <c r="F851" s="23">
        <v>1.6917390013829097</v>
      </c>
      <c r="G851" s="22">
        <v>82960978.887443841</v>
      </c>
      <c r="H851" s="23">
        <v>0.47931668354405654</v>
      </c>
      <c r="I851" s="23">
        <f t="shared" si="37"/>
        <v>173081767.72406974</v>
      </c>
      <c r="J851" s="4">
        <f t="shared" si="36"/>
        <v>14379500.506321697</v>
      </c>
      <c r="L851" s="22"/>
      <c r="M851" s="22"/>
      <c r="N851" s="19"/>
    </row>
    <row r="852" spans="2:14" ht="11.1" customHeight="1" x14ac:dyDescent="0.3">
      <c r="B852" s="19">
        <v>845</v>
      </c>
      <c r="C852" s="22">
        <v>205459114.30750316</v>
      </c>
      <c r="D852" s="23">
        <v>2.198766960108347</v>
      </c>
      <c r="E852" s="22">
        <v>122755738.53105496</v>
      </c>
      <c r="F852" s="23">
        <v>1.7389263247503499</v>
      </c>
      <c r="G852" s="22">
        <v>82703375.776448205</v>
      </c>
      <c r="H852" s="23">
        <v>0.45984063535799713</v>
      </c>
      <c r="I852" s="23">
        <f t="shared" si="37"/>
        <v>179852256.23233929</v>
      </c>
      <c r="J852" s="4">
        <f t="shared" si="36"/>
        <v>13795219.060739914</v>
      </c>
      <c r="L852" s="22"/>
      <c r="M852" s="22"/>
      <c r="N852" s="19"/>
    </row>
    <row r="853" spans="2:14" ht="11.1" customHeight="1" x14ac:dyDescent="0.3">
      <c r="B853" s="19">
        <v>846</v>
      </c>
      <c r="C853" s="22">
        <v>201617899.32792595</v>
      </c>
      <c r="D853" s="23">
        <v>1.9483524393987286</v>
      </c>
      <c r="E853" s="22">
        <v>118564681.71696316</v>
      </c>
      <c r="F853" s="23">
        <v>1.5075924121237563</v>
      </c>
      <c r="G853" s="22">
        <v>83053217.610962793</v>
      </c>
      <c r="H853" s="23">
        <v>0.44076002727497232</v>
      </c>
      <c r="I853" s="23">
        <f t="shared" si="37"/>
        <v>188431827.91426152</v>
      </c>
      <c r="J853" s="4">
        <f t="shared" si="36"/>
        <v>13222800.81824917</v>
      </c>
      <c r="L853" s="22"/>
      <c r="M853" s="22"/>
      <c r="N853" s="19"/>
    </row>
    <row r="854" spans="2:14" ht="11.1" customHeight="1" x14ac:dyDescent="0.3">
      <c r="B854" s="19">
        <v>847</v>
      </c>
      <c r="C854" s="22">
        <v>200047337.44747257</v>
      </c>
      <c r="D854" s="23">
        <v>2.0286506346620077</v>
      </c>
      <c r="E854" s="22">
        <v>117173383.69704095</v>
      </c>
      <c r="F854" s="23">
        <v>1.6157783136730119</v>
      </c>
      <c r="G854" s="22">
        <v>82873953.750431627</v>
      </c>
      <c r="H854" s="23">
        <v>0.41287232098899573</v>
      </c>
      <c r="I854" s="23">
        <f t="shared" si="37"/>
        <v>200725380.55327874</v>
      </c>
      <c r="J854" s="4">
        <f t="shared" si="36"/>
        <v>12386169.629669871</v>
      </c>
      <c r="L854" s="22"/>
      <c r="M854" s="22"/>
      <c r="N854" s="19"/>
    </row>
    <row r="855" spans="2:14" ht="11.1" customHeight="1" x14ac:dyDescent="0.3">
      <c r="B855" s="19">
        <v>848</v>
      </c>
      <c r="C855" s="22">
        <v>202874926.67519251</v>
      </c>
      <c r="D855" s="23">
        <v>1.9881799884738698</v>
      </c>
      <c r="E855" s="22">
        <v>119704999.74099</v>
      </c>
      <c r="F855" s="23">
        <v>1.519749481842448</v>
      </c>
      <c r="G855" s="22">
        <v>83169926.934202507</v>
      </c>
      <c r="H855" s="23">
        <v>0.46843050663142183</v>
      </c>
      <c r="I855" s="23">
        <f t="shared" si="37"/>
        <v>177550193.15948105</v>
      </c>
      <c r="J855" s="4">
        <f t="shared" si="36"/>
        <v>14052915.198942656</v>
      </c>
      <c r="L855" s="22"/>
      <c r="M855" s="22"/>
      <c r="N855" s="19"/>
    </row>
    <row r="856" spans="2:14" ht="11.1" customHeight="1" x14ac:dyDescent="0.3">
      <c r="B856" s="19">
        <v>849</v>
      </c>
      <c r="C856" s="22">
        <v>201103584.11732745</v>
      </c>
      <c r="D856" s="23">
        <v>1.9659714461439939</v>
      </c>
      <c r="E856" s="22">
        <v>117996823.55271642</v>
      </c>
      <c r="F856" s="23">
        <v>1.5581420016989453</v>
      </c>
      <c r="G856" s="22">
        <v>83106760.564611033</v>
      </c>
      <c r="H856" s="23">
        <v>0.40782944444504854</v>
      </c>
      <c r="I856" s="23">
        <f t="shared" si="37"/>
        <v>203778225.66906139</v>
      </c>
      <c r="J856" s="4">
        <f t="shared" si="36"/>
        <v>12234883.333351456</v>
      </c>
      <c r="L856" s="22"/>
      <c r="M856" s="22"/>
      <c r="N856" s="19"/>
    </row>
    <row r="857" spans="2:14" ht="11.1" customHeight="1" x14ac:dyDescent="0.3">
      <c r="B857" s="19">
        <v>850</v>
      </c>
      <c r="C857" s="22">
        <v>202842794.97097301</v>
      </c>
      <c r="D857" s="23">
        <v>2.0206898781014369</v>
      </c>
      <c r="E857" s="22">
        <v>119742256.41764101</v>
      </c>
      <c r="F857" s="23">
        <v>1.5424565768453971</v>
      </c>
      <c r="G857" s="22">
        <v>83100538.553332001</v>
      </c>
      <c r="H857" s="23">
        <v>0.4782333012560398</v>
      </c>
      <c r="I857" s="23">
        <f t="shared" si="37"/>
        <v>173765687.86630997</v>
      </c>
      <c r="J857" s="4">
        <f t="shared" si="36"/>
        <v>14346999.037681194</v>
      </c>
      <c r="L857" s="22"/>
      <c r="M857" s="22"/>
      <c r="N857" s="19"/>
    </row>
    <row r="858" spans="2:14" ht="11.1" customHeight="1" x14ac:dyDescent="0.3">
      <c r="B858" s="19">
        <v>851</v>
      </c>
      <c r="C858" s="22">
        <v>199209055.23290899</v>
      </c>
      <c r="D858" s="23">
        <v>2.1254717359996356</v>
      </c>
      <c r="E858" s="22">
        <v>116289252.87748142</v>
      </c>
      <c r="F858" s="23">
        <v>1.6428719638917191</v>
      </c>
      <c r="G858" s="22">
        <v>82919802.355427578</v>
      </c>
      <c r="H858" s="23">
        <v>0.48259977210791649</v>
      </c>
      <c r="I858" s="23">
        <f t="shared" si="37"/>
        <v>171818983.65440065</v>
      </c>
      <c r="J858" s="4">
        <f t="shared" si="36"/>
        <v>14477993.163237495</v>
      </c>
      <c r="L858" s="22"/>
      <c r="M858" s="22"/>
      <c r="N858" s="19"/>
    </row>
    <row r="859" spans="2:14" ht="11.1" customHeight="1" x14ac:dyDescent="0.3">
      <c r="B859" s="19">
        <v>852</v>
      </c>
      <c r="C859" s="22">
        <v>200958795.83441868</v>
      </c>
      <c r="D859" s="23">
        <v>2.2003785511251852</v>
      </c>
      <c r="E859" s="22">
        <v>117761428.73478699</v>
      </c>
      <c r="F859" s="23">
        <v>1.7683582290543314</v>
      </c>
      <c r="G859" s="22">
        <v>83197367.099631697</v>
      </c>
      <c r="H859" s="23">
        <v>0.43202032207085383</v>
      </c>
      <c r="I859" s="23">
        <f t="shared" si="37"/>
        <v>192577438.72054899</v>
      </c>
      <c r="J859" s="4">
        <f t="shared" si="36"/>
        <v>12960609.662125615</v>
      </c>
      <c r="L859" s="22"/>
      <c r="M859" s="22"/>
      <c r="N859" s="19"/>
    </row>
    <row r="860" spans="2:14" ht="11.1" customHeight="1" x14ac:dyDescent="0.3">
      <c r="B860" s="19">
        <v>853</v>
      </c>
      <c r="C860" s="22">
        <v>200311410.94631004</v>
      </c>
      <c r="D860" s="23">
        <v>1.8520692198295043</v>
      </c>
      <c r="E860" s="22">
        <v>116937906.97674949</v>
      </c>
      <c r="F860" s="23">
        <v>1.3776503380045997</v>
      </c>
      <c r="G860" s="22">
        <v>83373503.969560549</v>
      </c>
      <c r="H860" s="23">
        <v>0.47441888182490466</v>
      </c>
      <c r="I860" s="23">
        <f t="shared" si="37"/>
        <v>175738165.49808294</v>
      </c>
      <c r="J860" s="4">
        <f t="shared" si="36"/>
        <v>14232566.45474714</v>
      </c>
      <c r="L860" s="22"/>
      <c r="M860" s="22"/>
      <c r="N860" s="19"/>
    </row>
    <row r="861" spans="2:14" ht="11.1" customHeight="1" x14ac:dyDescent="0.3">
      <c r="B861" s="19">
        <v>854</v>
      </c>
      <c r="C861" s="22">
        <v>201720724.57736826</v>
      </c>
      <c r="D861" s="23">
        <v>2.1941455267355034</v>
      </c>
      <c r="E861" s="22">
        <v>118538407.32512251</v>
      </c>
      <c r="F861" s="23">
        <v>1.6903165405007692</v>
      </c>
      <c r="G861" s="22">
        <v>83182317.252245754</v>
      </c>
      <c r="H861" s="23">
        <v>0.50382898623473427</v>
      </c>
      <c r="I861" s="23">
        <f t="shared" si="37"/>
        <v>165100300.94515255</v>
      </c>
      <c r="J861" s="4">
        <f t="shared" si="36"/>
        <v>15114869.587042028</v>
      </c>
      <c r="L861" s="22"/>
      <c r="M861" s="22"/>
      <c r="N861" s="19"/>
    </row>
    <row r="862" spans="2:14" ht="11.1" customHeight="1" x14ac:dyDescent="0.3">
      <c r="B862" s="19">
        <v>855</v>
      </c>
      <c r="C862" s="22">
        <v>203237026.13758165</v>
      </c>
      <c r="D862" s="23">
        <v>2.2148601349531298</v>
      </c>
      <c r="E862" s="22">
        <v>120781496.52928612</v>
      </c>
      <c r="F862" s="23">
        <v>1.7187043610627797</v>
      </c>
      <c r="G862" s="22">
        <v>82455529.60829553</v>
      </c>
      <c r="H862" s="23">
        <v>0.49615577389035015</v>
      </c>
      <c r="I862" s="23">
        <f t="shared" si="37"/>
        <v>166188793.81723794</v>
      </c>
      <c r="J862" s="4">
        <f t="shared" si="36"/>
        <v>14884673.216710504</v>
      </c>
      <c r="L862" s="22"/>
      <c r="M862" s="22"/>
      <c r="N862" s="19"/>
    </row>
    <row r="863" spans="2:14" ht="11.1" customHeight="1" x14ac:dyDescent="0.3">
      <c r="B863" s="19">
        <v>856</v>
      </c>
      <c r="C863" s="22">
        <v>203718194.02656704</v>
      </c>
      <c r="D863" s="23">
        <v>2.2399199122325459</v>
      </c>
      <c r="E863" s="22">
        <v>120808095.89983426</v>
      </c>
      <c r="F863" s="23">
        <v>1.8235141040856087</v>
      </c>
      <c r="G863" s="22">
        <v>82910098.126732782</v>
      </c>
      <c r="H863" s="23">
        <v>0.41640580814693728</v>
      </c>
      <c r="I863" s="23">
        <f t="shared" si="37"/>
        <v>199108889.70471868</v>
      </c>
      <c r="J863" s="4">
        <f t="shared" si="36"/>
        <v>12492174.244408118</v>
      </c>
      <c r="L863" s="22"/>
      <c r="M863" s="22"/>
      <c r="N863" s="19"/>
    </row>
    <row r="864" spans="2:14" ht="11.1" customHeight="1" x14ac:dyDescent="0.3">
      <c r="B864" s="19">
        <v>857</v>
      </c>
      <c r="C864" s="22">
        <v>204173892.60691029</v>
      </c>
      <c r="D864" s="23">
        <v>2.2133678933575625</v>
      </c>
      <c r="E864" s="22">
        <v>121263287.31932552</v>
      </c>
      <c r="F864" s="23">
        <v>1.7507652032470002</v>
      </c>
      <c r="G864" s="22">
        <v>82910605.287584767</v>
      </c>
      <c r="H864" s="23">
        <v>0.46260269011056221</v>
      </c>
      <c r="I864" s="23">
        <f t="shared" si="37"/>
        <v>179226379.48294052</v>
      </c>
      <c r="J864" s="4">
        <f t="shared" si="36"/>
        <v>13878080.703316865</v>
      </c>
      <c r="L864" s="22"/>
      <c r="M864" s="22"/>
      <c r="N864" s="19"/>
    </row>
    <row r="865" spans="2:14" ht="11.1" customHeight="1" x14ac:dyDescent="0.3">
      <c r="B865" s="19">
        <v>858</v>
      </c>
      <c r="C865" s="22">
        <v>199690411.71990746</v>
      </c>
      <c r="D865" s="23">
        <v>2.1761944576669268</v>
      </c>
      <c r="E865" s="22">
        <v>116562965.70533499</v>
      </c>
      <c r="F865" s="23">
        <v>1.7748760081034085</v>
      </c>
      <c r="G865" s="22">
        <v>83127446.014572471</v>
      </c>
      <c r="H865" s="23">
        <v>0.40131844956351825</v>
      </c>
      <c r="I865" s="23">
        <f t="shared" si="37"/>
        <v>207135869.54445651</v>
      </c>
      <c r="J865" s="4">
        <f t="shared" si="36"/>
        <v>12039553.486905547</v>
      </c>
      <c r="L865" s="22"/>
      <c r="M865" s="22"/>
      <c r="N865" s="19"/>
    </row>
    <row r="866" spans="2:14" ht="11.1" customHeight="1" x14ac:dyDescent="0.3">
      <c r="B866" s="19">
        <v>859</v>
      </c>
      <c r="C866" s="22">
        <v>203534613.02793092</v>
      </c>
      <c r="D866" s="23">
        <v>1.9237448259312446</v>
      </c>
      <c r="E866" s="22">
        <v>120466319.6542947</v>
      </c>
      <c r="F866" s="23">
        <v>1.4613313798309153</v>
      </c>
      <c r="G866" s="22">
        <v>83068293.373636216</v>
      </c>
      <c r="H866" s="23">
        <v>0.46241344610032931</v>
      </c>
      <c r="I866" s="23">
        <f t="shared" si="37"/>
        <v>179640739.41658908</v>
      </c>
      <c r="J866" s="4">
        <f t="shared" si="36"/>
        <v>13872403.383009879</v>
      </c>
      <c r="L866" s="22"/>
      <c r="M866" s="22"/>
      <c r="N866" s="19"/>
    </row>
    <row r="867" spans="2:14" ht="11.1" customHeight="1" x14ac:dyDescent="0.3">
      <c r="B867" s="19">
        <v>860</v>
      </c>
      <c r="C867" s="22">
        <v>201636484.43412256</v>
      </c>
      <c r="D867" s="23">
        <v>2.2521388247467575</v>
      </c>
      <c r="E867" s="22">
        <v>118519690.53522237</v>
      </c>
      <c r="F867" s="23">
        <v>1.7468110106013843</v>
      </c>
      <c r="G867" s="22">
        <v>83116793.898900196</v>
      </c>
      <c r="H867" s="23">
        <v>0.5053278141453732</v>
      </c>
      <c r="I867" s="23">
        <f t="shared" si="37"/>
        <v>164480940.03982347</v>
      </c>
      <c r="J867" s="4">
        <f t="shared" si="36"/>
        <v>15159834.424361195</v>
      </c>
      <c r="L867" s="22"/>
      <c r="M867" s="22"/>
      <c r="N867" s="19"/>
    </row>
    <row r="868" spans="2:14" ht="11.1" customHeight="1" x14ac:dyDescent="0.3">
      <c r="B868" s="19">
        <v>861</v>
      </c>
      <c r="C868" s="22">
        <v>203262748.02049616</v>
      </c>
      <c r="D868" s="23">
        <v>2.3937470319815479</v>
      </c>
      <c r="E868" s="22">
        <v>120378305.00978318</v>
      </c>
      <c r="F868" s="23">
        <v>1.9194722762334373</v>
      </c>
      <c r="G868" s="22">
        <v>82884443.010712981</v>
      </c>
      <c r="H868" s="23">
        <v>0.47427475574811062</v>
      </c>
      <c r="I868" s="23">
        <f t="shared" si="37"/>
        <v>174760393.64560503</v>
      </c>
      <c r="J868" s="4">
        <f t="shared" si="36"/>
        <v>14228242.672443319</v>
      </c>
      <c r="L868" s="22"/>
      <c r="M868" s="22"/>
      <c r="N868" s="19"/>
    </row>
    <row r="869" spans="2:14" ht="11.1" customHeight="1" x14ac:dyDescent="0.3">
      <c r="B869" s="19">
        <v>862</v>
      </c>
      <c r="C869" s="22">
        <v>200087332.43015221</v>
      </c>
      <c r="D869" s="23">
        <v>2.0310835049227838</v>
      </c>
      <c r="E869" s="22">
        <v>116893963.12028295</v>
      </c>
      <c r="F869" s="23">
        <v>1.6243580503232262</v>
      </c>
      <c r="G869" s="22">
        <v>83193369.30986926</v>
      </c>
      <c r="H869" s="23">
        <v>0.40672545459955756</v>
      </c>
      <c r="I869" s="23">
        <f t="shared" si="37"/>
        <v>204544289.93576878</v>
      </c>
      <c r="J869" s="4">
        <f t="shared" si="36"/>
        <v>12201763.637986727</v>
      </c>
      <c r="L869" s="22"/>
      <c r="M869" s="22"/>
      <c r="N869" s="19"/>
    </row>
    <row r="870" spans="2:14" ht="11.1" customHeight="1" x14ac:dyDescent="0.3">
      <c r="B870" s="19">
        <v>863</v>
      </c>
      <c r="C870" s="22">
        <v>200083710.5283255</v>
      </c>
      <c r="D870" s="23">
        <v>2.1348053762334396</v>
      </c>
      <c r="E870" s="22">
        <v>117011934.38435172</v>
      </c>
      <c r="F870" s="23">
        <v>1.6615953325793298</v>
      </c>
      <c r="G870" s="22">
        <v>83071776.143973783</v>
      </c>
      <c r="H870" s="23">
        <v>0.47321004365410979</v>
      </c>
      <c r="I870" s="23">
        <f t="shared" si="37"/>
        <v>175549477.99183786</v>
      </c>
      <c r="J870" s="4">
        <f t="shared" si="36"/>
        <v>14196301.309623294</v>
      </c>
      <c r="L870" s="22"/>
      <c r="M870" s="22"/>
      <c r="N870" s="19"/>
    </row>
    <row r="871" spans="2:14" ht="11.1" customHeight="1" x14ac:dyDescent="0.3">
      <c r="B871" s="19">
        <v>864</v>
      </c>
      <c r="C871" s="22">
        <v>201771057.98679516</v>
      </c>
      <c r="D871" s="23">
        <v>1.8881062202438703</v>
      </c>
      <c r="E871" s="22">
        <v>118878232.68809573</v>
      </c>
      <c r="F871" s="23">
        <v>1.4512086736151566</v>
      </c>
      <c r="G871" s="22">
        <v>82892825.298699424</v>
      </c>
      <c r="H871" s="23">
        <v>0.43689754662871372</v>
      </c>
      <c r="I871" s="23">
        <f t="shared" si="37"/>
        <v>189730580.86120081</v>
      </c>
      <c r="J871" s="4">
        <f t="shared" si="36"/>
        <v>13106926.398861412</v>
      </c>
      <c r="L871" s="22"/>
      <c r="M871" s="22"/>
      <c r="N871" s="19"/>
    </row>
    <row r="872" spans="2:14" ht="11.1" customHeight="1" x14ac:dyDescent="0.3">
      <c r="B872" s="19">
        <v>865</v>
      </c>
      <c r="C872" s="22">
        <v>201097855.14279222</v>
      </c>
      <c r="D872" s="23">
        <v>1.8017732518079856</v>
      </c>
      <c r="E872" s="22">
        <v>118179740.01002967</v>
      </c>
      <c r="F872" s="23">
        <v>1.3758434067777818</v>
      </c>
      <c r="G872" s="22">
        <v>82918115.132762551</v>
      </c>
      <c r="H872" s="23">
        <v>0.42592984503020381</v>
      </c>
      <c r="I872" s="23">
        <f t="shared" si="37"/>
        <v>194675522.50742751</v>
      </c>
      <c r="J872" s="4">
        <f t="shared" si="36"/>
        <v>12777895.350906115</v>
      </c>
      <c r="L872" s="22"/>
      <c r="M872" s="22"/>
      <c r="N872" s="19"/>
    </row>
    <row r="873" spans="2:14" ht="11.1" customHeight="1" x14ac:dyDescent="0.3">
      <c r="B873" s="19">
        <v>866</v>
      </c>
      <c r="C873" s="22">
        <v>200678872.95579305</v>
      </c>
      <c r="D873" s="23">
        <v>2.0686169724686736</v>
      </c>
      <c r="E873" s="22">
        <v>117444722.63972312</v>
      </c>
      <c r="F873" s="23">
        <v>1.5899575501990675</v>
      </c>
      <c r="G873" s="22">
        <v>83234150.316069931</v>
      </c>
      <c r="H873" s="23">
        <v>0.47865942226960612</v>
      </c>
      <c r="I873" s="23">
        <f t="shared" si="37"/>
        <v>173890132.40647772</v>
      </c>
      <c r="J873" s="4">
        <f t="shared" si="36"/>
        <v>14359782.668088183</v>
      </c>
      <c r="L873" s="22"/>
      <c r="M873" s="22"/>
      <c r="N873" s="19"/>
    </row>
    <row r="874" spans="2:14" ht="11.1" customHeight="1" x14ac:dyDescent="0.3">
      <c r="B874" s="19">
        <v>867</v>
      </c>
      <c r="C874" s="22">
        <v>198194540.67911273</v>
      </c>
      <c r="D874" s="23">
        <v>2.0179593926933586</v>
      </c>
      <c r="E874" s="22">
        <v>115432575.86082938</v>
      </c>
      <c r="F874" s="23">
        <v>1.5577683742605246</v>
      </c>
      <c r="G874" s="22">
        <v>82761964.818283349</v>
      </c>
      <c r="H874" s="23">
        <v>0.46019101843283394</v>
      </c>
      <c r="I874" s="23">
        <f t="shared" si="37"/>
        <v>179842633.82655016</v>
      </c>
      <c r="J874" s="4">
        <f t="shared" si="36"/>
        <v>13805730.552985018</v>
      </c>
      <c r="L874" s="22"/>
      <c r="M874" s="22"/>
      <c r="N874" s="19"/>
    </row>
    <row r="875" spans="2:14" ht="11.1" customHeight="1" x14ac:dyDescent="0.3">
      <c r="B875" s="19">
        <v>868</v>
      </c>
      <c r="C875" s="22">
        <v>201177130.78867364</v>
      </c>
      <c r="D875" s="23">
        <v>2.2053587882961394</v>
      </c>
      <c r="E875" s="22">
        <v>118423486.02817455</v>
      </c>
      <c r="F875" s="23">
        <v>1.7226392983261598</v>
      </c>
      <c r="G875" s="22">
        <v>82753644.76049909</v>
      </c>
      <c r="H875" s="23">
        <v>0.4827194899699796</v>
      </c>
      <c r="I875" s="23">
        <f t="shared" si="37"/>
        <v>171432159.83602723</v>
      </c>
      <c r="J875" s="4">
        <f t="shared" si="36"/>
        <v>14481584.699099388</v>
      </c>
      <c r="L875" s="22"/>
      <c r="M875" s="22"/>
      <c r="N875" s="19"/>
    </row>
    <row r="876" spans="2:14" ht="11.1" customHeight="1" x14ac:dyDescent="0.3">
      <c r="B876" s="19">
        <v>869</v>
      </c>
      <c r="C876" s="22">
        <v>201806144.99803087</v>
      </c>
      <c r="D876" s="23">
        <v>1.964980471620474</v>
      </c>
      <c r="E876" s="22">
        <v>118594481.11260667</v>
      </c>
      <c r="F876" s="23">
        <v>1.4927349398702816</v>
      </c>
      <c r="G876" s="22">
        <v>83211663.885424197</v>
      </c>
      <c r="H876" s="23">
        <v>0.47224553175019235</v>
      </c>
      <c r="I876" s="23">
        <f t="shared" si="37"/>
        <v>176204237.60714662</v>
      </c>
      <c r="J876" s="4">
        <f t="shared" si="36"/>
        <v>14167365.952505771</v>
      </c>
      <c r="L876" s="22"/>
      <c r="M876" s="22"/>
      <c r="N876" s="19"/>
    </row>
    <row r="877" spans="2:14" ht="11.1" customHeight="1" x14ac:dyDescent="0.3">
      <c r="B877" s="19">
        <v>870</v>
      </c>
      <c r="C877" s="22">
        <v>204488817.6167205</v>
      </c>
      <c r="D877" s="23">
        <v>1.8412205847879413</v>
      </c>
      <c r="E877" s="22">
        <v>121790876.62765555</v>
      </c>
      <c r="F877" s="23">
        <v>1.380389474652671</v>
      </c>
      <c r="G877" s="22">
        <v>82697940.989064947</v>
      </c>
      <c r="H877" s="23">
        <v>0.46083111013527023</v>
      </c>
      <c r="I877" s="23">
        <f t="shared" si="37"/>
        <v>179453902.24368787</v>
      </c>
      <c r="J877" s="4">
        <f t="shared" si="36"/>
        <v>13824933.304058107</v>
      </c>
      <c r="L877" s="22"/>
      <c r="M877" s="22"/>
      <c r="N877" s="19"/>
    </row>
    <row r="878" spans="2:14" ht="11.1" customHeight="1" x14ac:dyDescent="0.3">
      <c r="B878" s="19">
        <v>871</v>
      </c>
      <c r="C878" s="22">
        <v>203763840.35105994</v>
      </c>
      <c r="D878" s="23">
        <v>2.0869162399273029</v>
      </c>
      <c r="E878" s="22">
        <v>121068487.28752805</v>
      </c>
      <c r="F878" s="23">
        <v>1.617840707706985</v>
      </c>
      <c r="G878" s="22">
        <v>82695353.063531891</v>
      </c>
      <c r="H878" s="23">
        <v>0.46907553222031795</v>
      </c>
      <c r="I878" s="23">
        <f t="shared" si="37"/>
        <v>176294322.30690533</v>
      </c>
      <c r="J878" s="4">
        <f t="shared" si="36"/>
        <v>14072265.966609538</v>
      </c>
      <c r="L878" s="22"/>
      <c r="M878" s="22"/>
      <c r="N878" s="19"/>
    </row>
    <row r="879" spans="2:14" ht="11.1" customHeight="1" x14ac:dyDescent="0.3">
      <c r="B879" s="19">
        <v>872</v>
      </c>
      <c r="C879" s="22">
        <v>203795762.3199988</v>
      </c>
      <c r="D879" s="23">
        <v>1.9114936228869157</v>
      </c>
      <c r="E879" s="22">
        <v>120708627.09722261</v>
      </c>
      <c r="F879" s="23">
        <v>1.4736918228544613</v>
      </c>
      <c r="G879" s="22">
        <v>83087135.222776189</v>
      </c>
      <c r="H879" s="23">
        <v>0.43780180003245439</v>
      </c>
      <c r="I879" s="23">
        <f t="shared" si="37"/>
        <v>189782534.50903335</v>
      </c>
      <c r="J879" s="4">
        <f t="shared" si="36"/>
        <v>13134054.000973633</v>
      </c>
      <c r="L879" s="22"/>
      <c r="M879" s="22"/>
      <c r="N879" s="19"/>
    </row>
    <row r="880" spans="2:14" ht="11.1" customHeight="1" x14ac:dyDescent="0.3">
      <c r="B880" s="19">
        <v>873</v>
      </c>
      <c r="C880" s="22">
        <v>201972841.72322223</v>
      </c>
      <c r="D880" s="23">
        <v>2.0565044227075933</v>
      </c>
      <c r="E880" s="22">
        <v>118817028.1057145</v>
      </c>
      <c r="F880" s="23">
        <v>1.5970684482878599</v>
      </c>
      <c r="G880" s="22">
        <v>83155813.617507726</v>
      </c>
      <c r="H880" s="23">
        <v>0.45943597441973338</v>
      </c>
      <c r="I880" s="23">
        <f t="shared" si="37"/>
        <v>180995434.07007545</v>
      </c>
      <c r="J880" s="4">
        <f t="shared" si="36"/>
        <v>13783079.232592002</v>
      </c>
      <c r="L880" s="22"/>
      <c r="M880" s="22"/>
      <c r="N880" s="19"/>
    </row>
    <row r="881" spans="2:14" ht="11.1" customHeight="1" x14ac:dyDescent="0.3">
      <c r="B881" s="19">
        <v>874</v>
      </c>
      <c r="C881" s="22">
        <v>203665267.02455592</v>
      </c>
      <c r="D881" s="23">
        <v>2.4537668597013025</v>
      </c>
      <c r="E881" s="22">
        <v>121167081.69666131</v>
      </c>
      <c r="F881" s="23">
        <v>1.9928355601395584</v>
      </c>
      <c r="G881" s="22">
        <v>82498185.327894613</v>
      </c>
      <c r="H881" s="23">
        <v>0.46093129956174406</v>
      </c>
      <c r="I881" s="23">
        <f t="shared" si="37"/>
        <v>178981521.55502203</v>
      </c>
      <c r="J881" s="4">
        <f t="shared" si="36"/>
        <v>13827938.986852322</v>
      </c>
      <c r="L881" s="22"/>
      <c r="M881" s="22"/>
      <c r="N881" s="19"/>
    </row>
    <row r="882" spans="2:14" ht="11.1" customHeight="1" x14ac:dyDescent="0.3">
      <c r="B882" s="19">
        <v>875</v>
      </c>
      <c r="C882" s="22">
        <v>203032959.27330196</v>
      </c>
      <c r="D882" s="23">
        <v>2.2432691519977701</v>
      </c>
      <c r="E882" s="22">
        <v>120390145.35594139</v>
      </c>
      <c r="F882" s="23">
        <v>1.7502711151098831</v>
      </c>
      <c r="G882" s="22">
        <v>82642813.917360574</v>
      </c>
      <c r="H882" s="23">
        <v>0.49299803688788701</v>
      </c>
      <c r="I882" s="23">
        <f t="shared" si="37"/>
        <v>167633150.10147682</v>
      </c>
      <c r="J882" s="4">
        <f t="shared" si="36"/>
        <v>14789941.10663661</v>
      </c>
      <c r="L882" s="22"/>
      <c r="M882" s="22"/>
      <c r="N882" s="19"/>
    </row>
    <row r="883" spans="2:14" ht="11.1" customHeight="1" x14ac:dyDescent="0.3">
      <c r="B883" s="19">
        <v>876</v>
      </c>
      <c r="C883" s="22">
        <v>199993204.51421896</v>
      </c>
      <c r="D883" s="23">
        <v>1.9669521093603959</v>
      </c>
      <c r="E883" s="22">
        <v>116905912.8855695</v>
      </c>
      <c r="F883" s="23">
        <v>1.5087721648973742</v>
      </c>
      <c r="G883" s="22">
        <v>83087291.628649458</v>
      </c>
      <c r="H883" s="23">
        <v>0.45817994446302168</v>
      </c>
      <c r="I883" s="23">
        <f t="shared" si="37"/>
        <v>181342052.68636584</v>
      </c>
      <c r="J883" s="4">
        <f t="shared" si="36"/>
        <v>13745398.33389065</v>
      </c>
      <c r="L883" s="22"/>
      <c r="M883" s="22"/>
      <c r="N883" s="19"/>
    </row>
    <row r="884" spans="2:14" ht="11.1" customHeight="1" x14ac:dyDescent="0.3">
      <c r="B884" s="19">
        <v>877</v>
      </c>
      <c r="C884" s="22">
        <v>201306111.02821043</v>
      </c>
      <c r="D884" s="23">
        <v>1.9693471820088586</v>
      </c>
      <c r="E884" s="22">
        <v>118250503.19929798</v>
      </c>
      <c r="F884" s="23">
        <v>1.5339972051348065</v>
      </c>
      <c r="G884" s="22">
        <v>83055607.828912452</v>
      </c>
      <c r="H884" s="23">
        <v>0.43534997687405208</v>
      </c>
      <c r="I884" s="23">
        <f t="shared" si="37"/>
        <v>190778941.63513568</v>
      </c>
      <c r="J884" s="4">
        <f t="shared" si="36"/>
        <v>13060499.306221562</v>
      </c>
      <c r="L884" s="22"/>
      <c r="M884" s="22"/>
      <c r="N884" s="19"/>
    </row>
    <row r="885" spans="2:14" ht="11.1" customHeight="1" x14ac:dyDescent="0.3">
      <c r="B885" s="19">
        <v>878</v>
      </c>
      <c r="C885" s="22">
        <v>200959930.25216708</v>
      </c>
      <c r="D885" s="23">
        <v>2.3499389229981658</v>
      </c>
      <c r="E885" s="22">
        <v>117943934.06505637</v>
      </c>
      <c r="F885" s="23">
        <v>1.8206434407672607</v>
      </c>
      <c r="G885" s="22">
        <v>83015996.187110707</v>
      </c>
      <c r="H885" s="23">
        <v>0.52929548223090506</v>
      </c>
      <c r="I885" s="23">
        <f t="shared" si="37"/>
        <v>156842442.40515733</v>
      </c>
      <c r="J885" s="4">
        <f t="shared" si="36"/>
        <v>15878864.466927152</v>
      </c>
      <c r="L885" s="22"/>
      <c r="M885" s="22"/>
      <c r="N885" s="19"/>
    </row>
    <row r="886" spans="2:14" ht="11.1" customHeight="1" x14ac:dyDescent="0.3">
      <c r="B886" s="19">
        <v>879</v>
      </c>
      <c r="C886" s="22">
        <v>203109963.54786521</v>
      </c>
      <c r="D886" s="23">
        <v>2.0230926638550426</v>
      </c>
      <c r="E886" s="22">
        <v>119584857.40472907</v>
      </c>
      <c r="F886" s="23">
        <v>1.5722678979725548</v>
      </c>
      <c r="G886" s="22">
        <v>83525106.143136144</v>
      </c>
      <c r="H886" s="23">
        <v>0.45082476588248777</v>
      </c>
      <c r="I886" s="23">
        <f t="shared" si="37"/>
        <v>185271778.44729996</v>
      </c>
      <c r="J886" s="4">
        <f t="shared" si="36"/>
        <v>13524742.976474633</v>
      </c>
      <c r="L886" s="22"/>
      <c r="M886" s="22"/>
      <c r="N886" s="19"/>
    </row>
    <row r="887" spans="2:14" ht="11.1" customHeight="1" x14ac:dyDescent="0.3">
      <c r="B887" s="19">
        <v>880</v>
      </c>
      <c r="C887" s="22">
        <v>198838682.18162221</v>
      </c>
      <c r="D887" s="23">
        <v>2.1317333003012764</v>
      </c>
      <c r="E887" s="22">
        <v>115404396.50227627</v>
      </c>
      <c r="F887" s="23">
        <v>1.6817912060044589</v>
      </c>
      <c r="G887" s="22">
        <v>83434285.679345936</v>
      </c>
      <c r="H887" s="23">
        <v>0.44994209429681753</v>
      </c>
      <c r="I887" s="23">
        <f t="shared" si="37"/>
        <v>185433385.17757365</v>
      </c>
      <c r="J887" s="4">
        <f t="shared" si="36"/>
        <v>13498262.828904526</v>
      </c>
      <c r="L887" s="22"/>
      <c r="M887" s="22"/>
      <c r="N887" s="19"/>
    </row>
    <row r="888" spans="2:14" ht="11.1" customHeight="1" x14ac:dyDescent="0.3">
      <c r="B888" s="19">
        <v>881</v>
      </c>
      <c r="C888" s="22">
        <v>204204208.14090177</v>
      </c>
      <c r="D888" s="23">
        <v>2.0895192204160917</v>
      </c>
      <c r="E888" s="22">
        <v>121255777.53278945</v>
      </c>
      <c r="F888" s="23">
        <v>1.6355801138509376</v>
      </c>
      <c r="G888" s="22">
        <v>82948430.60811232</v>
      </c>
      <c r="H888" s="23">
        <v>0.45393910656515413</v>
      </c>
      <c r="I888" s="23">
        <f t="shared" si="37"/>
        <v>182730303.26856557</v>
      </c>
      <c r="J888" s="4">
        <f t="shared" si="36"/>
        <v>13618173.196954625</v>
      </c>
      <c r="L888" s="22"/>
      <c r="M888" s="22"/>
      <c r="N888" s="19"/>
    </row>
    <row r="889" spans="2:14" ht="11.1" customHeight="1" x14ac:dyDescent="0.3">
      <c r="B889" s="19">
        <v>882</v>
      </c>
      <c r="C889" s="22">
        <v>201612084.60600474</v>
      </c>
      <c r="D889" s="23">
        <v>2.0524988439500595</v>
      </c>
      <c r="E889" s="22">
        <v>118292305.40345019</v>
      </c>
      <c r="F889" s="23">
        <v>1.5602667700123674</v>
      </c>
      <c r="G889" s="22">
        <v>83319779.202554554</v>
      </c>
      <c r="H889" s="23">
        <v>0.49223207393769219</v>
      </c>
      <c r="I889" s="23">
        <f t="shared" si="37"/>
        <v>169269301.23838568</v>
      </c>
      <c r="J889" s="4">
        <f t="shared" si="36"/>
        <v>14766962.218130765</v>
      </c>
      <c r="L889" s="22"/>
      <c r="M889" s="22"/>
      <c r="N889" s="19"/>
    </row>
    <row r="890" spans="2:14" ht="11.1" customHeight="1" x14ac:dyDescent="0.3">
      <c r="B890" s="19">
        <v>883</v>
      </c>
      <c r="C890" s="22">
        <v>201579878.55226031</v>
      </c>
      <c r="D890" s="23">
        <v>2.3159248123049121</v>
      </c>
      <c r="E890" s="22">
        <v>118311114.36730385</v>
      </c>
      <c r="F890" s="23">
        <v>1.8497345124721898</v>
      </c>
      <c r="G890" s="22">
        <v>83268764.184956461</v>
      </c>
      <c r="H890" s="23">
        <v>0.46619029983272231</v>
      </c>
      <c r="I890" s="23">
        <f t="shared" si="37"/>
        <v>178615394.21741471</v>
      </c>
      <c r="J890" s="4">
        <f t="shared" si="36"/>
        <v>13985708.994981669</v>
      </c>
      <c r="L890" s="22"/>
      <c r="M890" s="22"/>
      <c r="N890" s="19"/>
    </row>
    <row r="891" spans="2:14" ht="11.1" customHeight="1" x14ac:dyDescent="0.3">
      <c r="B891" s="19">
        <v>884</v>
      </c>
      <c r="C891" s="22">
        <v>204655303.58433998</v>
      </c>
      <c r="D891" s="23">
        <v>2.0234376797964808</v>
      </c>
      <c r="E891" s="22">
        <v>121458397.25707169</v>
      </c>
      <c r="F891" s="23">
        <v>1.5753044695803802</v>
      </c>
      <c r="G891" s="22">
        <v>83196906.327268288</v>
      </c>
      <c r="H891" s="23">
        <v>0.44813321021610064</v>
      </c>
      <c r="I891" s="23">
        <f t="shared" si="37"/>
        <v>185652177.59056225</v>
      </c>
      <c r="J891" s="4">
        <f t="shared" si="36"/>
        <v>13443996.306483019</v>
      </c>
      <c r="L891" s="22"/>
      <c r="M891" s="22"/>
      <c r="N891" s="19"/>
    </row>
    <row r="892" spans="2:14" ht="11.1" customHeight="1" x14ac:dyDescent="0.3">
      <c r="B892" s="19">
        <v>885</v>
      </c>
      <c r="C892" s="22">
        <v>203678224.62644359</v>
      </c>
      <c r="D892" s="23">
        <v>1.9681809320082293</v>
      </c>
      <c r="E892" s="22">
        <v>120550978.82414605</v>
      </c>
      <c r="F892" s="23">
        <v>1.4989932060542022</v>
      </c>
      <c r="G892" s="22">
        <v>83127245.802297547</v>
      </c>
      <c r="H892" s="23">
        <v>0.46918772595402713</v>
      </c>
      <c r="I892" s="23">
        <f t="shared" si="37"/>
        <v>177172677.80880246</v>
      </c>
      <c r="J892" s="4">
        <f t="shared" si="36"/>
        <v>14075631.778620815</v>
      </c>
      <c r="L892" s="22"/>
      <c r="M892" s="22"/>
      <c r="N892" s="19"/>
    </row>
    <row r="893" spans="2:14" ht="11.1" customHeight="1" x14ac:dyDescent="0.3">
      <c r="B893" s="19">
        <v>886</v>
      </c>
      <c r="C893" s="22">
        <v>203854600.56274033</v>
      </c>
      <c r="D893" s="23">
        <v>1.8322581418999249</v>
      </c>
      <c r="E893" s="22">
        <v>121059097.01844072</v>
      </c>
      <c r="F893" s="23">
        <v>1.3698740463426464</v>
      </c>
      <c r="G893" s="22">
        <v>82795503.544299603</v>
      </c>
      <c r="H893" s="23">
        <v>0.46238409555727844</v>
      </c>
      <c r="I893" s="23">
        <f t="shared" si="37"/>
        <v>179062178.69477564</v>
      </c>
      <c r="J893" s="4">
        <f t="shared" si="36"/>
        <v>13871522.866718354</v>
      </c>
      <c r="L893" s="22"/>
      <c r="M893" s="22"/>
      <c r="N893" s="19"/>
    </row>
    <row r="894" spans="2:14" ht="11.1" customHeight="1" x14ac:dyDescent="0.3">
      <c r="B894" s="19">
        <v>887</v>
      </c>
      <c r="C894" s="22">
        <v>200817109.79016912</v>
      </c>
      <c r="D894" s="23">
        <v>2.1520858001266219</v>
      </c>
      <c r="E894" s="22">
        <v>117922010.82434486</v>
      </c>
      <c r="F894" s="23">
        <v>1.6620378366412023</v>
      </c>
      <c r="G894" s="22">
        <v>82895098.965824261</v>
      </c>
      <c r="H894" s="23">
        <v>0.49004796348541957</v>
      </c>
      <c r="I894" s="23">
        <f t="shared" si="37"/>
        <v>169157113.47158909</v>
      </c>
      <c r="J894" s="4">
        <f t="shared" si="36"/>
        <v>14701438.904562587</v>
      </c>
      <c r="L894" s="22"/>
      <c r="M894" s="22"/>
      <c r="N894" s="19"/>
    </row>
    <row r="895" spans="2:14" ht="11.1" customHeight="1" x14ac:dyDescent="0.3">
      <c r="B895" s="19">
        <v>888</v>
      </c>
      <c r="C895" s="22">
        <v>201613474.16903561</v>
      </c>
      <c r="D895" s="23">
        <v>2.1006026206043691</v>
      </c>
      <c r="E895" s="22">
        <v>118450699.97591913</v>
      </c>
      <c r="F895" s="23">
        <v>1.6315847723769585</v>
      </c>
      <c r="G895" s="22">
        <v>83162774.193116486</v>
      </c>
      <c r="H895" s="23">
        <v>0.46901784822741055</v>
      </c>
      <c r="I895" s="23">
        <f t="shared" si="37"/>
        <v>177312600.16525796</v>
      </c>
      <c r="J895" s="4">
        <f t="shared" si="36"/>
        <v>14070535.446822317</v>
      </c>
      <c r="L895" s="22"/>
      <c r="M895" s="22"/>
      <c r="N895" s="19"/>
    </row>
    <row r="896" spans="2:14" ht="11.1" customHeight="1" x14ac:dyDescent="0.3">
      <c r="B896" s="19">
        <v>889</v>
      </c>
      <c r="C896" s="22">
        <v>201046026.57160395</v>
      </c>
      <c r="D896" s="23">
        <v>2.0978329955097306</v>
      </c>
      <c r="E896" s="22">
        <v>118176243.13065106</v>
      </c>
      <c r="F896" s="23">
        <v>1.6334334399071406</v>
      </c>
      <c r="G896" s="22">
        <v>82869783.440952897</v>
      </c>
      <c r="H896" s="23">
        <v>0.46439955560258994</v>
      </c>
      <c r="I896" s="23">
        <f t="shared" si="37"/>
        <v>178445010.20984769</v>
      </c>
      <c r="J896" s="4">
        <f t="shared" si="36"/>
        <v>13931986.668077698</v>
      </c>
      <c r="L896" s="22"/>
      <c r="M896" s="22"/>
      <c r="N896" s="19"/>
    </row>
    <row r="897" spans="2:14" ht="11.1" customHeight="1" x14ac:dyDescent="0.3">
      <c r="B897" s="19">
        <v>890</v>
      </c>
      <c r="C897" s="22">
        <v>204486825.24252823</v>
      </c>
      <c r="D897" s="23">
        <v>2.2756776998004673</v>
      </c>
      <c r="E897" s="22">
        <v>121230169.6676891</v>
      </c>
      <c r="F897" s="23">
        <v>1.7816059658614731</v>
      </c>
      <c r="G897" s="22">
        <v>83256655.57483913</v>
      </c>
      <c r="H897" s="23">
        <v>0.49407173393899417</v>
      </c>
      <c r="I897" s="23">
        <f t="shared" si="37"/>
        <v>168511270.44057795</v>
      </c>
      <c r="J897" s="4">
        <f t="shared" si="36"/>
        <v>14822152.018169826</v>
      </c>
      <c r="L897" s="22"/>
      <c r="M897" s="22"/>
      <c r="N897" s="19"/>
    </row>
    <row r="898" spans="2:14" ht="11.1" customHeight="1" x14ac:dyDescent="0.3">
      <c r="B898" s="19">
        <v>891</v>
      </c>
      <c r="C898" s="22">
        <v>207216853.59037942</v>
      </c>
      <c r="D898" s="23">
        <v>1.9708015339264104</v>
      </c>
      <c r="E898" s="22">
        <v>124157580.74211071</v>
      </c>
      <c r="F898" s="23">
        <v>1.5244244454433089</v>
      </c>
      <c r="G898" s="22">
        <v>83059272.848268703</v>
      </c>
      <c r="H898" s="23">
        <v>0.44637708848310154</v>
      </c>
      <c r="I898" s="23">
        <f t="shared" si="37"/>
        <v>186074229.59481281</v>
      </c>
      <c r="J898" s="4">
        <f t="shared" si="36"/>
        <v>13391312.654493047</v>
      </c>
      <c r="L898" s="22"/>
      <c r="M898" s="22"/>
      <c r="N898" s="19"/>
    </row>
    <row r="899" spans="2:14" ht="11.1" customHeight="1" x14ac:dyDescent="0.3">
      <c r="B899" s="19">
        <v>892</v>
      </c>
      <c r="C899" s="22">
        <v>203653830.21068728</v>
      </c>
      <c r="D899" s="23">
        <v>1.8989398167743206</v>
      </c>
      <c r="E899" s="22">
        <v>120923525.45736381</v>
      </c>
      <c r="F899" s="23">
        <v>1.4713167518624266</v>
      </c>
      <c r="G899" s="22">
        <v>82730304.753323466</v>
      </c>
      <c r="H899" s="23">
        <v>0.42762306491189395</v>
      </c>
      <c r="I899" s="23">
        <f t="shared" si="37"/>
        <v>193465487.57927486</v>
      </c>
      <c r="J899" s="4">
        <f t="shared" si="36"/>
        <v>12828691.947356818</v>
      </c>
      <c r="L899" s="22"/>
      <c r="M899" s="22"/>
      <c r="N899" s="19"/>
    </row>
    <row r="900" spans="2:14" ht="11.1" customHeight="1" x14ac:dyDescent="0.3">
      <c r="B900" s="19">
        <v>893</v>
      </c>
      <c r="C900" s="22">
        <v>204563108.76709712</v>
      </c>
      <c r="D900" s="23">
        <v>1.9764716825786974</v>
      </c>
      <c r="E900" s="22">
        <v>122168229.12395397</v>
      </c>
      <c r="F900" s="23">
        <v>1.5556150848004107</v>
      </c>
      <c r="G900" s="22">
        <v>82394879.643143147</v>
      </c>
      <c r="H900" s="23">
        <v>0.42085659777828677</v>
      </c>
      <c r="I900" s="23">
        <f t="shared" si="37"/>
        <v>195778989.98877034</v>
      </c>
      <c r="J900" s="4">
        <f t="shared" si="36"/>
        <v>12625697.933348604</v>
      </c>
      <c r="L900" s="22"/>
      <c r="M900" s="22"/>
      <c r="N900" s="19"/>
    </row>
    <row r="901" spans="2:14" ht="11.1" customHeight="1" x14ac:dyDescent="0.3">
      <c r="B901" s="19">
        <v>894</v>
      </c>
      <c r="C901" s="22">
        <v>203491906.14498582</v>
      </c>
      <c r="D901" s="23">
        <v>2.1292350407775467</v>
      </c>
      <c r="E901" s="22">
        <v>120656105.36736841</v>
      </c>
      <c r="F901" s="23">
        <v>1.6345159653463457</v>
      </c>
      <c r="G901" s="22">
        <v>82835800.77761741</v>
      </c>
      <c r="H901" s="23">
        <v>0.49471907543120097</v>
      </c>
      <c r="I901" s="23">
        <f t="shared" si="37"/>
        <v>167440078.40291399</v>
      </c>
      <c r="J901" s="4">
        <f t="shared" si="36"/>
        <v>14841572.26293603</v>
      </c>
      <c r="L901" s="22"/>
      <c r="M901" s="22"/>
      <c r="N901" s="19"/>
    </row>
    <row r="902" spans="2:14" ht="11.1" customHeight="1" x14ac:dyDescent="0.3">
      <c r="B902" s="19">
        <v>895</v>
      </c>
      <c r="C902" s="22">
        <v>202244397.10632867</v>
      </c>
      <c r="D902" s="23">
        <v>2.1111778455631094</v>
      </c>
      <c r="E902" s="22">
        <v>119026448.94262126</v>
      </c>
      <c r="F902" s="23">
        <v>1.6384531193792407</v>
      </c>
      <c r="G902" s="22">
        <v>83217948.163707405</v>
      </c>
      <c r="H902" s="23">
        <v>0.47272472618386874</v>
      </c>
      <c r="I902" s="23">
        <f t="shared" si="37"/>
        <v>176038915.57671419</v>
      </c>
      <c r="J902" s="4">
        <f t="shared" si="36"/>
        <v>14181741.785516063</v>
      </c>
      <c r="L902" s="22"/>
      <c r="M902" s="22"/>
      <c r="N902" s="19"/>
    </row>
    <row r="903" spans="2:14" ht="11.1" customHeight="1" x14ac:dyDescent="0.3">
      <c r="B903" s="19">
        <v>896</v>
      </c>
      <c r="C903" s="22">
        <v>202756025.30676889</v>
      </c>
      <c r="D903" s="23">
        <v>2.1994003797355188</v>
      </c>
      <c r="E903" s="22">
        <v>120165626.04553154</v>
      </c>
      <c r="F903" s="23">
        <v>1.7408209425097967</v>
      </c>
      <c r="G903" s="22">
        <v>82590399.261237353</v>
      </c>
      <c r="H903" s="23">
        <v>0.45857943722572214</v>
      </c>
      <c r="I903" s="23">
        <f t="shared" si="37"/>
        <v>180100529.06184861</v>
      </c>
      <c r="J903" s="4">
        <f t="shared" si="36"/>
        <v>13757383.116771664</v>
      </c>
      <c r="L903" s="22"/>
      <c r="M903" s="22"/>
      <c r="N903" s="19"/>
    </row>
    <row r="904" spans="2:14" ht="11.1" customHeight="1" x14ac:dyDescent="0.3">
      <c r="B904" s="19">
        <v>897</v>
      </c>
      <c r="C904" s="22">
        <v>198282262.52005786</v>
      </c>
      <c r="D904" s="23">
        <v>2.1356083115350857</v>
      </c>
      <c r="E904" s="22">
        <v>115226253.07571596</v>
      </c>
      <c r="F904" s="23">
        <v>1.6640503498743393</v>
      </c>
      <c r="G904" s="22">
        <v>83056009.444341898</v>
      </c>
      <c r="H904" s="23">
        <v>0.47155796166074637</v>
      </c>
      <c r="I904" s="23">
        <f t="shared" si="37"/>
        <v>176131072.31152001</v>
      </c>
      <c r="J904" s="4">
        <f t="shared" ref="J904:J967" si="38">threshold*H904</f>
        <v>14146738.849822391</v>
      </c>
      <c r="L904" s="22"/>
      <c r="M904" s="22"/>
      <c r="N904" s="19"/>
    </row>
    <row r="905" spans="2:14" ht="11.1" customHeight="1" x14ac:dyDescent="0.3">
      <c r="B905" s="19">
        <v>898</v>
      </c>
      <c r="C905" s="22">
        <v>199804154.87420517</v>
      </c>
      <c r="D905" s="23">
        <v>1.6930279291383101</v>
      </c>
      <c r="E905" s="22">
        <v>116704419.35967393</v>
      </c>
      <c r="F905" s="23">
        <v>1.250844392030966</v>
      </c>
      <c r="G905" s="22">
        <v>83099735.51453124</v>
      </c>
      <c r="H905" s="23">
        <v>0.44218353710734415</v>
      </c>
      <c r="I905" s="23">
        <f t="shared" ref="I905:I968" si="39">G905/H905</f>
        <v>187930414.72812229</v>
      </c>
      <c r="J905" s="4">
        <f t="shared" si="38"/>
        <v>13265506.113220325</v>
      </c>
      <c r="L905" s="22"/>
      <c r="M905" s="22"/>
      <c r="N905" s="19"/>
    </row>
    <row r="906" spans="2:14" ht="11.1" customHeight="1" x14ac:dyDescent="0.3">
      <c r="B906" s="19">
        <v>899</v>
      </c>
      <c r="C906" s="22">
        <v>198939081.70680988</v>
      </c>
      <c r="D906" s="23">
        <v>1.8030592228500892</v>
      </c>
      <c r="E906" s="22">
        <v>116153661.99218483</v>
      </c>
      <c r="F906" s="23">
        <v>1.3738057774440855</v>
      </c>
      <c r="G906" s="22">
        <v>82785419.714625046</v>
      </c>
      <c r="H906" s="23">
        <v>0.42925344540600374</v>
      </c>
      <c r="I906" s="23">
        <f t="shared" si="39"/>
        <v>192859068.6938425</v>
      </c>
      <c r="J906" s="4">
        <f t="shared" si="38"/>
        <v>12877603.362180112</v>
      </c>
      <c r="L906" s="22"/>
      <c r="M906" s="22"/>
      <c r="N906" s="19"/>
    </row>
    <row r="907" spans="2:14" ht="11.1" customHeight="1" x14ac:dyDescent="0.3">
      <c r="B907" s="19">
        <v>900</v>
      </c>
      <c r="C907" s="22">
        <v>205197851.5323883</v>
      </c>
      <c r="D907" s="23">
        <v>2.0620472001214489</v>
      </c>
      <c r="E907" s="22">
        <v>122556257.19367315</v>
      </c>
      <c r="F907" s="23">
        <v>1.5900162424815349</v>
      </c>
      <c r="G907" s="22">
        <v>82641594.338715151</v>
      </c>
      <c r="H907" s="23">
        <v>0.47203095763991398</v>
      </c>
      <c r="I907" s="23">
        <f t="shared" si="39"/>
        <v>175076640.6337226</v>
      </c>
      <c r="J907" s="4">
        <f t="shared" si="38"/>
        <v>14160928.72919742</v>
      </c>
      <c r="L907" s="22"/>
      <c r="M907" s="22"/>
      <c r="N907" s="19"/>
    </row>
    <row r="908" spans="2:14" ht="11.1" customHeight="1" x14ac:dyDescent="0.3">
      <c r="B908" s="19">
        <v>901</v>
      </c>
      <c r="C908" s="22">
        <v>198343235.45337072</v>
      </c>
      <c r="D908" s="23">
        <v>1.9455076779400515</v>
      </c>
      <c r="E908" s="22">
        <v>115355142.69741194</v>
      </c>
      <c r="F908" s="23">
        <v>1.4685076196115965</v>
      </c>
      <c r="G908" s="22">
        <v>82988092.755958781</v>
      </c>
      <c r="H908" s="23">
        <v>0.47700005832845505</v>
      </c>
      <c r="I908" s="23">
        <f t="shared" si="39"/>
        <v>173979208.82184553</v>
      </c>
      <c r="J908" s="4">
        <f t="shared" si="38"/>
        <v>14310001.749853652</v>
      </c>
      <c r="L908" s="22"/>
      <c r="M908" s="22"/>
      <c r="N908" s="19"/>
    </row>
    <row r="909" spans="2:14" ht="11.1" customHeight="1" x14ac:dyDescent="0.3">
      <c r="B909" s="19">
        <v>902</v>
      </c>
      <c r="C909" s="22">
        <v>200192278.73209485</v>
      </c>
      <c r="D909" s="23">
        <v>1.9593471679409544</v>
      </c>
      <c r="E909" s="22">
        <v>117267150.92653371</v>
      </c>
      <c r="F909" s="23">
        <v>1.4969113530233513</v>
      </c>
      <c r="G909" s="22">
        <v>82925127.80556114</v>
      </c>
      <c r="H909" s="23">
        <v>0.46243581491760311</v>
      </c>
      <c r="I909" s="23">
        <f t="shared" si="39"/>
        <v>179322459.74576333</v>
      </c>
      <c r="J909" s="4">
        <f t="shared" si="38"/>
        <v>13873074.447528094</v>
      </c>
      <c r="L909" s="22"/>
      <c r="M909" s="22"/>
      <c r="N909" s="19"/>
    </row>
    <row r="910" spans="2:14" ht="11.1" customHeight="1" x14ac:dyDescent="0.3">
      <c r="B910" s="19">
        <v>903</v>
      </c>
      <c r="C910" s="22">
        <v>199687409.39975888</v>
      </c>
      <c r="D910" s="23">
        <v>2.4472265465966379</v>
      </c>
      <c r="E910" s="22">
        <v>116568149.10918057</v>
      </c>
      <c r="F910" s="23">
        <v>1.9843654698166702</v>
      </c>
      <c r="G910" s="22">
        <v>83119260.290578306</v>
      </c>
      <c r="H910" s="23">
        <v>0.46286107677996768</v>
      </c>
      <c r="I910" s="23">
        <f t="shared" si="39"/>
        <v>179577122.51119158</v>
      </c>
      <c r="J910" s="4">
        <f t="shared" si="38"/>
        <v>13885832.30339903</v>
      </c>
      <c r="L910" s="22"/>
      <c r="M910" s="22"/>
      <c r="N910" s="19"/>
    </row>
    <row r="911" spans="2:14" ht="11.1" customHeight="1" x14ac:dyDescent="0.3">
      <c r="B911" s="19">
        <v>904</v>
      </c>
      <c r="C911" s="22">
        <v>202470947.33509651</v>
      </c>
      <c r="D911" s="23">
        <v>2.1777989873226127</v>
      </c>
      <c r="E911" s="22">
        <v>119597415.25056702</v>
      </c>
      <c r="F911" s="23">
        <v>1.733229734590721</v>
      </c>
      <c r="G911" s="22">
        <v>82873532.084529489</v>
      </c>
      <c r="H911" s="23">
        <v>0.44456925273189163</v>
      </c>
      <c r="I911" s="23">
        <f t="shared" si="39"/>
        <v>186413098.91601613</v>
      </c>
      <c r="J911" s="4">
        <f t="shared" si="38"/>
        <v>13337077.58195675</v>
      </c>
      <c r="L911" s="22"/>
      <c r="M911" s="22"/>
      <c r="N911" s="19"/>
    </row>
    <row r="912" spans="2:14" ht="11.1" customHeight="1" x14ac:dyDescent="0.3">
      <c r="B912" s="19">
        <v>905</v>
      </c>
      <c r="C912" s="22">
        <v>205081849.0605756</v>
      </c>
      <c r="D912" s="23">
        <v>2.2232481023554223</v>
      </c>
      <c r="E912" s="22">
        <v>122200658.74251965</v>
      </c>
      <c r="F912" s="23">
        <v>1.7426715529651495</v>
      </c>
      <c r="G912" s="22">
        <v>82881190.318055958</v>
      </c>
      <c r="H912" s="23">
        <v>0.48057654939027272</v>
      </c>
      <c r="I912" s="23">
        <f t="shared" si="39"/>
        <v>172461994.70866969</v>
      </c>
      <c r="J912" s="4">
        <f t="shared" si="38"/>
        <v>14417296.481708182</v>
      </c>
      <c r="L912" s="22"/>
      <c r="M912" s="22"/>
      <c r="N912" s="19"/>
    </row>
    <row r="913" spans="2:14" ht="11.1" customHeight="1" x14ac:dyDescent="0.3">
      <c r="B913" s="19">
        <v>906</v>
      </c>
      <c r="C913" s="22">
        <v>200468905.8731789</v>
      </c>
      <c r="D913" s="23">
        <v>1.8066027556041235</v>
      </c>
      <c r="E913" s="22">
        <v>117449301.03918552</v>
      </c>
      <c r="F913" s="23">
        <v>1.3732334744739305</v>
      </c>
      <c r="G913" s="22">
        <v>83019604.833993375</v>
      </c>
      <c r="H913" s="23">
        <v>0.43336928113019302</v>
      </c>
      <c r="I913" s="23">
        <f t="shared" si="39"/>
        <v>191567811.67664856</v>
      </c>
      <c r="J913" s="4">
        <f t="shared" si="38"/>
        <v>13001078.43390579</v>
      </c>
      <c r="L913" s="22"/>
      <c r="M913" s="22"/>
      <c r="N913" s="19"/>
    </row>
    <row r="914" spans="2:14" ht="11.1" customHeight="1" x14ac:dyDescent="0.3">
      <c r="B914" s="19">
        <v>907</v>
      </c>
      <c r="C914" s="22">
        <v>197286245.06411347</v>
      </c>
      <c r="D914" s="23">
        <v>2.1192706679717754</v>
      </c>
      <c r="E914" s="22">
        <v>113737887.58726116</v>
      </c>
      <c r="F914" s="23">
        <v>1.6587800580608092</v>
      </c>
      <c r="G914" s="22">
        <v>83548357.476852313</v>
      </c>
      <c r="H914" s="23">
        <v>0.46049060991096624</v>
      </c>
      <c r="I914" s="23">
        <f t="shared" si="39"/>
        <v>181433357.55099547</v>
      </c>
      <c r="J914" s="4">
        <f t="shared" si="38"/>
        <v>13814718.297328988</v>
      </c>
      <c r="L914" s="22"/>
      <c r="M914" s="22"/>
      <c r="N914" s="19"/>
    </row>
    <row r="915" spans="2:14" ht="11.1" customHeight="1" x14ac:dyDescent="0.3">
      <c r="B915" s="19">
        <v>908</v>
      </c>
      <c r="C915" s="22">
        <v>200868081.52424297</v>
      </c>
      <c r="D915" s="23">
        <v>1.9859276774997567</v>
      </c>
      <c r="E915" s="22">
        <v>117645028.61633724</v>
      </c>
      <c r="F915" s="23">
        <v>1.5099387769127626</v>
      </c>
      <c r="G915" s="22">
        <v>83223052.907905728</v>
      </c>
      <c r="H915" s="23">
        <v>0.47598890058699417</v>
      </c>
      <c r="I915" s="23">
        <f t="shared" si="39"/>
        <v>174842423.43734118</v>
      </c>
      <c r="J915" s="4">
        <f t="shared" si="38"/>
        <v>14279667.017609825</v>
      </c>
      <c r="L915" s="22"/>
      <c r="M915" s="22"/>
      <c r="N915" s="19"/>
    </row>
    <row r="916" spans="2:14" ht="11.1" customHeight="1" x14ac:dyDescent="0.3">
      <c r="B916" s="19">
        <v>909</v>
      </c>
      <c r="C916" s="22">
        <v>200873123.45381513</v>
      </c>
      <c r="D916" s="23">
        <v>1.9601603606641762</v>
      </c>
      <c r="E916" s="22">
        <v>117567788.69359013</v>
      </c>
      <c r="F916" s="23">
        <v>1.5062594189513909</v>
      </c>
      <c r="G916" s="22">
        <v>83305334.760224998</v>
      </c>
      <c r="H916" s="23">
        <v>0.45390094171278528</v>
      </c>
      <c r="I916" s="23">
        <f t="shared" si="39"/>
        <v>183531971.63652962</v>
      </c>
      <c r="J916" s="4">
        <f t="shared" si="38"/>
        <v>13617028.251383558</v>
      </c>
      <c r="L916" s="22"/>
      <c r="M916" s="22"/>
      <c r="N916" s="19"/>
    </row>
    <row r="917" spans="2:14" ht="11.1" customHeight="1" x14ac:dyDescent="0.3">
      <c r="B917" s="19">
        <v>910</v>
      </c>
      <c r="C917" s="22">
        <v>200125472.04328033</v>
      </c>
      <c r="D917" s="23">
        <v>1.9808223179753788</v>
      </c>
      <c r="E917" s="22">
        <v>116960383.88190834</v>
      </c>
      <c r="F917" s="23">
        <v>1.5200470953871528</v>
      </c>
      <c r="G917" s="22">
        <v>83165088.161371991</v>
      </c>
      <c r="H917" s="23">
        <v>0.46077522258822601</v>
      </c>
      <c r="I917" s="23">
        <f t="shared" si="39"/>
        <v>180489497.01380292</v>
      </c>
      <c r="J917" s="4">
        <f t="shared" si="38"/>
        <v>13823256.67764678</v>
      </c>
      <c r="L917" s="22"/>
      <c r="M917" s="22"/>
      <c r="N917" s="19"/>
    </row>
    <row r="918" spans="2:14" ht="11.1" customHeight="1" x14ac:dyDescent="0.3">
      <c r="B918" s="19">
        <v>911</v>
      </c>
      <c r="C918" s="22">
        <v>201770055.95364517</v>
      </c>
      <c r="D918" s="23">
        <v>2.4542501783057604</v>
      </c>
      <c r="E918" s="22">
        <v>118620932.76553194</v>
      </c>
      <c r="F918" s="23">
        <v>2.050039909830033</v>
      </c>
      <c r="G918" s="22">
        <v>83149123.188113227</v>
      </c>
      <c r="H918" s="23">
        <v>0.40421026847572739</v>
      </c>
      <c r="I918" s="23">
        <f t="shared" si="39"/>
        <v>205707597.43850073</v>
      </c>
      <c r="J918" s="4">
        <f t="shared" si="38"/>
        <v>12126308.054271821</v>
      </c>
      <c r="L918" s="22"/>
      <c r="M918" s="22"/>
      <c r="N918" s="19"/>
    </row>
    <row r="919" spans="2:14" ht="11.1" customHeight="1" x14ac:dyDescent="0.3">
      <c r="B919" s="19">
        <v>912</v>
      </c>
      <c r="C919" s="22">
        <v>201952295.22807273</v>
      </c>
      <c r="D919" s="23">
        <v>1.8912316571854697</v>
      </c>
      <c r="E919" s="22">
        <v>118807888.54644842</v>
      </c>
      <c r="F919" s="23">
        <v>1.4377258963919259</v>
      </c>
      <c r="G919" s="22">
        <v>83144406.681624308</v>
      </c>
      <c r="H919" s="23">
        <v>0.45350576079354377</v>
      </c>
      <c r="I919" s="23">
        <f t="shared" si="39"/>
        <v>183337046.33903292</v>
      </c>
      <c r="J919" s="4">
        <f t="shared" si="38"/>
        <v>13605172.823806314</v>
      </c>
      <c r="L919" s="22"/>
      <c r="M919" s="22"/>
      <c r="N919" s="19"/>
    </row>
    <row r="920" spans="2:14" ht="11.1" customHeight="1" x14ac:dyDescent="0.3">
      <c r="B920" s="19">
        <v>913</v>
      </c>
      <c r="C920" s="22">
        <v>203009489.94516775</v>
      </c>
      <c r="D920" s="23">
        <v>2.4827950179152674</v>
      </c>
      <c r="E920" s="22">
        <v>119564384.42222796</v>
      </c>
      <c r="F920" s="23">
        <v>2.0045187534040005</v>
      </c>
      <c r="G920" s="22">
        <v>83445105.522939786</v>
      </c>
      <c r="H920" s="23">
        <v>0.47827626451126681</v>
      </c>
      <c r="I920" s="23">
        <f t="shared" si="39"/>
        <v>174470513.62293571</v>
      </c>
      <c r="J920" s="4">
        <f t="shared" si="38"/>
        <v>14348287.935338004</v>
      </c>
      <c r="L920" s="22"/>
      <c r="M920" s="22"/>
      <c r="N920" s="19"/>
    </row>
    <row r="921" spans="2:14" ht="11.1" customHeight="1" x14ac:dyDescent="0.3">
      <c r="B921" s="19">
        <v>914</v>
      </c>
      <c r="C921" s="22">
        <v>199676604.04614505</v>
      </c>
      <c r="D921" s="23">
        <v>2.1028244595628767</v>
      </c>
      <c r="E921" s="22">
        <v>116764132.34967831</v>
      </c>
      <c r="F921" s="23">
        <v>1.6276395603753717</v>
      </c>
      <c r="G921" s="22">
        <v>82912471.696466744</v>
      </c>
      <c r="H921" s="23">
        <v>0.47518489918750495</v>
      </c>
      <c r="I921" s="23">
        <f t="shared" si="39"/>
        <v>174484651.84443921</v>
      </c>
      <c r="J921" s="4">
        <f t="shared" si="38"/>
        <v>14255546.975625148</v>
      </c>
      <c r="L921" s="22"/>
      <c r="M921" s="22"/>
      <c r="N921" s="19"/>
    </row>
    <row r="922" spans="2:14" ht="11.1" customHeight="1" x14ac:dyDescent="0.3">
      <c r="B922" s="19">
        <v>915</v>
      </c>
      <c r="C922" s="22">
        <v>200921114.92269632</v>
      </c>
      <c r="D922" s="23">
        <v>1.8075284930895184</v>
      </c>
      <c r="E922" s="22">
        <v>117612369.34490308</v>
      </c>
      <c r="F922" s="23">
        <v>1.3716401832712282</v>
      </c>
      <c r="G922" s="22">
        <v>83308745.577793241</v>
      </c>
      <c r="H922" s="23">
        <v>0.43588830981829019</v>
      </c>
      <c r="I922" s="23">
        <f t="shared" si="39"/>
        <v>191124064.81495765</v>
      </c>
      <c r="J922" s="4">
        <f t="shared" si="38"/>
        <v>13076649.294548705</v>
      </c>
      <c r="L922" s="22"/>
      <c r="M922" s="22"/>
      <c r="N922" s="19"/>
    </row>
    <row r="923" spans="2:14" ht="11.1" customHeight="1" x14ac:dyDescent="0.3">
      <c r="B923" s="19">
        <v>916</v>
      </c>
      <c r="C923" s="22">
        <v>200937806.22244412</v>
      </c>
      <c r="D923" s="23">
        <v>2.2398987751044364</v>
      </c>
      <c r="E923" s="22">
        <v>117944046.8498304</v>
      </c>
      <c r="F923" s="23">
        <v>1.8191644048246278</v>
      </c>
      <c r="G923" s="22">
        <v>82993759.372613713</v>
      </c>
      <c r="H923" s="23">
        <v>0.42073437027980853</v>
      </c>
      <c r="I923" s="23">
        <f t="shared" si="39"/>
        <v>197259280.99817204</v>
      </c>
      <c r="J923" s="4">
        <f t="shared" si="38"/>
        <v>12622031.108394256</v>
      </c>
      <c r="L923" s="22"/>
      <c r="M923" s="22"/>
      <c r="N923" s="19"/>
    </row>
    <row r="924" spans="2:14" ht="11.1" customHeight="1" x14ac:dyDescent="0.3">
      <c r="B924" s="19">
        <v>917</v>
      </c>
      <c r="C924" s="22">
        <v>200053862.26903766</v>
      </c>
      <c r="D924" s="23">
        <v>1.7228538858926403</v>
      </c>
      <c r="E924" s="22">
        <v>116705247.21607867</v>
      </c>
      <c r="F924" s="23">
        <v>1.2910921707940717</v>
      </c>
      <c r="G924" s="22">
        <v>83348615.052958995</v>
      </c>
      <c r="H924" s="23">
        <v>0.43176171509856864</v>
      </c>
      <c r="I924" s="23">
        <f t="shared" si="39"/>
        <v>193043088.67202595</v>
      </c>
      <c r="J924" s="4">
        <f t="shared" si="38"/>
        <v>12952851.45295706</v>
      </c>
      <c r="L924" s="22"/>
      <c r="M924" s="22"/>
      <c r="N924" s="19"/>
    </row>
    <row r="925" spans="2:14" ht="11.1" customHeight="1" x14ac:dyDescent="0.3">
      <c r="B925" s="19">
        <v>918</v>
      </c>
      <c r="C925" s="22">
        <v>198972161.99968866</v>
      </c>
      <c r="D925" s="23">
        <v>1.6719240755773719</v>
      </c>
      <c r="E925" s="22">
        <v>115522272.01592365</v>
      </c>
      <c r="F925" s="23">
        <v>1.2480037516693572</v>
      </c>
      <c r="G925" s="22">
        <v>83449889.983765006</v>
      </c>
      <c r="H925" s="23">
        <v>0.42392032390801471</v>
      </c>
      <c r="I925" s="23">
        <f t="shared" si="39"/>
        <v>196852769.91313246</v>
      </c>
      <c r="J925" s="4">
        <f t="shared" si="38"/>
        <v>12717609.717240442</v>
      </c>
      <c r="L925" s="22"/>
      <c r="M925" s="22"/>
      <c r="N925" s="19"/>
    </row>
    <row r="926" spans="2:14" ht="11.1" customHeight="1" x14ac:dyDescent="0.3">
      <c r="B926" s="19">
        <v>919</v>
      </c>
      <c r="C926" s="22">
        <v>201154491.02921492</v>
      </c>
      <c r="D926" s="23">
        <v>2.1681120490070769</v>
      </c>
      <c r="E926" s="22">
        <v>118498158.992846</v>
      </c>
      <c r="F926" s="23">
        <v>1.7273573849117612</v>
      </c>
      <c r="G926" s="22">
        <v>82656332.036368921</v>
      </c>
      <c r="H926" s="23">
        <v>0.44075466409531572</v>
      </c>
      <c r="I926" s="23">
        <f t="shared" si="39"/>
        <v>187533652.55028594</v>
      </c>
      <c r="J926" s="4">
        <f t="shared" si="38"/>
        <v>13222639.922859471</v>
      </c>
      <c r="L926" s="22"/>
      <c r="M926" s="22"/>
      <c r="N926" s="19"/>
    </row>
    <row r="927" spans="2:14" ht="11.1" customHeight="1" x14ac:dyDescent="0.3">
      <c r="B927" s="19">
        <v>920</v>
      </c>
      <c r="C927" s="22">
        <v>204802849.36515212</v>
      </c>
      <c r="D927" s="23">
        <v>1.75746693920136</v>
      </c>
      <c r="E927" s="22">
        <v>121710307.20453203</v>
      </c>
      <c r="F927" s="23">
        <v>1.292794562201707</v>
      </c>
      <c r="G927" s="22">
        <v>83092542.160620093</v>
      </c>
      <c r="H927" s="23">
        <v>0.46467237699965303</v>
      </c>
      <c r="I927" s="23">
        <f t="shared" si="39"/>
        <v>178819629.21304044</v>
      </c>
      <c r="J927" s="4">
        <f t="shared" si="38"/>
        <v>13940171.30998959</v>
      </c>
      <c r="L927" s="22"/>
      <c r="M927" s="22"/>
      <c r="N927" s="19"/>
    </row>
    <row r="928" spans="2:14" ht="11.1" customHeight="1" x14ac:dyDescent="0.3">
      <c r="B928" s="19">
        <v>921</v>
      </c>
      <c r="C928" s="22">
        <v>204914622.66315475</v>
      </c>
      <c r="D928" s="23">
        <v>2.0429788185753854</v>
      </c>
      <c r="E928" s="22">
        <v>122100284.55038284</v>
      </c>
      <c r="F928" s="23">
        <v>1.6105197067156654</v>
      </c>
      <c r="G928" s="22">
        <v>82814338.112771913</v>
      </c>
      <c r="H928" s="23">
        <v>0.43245911185972008</v>
      </c>
      <c r="I928" s="23">
        <f t="shared" si="39"/>
        <v>191496342.29382363</v>
      </c>
      <c r="J928" s="4">
        <f t="shared" si="38"/>
        <v>12973773.355791602</v>
      </c>
      <c r="L928" s="22"/>
      <c r="M928" s="22"/>
      <c r="N928" s="19"/>
    </row>
    <row r="929" spans="2:14" ht="11.1" customHeight="1" x14ac:dyDescent="0.3">
      <c r="B929" s="19">
        <v>922</v>
      </c>
      <c r="C929" s="22">
        <v>202651261.59583968</v>
      </c>
      <c r="D929" s="23">
        <v>1.9131506217353662</v>
      </c>
      <c r="E929" s="22">
        <v>119679726.00917698</v>
      </c>
      <c r="F929" s="23">
        <v>1.4437735799814895</v>
      </c>
      <c r="G929" s="22">
        <v>82971535.586662695</v>
      </c>
      <c r="H929" s="23">
        <v>0.46937704175387673</v>
      </c>
      <c r="I929" s="23">
        <f t="shared" si="39"/>
        <v>176769479.98272523</v>
      </c>
      <c r="J929" s="4">
        <f t="shared" si="38"/>
        <v>14081311.252616301</v>
      </c>
      <c r="L929" s="22"/>
      <c r="M929" s="22"/>
      <c r="N929" s="19"/>
    </row>
    <row r="930" spans="2:14" ht="11.1" customHeight="1" x14ac:dyDescent="0.3">
      <c r="B930" s="19">
        <v>923</v>
      </c>
      <c r="C930" s="22">
        <v>203155447.44930667</v>
      </c>
      <c r="D930" s="23">
        <v>2.1564595235521224</v>
      </c>
      <c r="E930" s="22">
        <v>119756883.1670191</v>
      </c>
      <c r="F930" s="23">
        <v>1.6766345803937779</v>
      </c>
      <c r="G930" s="22">
        <v>83398564.282287568</v>
      </c>
      <c r="H930" s="23">
        <v>0.47982494315834456</v>
      </c>
      <c r="I930" s="23">
        <f t="shared" si="39"/>
        <v>173810397.8783063</v>
      </c>
      <c r="J930" s="4">
        <f t="shared" si="38"/>
        <v>14394748.294750337</v>
      </c>
      <c r="L930" s="22"/>
      <c r="M930" s="22"/>
      <c r="N930" s="19"/>
    </row>
    <row r="931" spans="2:14" ht="11.1" customHeight="1" x14ac:dyDescent="0.3">
      <c r="B931" s="19">
        <v>924</v>
      </c>
      <c r="C931" s="22">
        <v>198898846.5650939</v>
      </c>
      <c r="D931" s="23">
        <v>1.9195987581581202</v>
      </c>
      <c r="E931" s="22">
        <v>115721246.84382509</v>
      </c>
      <c r="F931" s="23">
        <v>1.4407506463540301</v>
      </c>
      <c r="G931" s="22">
        <v>83177599.721268818</v>
      </c>
      <c r="H931" s="23">
        <v>0.47884811180409015</v>
      </c>
      <c r="I931" s="23">
        <f t="shared" si="39"/>
        <v>173703514.05979657</v>
      </c>
      <c r="J931" s="4">
        <f t="shared" si="38"/>
        <v>14365443.354122704</v>
      </c>
      <c r="L931" s="22"/>
      <c r="M931" s="22"/>
      <c r="N931" s="19"/>
    </row>
    <row r="932" spans="2:14" ht="11.1" customHeight="1" x14ac:dyDescent="0.3">
      <c r="B932" s="19">
        <v>925</v>
      </c>
      <c r="C932" s="22">
        <v>203985984.28782767</v>
      </c>
      <c r="D932" s="23">
        <v>2.0255414298906254</v>
      </c>
      <c r="E932" s="22">
        <v>121003640.93722267</v>
      </c>
      <c r="F932" s="23">
        <v>1.5440939839136563</v>
      </c>
      <c r="G932" s="22">
        <v>82982343.350604996</v>
      </c>
      <c r="H932" s="23">
        <v>0.48144744597696909</v>
      </c>
      <c r="I932" s="23">
        <f t="shared" si="39"/>
        <v>172360127.8686077</v>
      </c>
      <c r="J932" s="4">
        <f t="shared" si="38"/>
        <v>14443423.379309073</v>
      </c>
      <c r="L932" s="22"/>
      <c r="M932" s="22"/>
      <c r="N932" s="19"/>
    </row>
    <row r="933" spans="2:14" ht="11.1" customHeight="1" x14ac:dyDescent="0.3">
      <c r="B933" s="19">
        <v>926</v>
      </c>
      <c r="C933" s="22">
        <v>201067197.29390508</v>
      </c>
      <c r="D933" s="23">
        <v>1.9445403564733332</v>
      </c>
      <c r="E933" s="22">
        <v>118278731.32986228</v>
      </c>
      <c r="F933" s="23">
        <v>1.5057828370532014</v>
      </c>
      <c r="G933" s="22">
        <v>82788465.964042798</v>
      </c>
      <c r="H933" s="23">
        <v>0.43875751942013186</v>
      </c>
      <c r="I933" s="23">
        <f t="shared" si="39"/>
        <v>188688426.52191398</v>
      </c>
      <c r="J933" s="4">
        <f t="shared" si="38"/>
        <v>13162725.582603956</v>
      </c>
      <c r="L933" s="22"/>
      <c r="M933" s="22"/>
      <c r="N933" s="19"/>
    </row>
    <row r="934" spans="2:14" ht="11.1" customHeight="1" x14ac:dyDescent="0.3">
      <c r="B934" s="19">
        <v>927</v>
      </c>
      <c r="C934" s="22">
        <v>201694173.18855074</v>
      </c>
      <c r="D934" s="23">
        <v>1.8428147894359932</v>
      </c>
      <c r="E934" s="22">
        <v>118764147.04918617</v>
      </c>
      <c r="F934" s="23">
        <v>1.3870316100245952</v>
      </c>
      <c r="G934" s="22">
        <v>82930026.13936457</v>
      </c>
      <c r="H934" s="23">
        <v>0.45578317941139801</v>
      </c>
      <c r="I934" s="23">
        <f t="shared" si="39"/>
        <v>181950606.96724495</v>
      </c>
      <c r="J934" s="4">
        <f t="shared" si="38"/>
        <v>13673495.38234194</v>
      </c>
      <c r="L934" s="22"/>
      <c r="M934" s="22"/>
      <c r="N934" s="19"/>
    </row>
    <row r="935" spans="2:14" ht="11.1" customHeight="1" x14ac:dyDescent="0.3">
      <c r="B935" s="19">
        <v>928</v>
      </c>
      <c r="C935" s="22">
        <v>203369390.92839211</v>
      </c>
      <c r="D935" s="23">
        <v>2.0504539973759583</v>
      </c>
      <c r="E935" s="22">
        <v>120630445.80923648</v>
      </c>
      <c r="F935" s="23">
        <v>1.6257919825288805</v>
      </c>
      <c r="G935" s="22">
        <v>82738945.11915563</v>
      </c>
      <c r="H935" s="23">
        <v>0.42466201484707788</v>
      </c>
      <c r="I935" s="23">
        <f t="shared" si="39"/>
        <v>194834815.04450119</v>
      </c>
      <c r="J935" s="4">
        <f t="shared" si="38"/>
        <v>12739860.445412336</v>
      </c>
      <c r="L935" s="22"/>
      <c r="M935" s="22"/>
      <c r="N935" s="19"/>
    </row>
    <row r="936" spans="2:14" ht="11.1" customHeight="1" x14ac:dyDescent="0.3">
      <c r="B936" s="19">
        <v>929</v>
      </c>
      <c r="C936" s="22">
        <v>200156739.59551549</v>
      </c>
      <c r="D936" s="23">
        <v>1.8947302317410866</v>
      </c>
      <c r="E936" s="22">
        <v>116956614.41295245</v>
      </c>
      <c r="F936" s="23">
        <v>1.4859139806486827</v>
      </c>
      <c r="G936" s="22">
        <v>83200125.182563037</v>
      </c>
      <c r="H936" s="23">
        <v>0.40881625109240383</v>
      </c>
      <c r="I936" s="23">
        <f t="shared" si="39"/>
        <v>203514720.75839153</v>
      </c>
      <c r="J936" s="4">
        <f t="shared" si="38"/>
        <v>12264487.532772115</v>
      </c>
      <c r="L936" s="22"/>
      <c r="M936" s="22"/>
      <c r="N936" s="19"/>
    </row>
    <row r="937" spans="2:14" ht="11.1" customHeight="1" x14ac:dyDescent="0.3">
      <c r="B937" s="19">
        <v>930</v>
      </c>
      <c r="C937" s="22">
        <v>203087312.65623114</v>
      </c>
      <c r="D937" s="23">
        <v>1.8655531790513609</v>
      </c>
      <c r="E937" s="22">
        <v>120018036.89185725</v>
      </c>
      <c r="F937" s="23">
        <v>1.4499501991102395</v>
      </c>
      <c r="G937" s="22">
        <v>83069275.764373884</v>
      </c>
      <c r="H937" s="23">
        <v>0.41560297994112139</v>
      </c>
      <c r="I937" s="23">
        <f t="shared" si="39"/>
        <v>199876516.22743979</v>
      </c>
      <c r="J937" s="4">
        <f t="shared" si="38"/>
        <v>12468089.398233641</v>
      </c>
      <c r="L937" s="22"/>
      <c r="M937" s="22"/>
      <c r="N937" s="19"/>
    </row>
    <row r="938" spans="2:14" ht="11.1" customHeight="1" x14ac:dyDescent="0.3">
      <c r="B938" s="19">
        <v>931</v>
      </c>
      <c r="C938" s="22">
        <v>201111828.18190715</v>
      </c>
      <c r="D938" s="23">
        <v>1.8870664009000362</v>
      </c>
      <c r="E938" s="22">
        <v>117804489.90969343</v>
      </c>
      <c r="F938" s="23">
        <v>1.4343685269336832</v>
      </c>
      <c r="G938" s="22">
        <v>83307338.272213712</v>
      </c>
      <c r="H938" s="23">
        <v>0.45269787396635297</v>
      </c>
      <c r="I938" s="23">
        <f t="shared" si="39"/>
        <v>184024142.95059308</v>
      </c>
      <c r="J938" s="4">
        <f t="shared" si="38"/>
        <v>13580936.218990589</v>
      </c>
      <c r="L938" s="22"/>
      <c r="M938" s="22"/>
      <c r="N938" s="19"/>
    </row>
    <row r="939" spans="2:14" ht="11.1" customHeight="1" x14ac:dyDescent="0.3">
      <c r="B939" s="19">
        <v>932</v>
      </c>
      <c r="C939" s="22">
        <v>198511029.78266335</v>
      </c>
      <c r="D939" s="23">
        <v>1.9667989182120216</v>
      </c>
      <c r="E939" s="22">
        <v>115349238.94747664</v>
      </c>
      <c r="F939" s="23">
        <v>1.5008339429134889</v>
      </c>
      <c r="G939" s="22">
        <v>83161790.835186705</v>
      </c>
      <c r="H939" s="23">
        <v>0.46596497529853265</v>
      </c>
      <c r="I939" s="23">
        <f t="shared" si="39"/>
        <v>178472192.64045957</v>
      </c>
      <c r="J939" s="4">
        <f t="shared" si="38"/>
        <v>13978949.25895598</v>
      </c>
      <c r="L939" s="22"/>
      <c r="M939" s="22"/>
      <c r="N939" s="19"/>
    </row>
    <row r="940" spans="2:14" ht="11.1" customHeight="1" x14ac:dyDescent="0.3">
      <c r="B940" s="19">
        <v>933</v>
      </c>
      <c r="C940" s="22">
        <v>204156066.5283953</v>
      </c>
      <c r="D940" s="23">
        <v>1.9317107346099993</v>
      </c>
      <c r="E940" s="22">
        <v>121882043.78544641</v>
      </c>
      <c r="F940" s="23">
        <v>1.4616885714391865</v>
      </c>
      <c r="G940" s="22">
        <v>82274022.74294889</v>
      </c>
      <c r="H940" s="23">
        <v>0.4700221631708128</v>
      </c>
      <c r="I940" s="23">
        <f t="shared" si="39"/>
        <v>175042857.95359257</v>
      </c>
      <c r="J940" s="4">
        <f t="shared" si="38"/>
        <v>14100664.895124383</v>
      </c>
      <c r="L940" s="22"/>
      <c r="M940" s="22"/>
      <c r="N940" s="19"/>
    </row>
    <row r="941" spans="2:14" ht="11.1" customHeight="1" x14ac:dyDescent="0.3">
      <c r="B941" s="19">
        <v>934</v>
      </c>
      <c r="C941" s="22">
        <v>204314893.13688383</v>
      </c>
      <c r="D941" s="23">
        <v>2.1098434935487029</v>
      </c>
      <c r="E941" s="22">
        <v>121583691.27037144</v>
      </c>
      <c r="F941" s="23">
        <v>1.6549410337614892</v>
      </c>
      <c r="G941" s="22">
        <v>82731201.866512388</v>
      </c>
      <c r="H941" s="23">
        <v>0.45490245978721378</v>
      </c>
      <c r="I941" s="23">
        <f t="shared" si="39"/>
        <v>181865804.60613671</v>
      </c>
      <c r="J941" s="4">
        <f t="shared" si="38"/>
        <v>13647073.793616414</v>
      </c>
      <c r="L941" s="22"/>
      <c r="M941" s="22"/>
      <c r="N941" s="19"/>
    </row>
    <row r="942" spans="2:14" ht="11.1" customHeight="1" x14ac:dyDescent="0.3">
      <c r="B942" s="19">
        <v>935</v>
      </c>
      <c r="C942" s="22">
        <v>203004969.10577303</v>
      </c>
      <c r="D942" s="23">
        <v>1.961011174167538</v>
      </c>
      <c r="E942" s="22">
        <v>120131237.20092435</v>
      </c>
      <c r="F942" s="23">
        <v>1.5252208303628878</v>
      </c>
      <c r="G942" s="22">
        <v>82873731.90484868</v>
      </c>
      <c r="H942" s="23">
        <v>0.4357903438046502</v>
      </c>
      <c r="I942" s="23">
        <f t="shared" si="39"/>
        <v>190168811.86793372</v>
      </c>
      <c r="J942" s="4">
        <f t="shared" si="38"/>
        <v>13073710.314139506</v>
      </c>
      <c r="L942" s="22"/>
      <c r="M942" s="22"/>
      <c r="N942" s="19"/>
    </row>
    <row r="943" spans="2:14" ht="11.1" customHeight="1" x14ac:dyDescent="0.3">
      <c r="B943" s="19">
        <v>936</v>
      </c>
      <c r="C943" s="22">
        <v>208214081.95369613</v>
      </c>
      <c r="D943" s="23">
        <v>2.2921286927401274</v>
      </c>
      <c r="E943" s="22">
        <v>125677064.82639983</v>
      </c>
      <c r="F943" s="23">
        <v>1.8100184659736767</v>
      </c>
      <c r="G943" s="22">
        <v>82537017.127296299</v>
      </c>
      <c r="H943" s="23">
        <v>0.48211022676645077</v>
      </c>
      <c r="I943" s="23">
        <f t="shared" si="39"/>
        <v>171199473.78191546</v>
      </c>
      <c r="J943" s="4">
        <f t="shared" si="38"/>
        <v>14463306.802993523</v>
      </c>
      <c r="L943" s="22"/>
      <c r="M943" s="22"/>
      <c r="N943" s="19"/>
    </row>
    <row r="944" spans="2:14" ht="11.1" customHeight="1" x14ac:dyDescent="0.3">
      <c r="B944" s="19">
        <v>937</v>
      </c>
      <c r="C944" s="22">
        <v>205971388.23586899</v>
      </c>
      <c r="D944" s="23">
        <v>2.4298214813045229</v>
      </c>
      <c r="E944" s="22">
        <v>122592140.23143706</v>
      </c>
      <c r="F944" s="23">
        <v>1.9689955531317602</v>
      </c>
      <c r="G944" s="22">
        <v>83379248.004431933</v>
      </c>
      <c r="H944" s="23">
        <v>0.46082592817276269</v>
      </c>
      <c r="I944" s="23">
        <f t="shared" si="39"/>
        <v>180934367.85347986</v>
      </c>
      <c r="J944" s="4">
        <f t="shared" si="38"/>
        <v>13824777.845182881</v>
      </c>
      <c r="L944" s="22"/>
      <c r="M944" s="22"/>
      <c r="N944" s="19"/>
    </row>
    <row r="945" spans="2:14" ht="11.1" customHeight="1" x14ac:dyDescent="0.3">
      <c r="B945" s="19">
        <v>938</v>
      </c>
      <c r="C945" s="22">
        <v>197201286.97777283</v>
      </c>
      <c r="D945" s="23">
        <v>2.0041220227857623</v>
      </c>
      <c r="E945" s="22">
        <v>114256260.72614624</v>
      </c>
      <c r="F945" s="23">
        <v>1.5383881714501573</v>
      </c>
      <c r="G945" s="22">
        <v>82945026.251626596</v>
      </c>
      <c r="H945" s="23">
        <v>0.46573385133560508</v>
      </c>
      <c r="I945" s="23">
        <f t="shared" si="39"/>
        <v>178095334.95098448</v>
      </c>
      <c r="J945" s="4">
        <f t="shared" si="38"/>
        <v>13972015.540068151</v>
      </c>
      <c r="L945" s="22"/>
      <c r="M945" s="22"/>
      <c r="N945" s="19"/>
    </row>
    <row r="946" spans="2:14" ht="11.1" customHeight="1" x14ac:dyDescent="0.3">
      <c r="B946" s="19">
        <v>939</v>
      </c>
      <c r="C946" s="22">
        <v>202587560.85497132</v>
      </c>
      <c r="D946" s="23">
        <v>1.6774874822698929</v>
      </c>
      <c r="E946" s="22">
        <v>119468080.1994804</v>
      </c>
      <c r="F946" s="23">
        <v>1.2364529913096247</v>
      </c>
      <c r="G946" s="22">
        <v>83119480.65549092</v>
      </c>
      <c r="H946" s="23">
        <v>0.44103449096026814</v>
      </c>
      <c r="I946" s="23">
        <f t="shared" si="39"/>
        <v>188464807.98931205</v>
      </c>
      <c r="J946" s="4">
        <f t="shared" si="38"/>
        <v>13231034.728808044</v>
      </c>
      <c r="L946" s="22"/>
      <c r="M946" s="22"/>
      <c r="N946" s="19"/>
    </row>
    <row r="947" spans="2:14" ht="11.1" customHeight="1" x14ac:dyDescent="0.3">
      <c r="B947" s="19">
        <v>940</v>
      </c>
      <c r="C947" s="22">
        <v>202982296.59074503</v>
      </c>
      <c r="D947" s="23">
        <v>2.1588366086868036</v>
      </c>
      <c r="E947" s="22">
        <v>120200542.38281856</v>
      </c>
      <c r="F947" s="23">
        <v>1.6733396933119178</v>
      </c>
      <c r="G947" s="22">
        <v>82781754.207926467</v>
      </c>
      <c r="H947" s="23">
        <v>0.48549691537488582</v>
      </c>
      <c r="I947" s="23">
        <f t="shared" si="39"/>
        <v>170509330.92747858</v>
      </c>
      <c r="J947" s="4">
        <f t="shared" si="38"/>
        <v>14564907.461246574</v>
      </c>
      <c r="L947" s="22"/>
      <c r="M947" s="22"/>
      <c r="N947" s="19"/>
    </row>
    <row r="948" spans="2:14" ht="11.1" customHeight="1" x14ac:dyDescent="0.3">
      <c r="B948" s="19">
        <v>941</v>
      </c>
      <c r="C948" s="22">
        <v>201073604.250604</v>
      </c>
      <c r="D948" s="23">
        <v>1.8042831043670202</v>
      </c>
      <c r="E948" s="22">
        <v>118378857.07518022</v>
      </c>
      <c r="F948" s="23">
        <v>1.3725729643799056</v>
      </c>
      <c r="G948" s="22">
        <v>82694747.175423786</v>
      </c>
      <c r="H948" s="23">
        <v>0.43171013998711461</v>
      </c>
      <c r="I948" s="23">
        <f t="shared" si="39"/>
        <v>191551551.6450274</v>
      </c>
      <c r="J948" s="4">
        <f t="shared" si="38"/>
        <v>12951304.199613439</v>
      </c>
      <c r="L948" s="22"/>
      <c r="M948" s="22"/>
      <c r="N948" s="19"/>
    </row>
    <row r="949" spans="2:14" ht="11.1" customHeight="1" x14ac:dyDescent="0.3">
      <c r="B949" s="19">
        <v>942</v>
      </c>
      <c r="C949" s="22">
        <v>202384292.03621927</v>
      </c>
      <c r="D949" s="23">
        <v>1.8529975904793621</v>
      </c>
      <c r="E949" s="22">
        <v>119417542.40350094</v>
      </c>
      <c r="F949" s="23">
        <v>1.4142746596985538</v>
      </c>
      <c r="G949" s="22">
        <v>82966749.632718325</v>
      </c>
      <c r="H949" s="23">
        <v>0.43872293078080826</v>
      </c>
      <c r="I949" s="23">
        <f t="shared" si="39"/>
        <v>189109672.21398693</v>
      </c>
      <c r="J949" s="4">
        <f t="shared" si="38"/>
        <v>13161687.923424248</v>
      </c>
      <c r="L949" s="22"/>
      <c r="M949" s="22"/>
      <c r="N949" s="19"/>
    </row>
    <row r="950" spans="2:14" ht="11.1" customHeight="1" x14ac:dyDescent="0.3">
      <c r="B950" s="19">
        <v>943</v>
      </c>
      <c r="C950" s="22">
        <v>198983490.7110028</v>
      </c>
      <c r="D950" s="23">
        <v>2.1522722260592104</v>
      </c>
      <c r="E950" s="22">
        <v>115656501.68147007</v>
      </c>
      <c r="F950" s="23">
        <v>1.6779690703402714</v>
      </c>
      <c r="G950" s="22">
        <v>83326989.029532731</v>
      </c>
      <c r="H950" s="23">
        <v>0.474303155718939</v>
      </c>
      <c r="I950" s="23">
        <f t="shared" si="39"/>
        <v>175682974.11647493</v>
      </c>
      <c r="J950" s="4">
        <f t="shared" si="38"/>
        <v>14229094.67156817</v>
      </c>
      <c r="L950" s="22"/>
      <c r="M950" s="22"/>
      <c r="N950" s="19"/>
    </row>
    <row r="951" spans="2:14" ht="11.1" customHeight="1" x14ac:dyDescent="0.3">
      <c r="B951" s="19">
        <v>944</v>
      </c>
      <c r="C951" s="22">
        <v>199653603.25509194</v>
      </c>
      <c r="D951" s="23">
        <v>1.9473750204144504</v>
      </c>
      <c r="E951" s="22">
        <v>116885164.45393933</v>
      </c>
      <c r="F951" s="23">
        <v>1.4851183822186422</v>
      </c>
      <c r="G951" s="22">
        <v>82768438.801152602</v>
      </c>
      <c r="H951" s="23">
        <v>0.4622566381958082</v>
      </c>
      <c r="I951" s="23">
        <f t="shared" si="39"/>
        <v>179053002.08169764</v>
      </c>
      <c r="J951" s="4">
        <f t="shared" si="38"/>
        <v>13867699.145874245</v>
      </c>
      <c r="L951" s="22"/>
      <c r="M951" s="22"/>
      <c r="N951" s="19"/>
    </row>
    <row r="952" spans="2:14" ht="11.1" customHeight="1" x14ac:dyDescent="0.3">
      <c r="B952" s="19">
        <v>945</v>
      </c>
      <c r="C952" s="22">
        <v>202894672.30586472</v>
      </c>
      <c r="D952" s="23">
        <v>2.011695723928876</v>
      </c>
      <c r="E952" s="22">
        <v>119947883.63134687</v>
      </c>
      <c r="F952" s="23">
        <v>1.558205537546091</v>
      </c>
      <c r="G952" s="22">
        <v>82946788.674517855</v>
      </c>
      <c r="H952" s="23">
        <v>0.45349018638278493</v>
      </c>
      <c r="I952" s="23">
        <f t="shared" si="39"/>
        <v>182907571.46507156</v>
      </c>
      <c r="J952" s="4">
        <f t="shared" si="38"/>
        <v>13604705.591483548</v>
      </c>
      <c r="L952" s="22"/>
      <c r="M952" s="22"/>
      <c r="N952" s="19"/>
    </row>
    <row r="953" spans="2:14" ht="11.1" customHeight="1" x14ac:dyDescent="0.3">
      <c r="B953" s="19">
        <v>946</v>
      </c>
      <c r="C953" s="22">
        <v>202697676.66382283</v>
      </c>
      <c r="D953" s="23">
        <v>2.0618430901253553</v>
      </c>
      <c r="E953" s="22">
        <v>120002724.87417468</v>
      </c>
      <c r="F953" s="23">
        <v>1.6294371684471851</v>
      </c>
      <c r="G953" s="22">
        <v>82694951.789648145</v>
      </c>
      <c r="H953" s="23">
        <v>0.43240592167817016</v>
      </c>
      <c r="I953" s="23">
        <f t="shared" si="39"/>
        <v>191243800.42879272</v>
      </c>
      <c r="J953" s="4">
        <f t="shared" si="38"/>
        <v>12972177.650345104</v>
      </c>
      <c r="L953" s="22"/>
      <c r="M953" s="22"/>
      <c r="N953" s="19"/>
    </row>
    <row r="954" spans="2:14" ht="11.1" customHeight="1" x14ac:dyDescent="0.3">
      <c r="B954" s="19">
        <v>947</v>
      </c>
      <c r="C954" s="22">
        <v>198993337.99630487</v>
      </c>
      <c r="D954" s="23">
        <v>1.7395546436122256</v>
      </c>
      <c r="E954" s="22">
        <v>115542462.03702332</v>
      </c>
      <c r="F954" s="23">
        <v>1.306715501105228</v>
      </c>
      <c r="G954" s="22">
        <v>83450875.959281549</v>
      </c>
      <c r="H954" s="23">
        <v>0.43283914250699751</v>
      </c>
      <c r="I954" s="23">
        <f t="shared" si="39"/>
        <v>192798820.07882971</v>
      </c>
      <c r="J954" s="4">
        <f t="shared" si="38"/>
        <v>12985174.275209926</v>
      </c>
      <c r="L954" s="22"/>
      <c r="M954" s="22"/>
      <c r="N954" s="19"/>
    </row>
    <row r="955" spans="2:14" ht="11.1" customHeight="1" x14ac:dyDescent="0.3">
      <c r="B955" s="19">
        <v>948</v>
      </c>
      <c r="C955" s="22">
        <v>202569455.66035414</v>
      </c>
      <c r="D955" s="23">
        <v>2.1750004559947027</v>
      </c>
      <c r="E955" s="22">
        <v>119264943.667748</v>
      </c>
      <c r="F955" s="23">
        <v>1.7515737502801538</v>
      </c>
      <c r="G955" s="22">
        <v>83304511.992606133</v>
      </c>
      <c r="H955" s="23">
        <v>0.42342670571454888</v>
      </c>
      <c r="I955" s="23">
        <f t="shared" si="39"/>
        <v>196738918.13702813</v>
      </c>
      <c r="J955" s="4">
        <f t="shared" si="38"/>
        <v>12702801.171436466</v>
      </c>
      <c r="L955" s="22"/>
      <c r="M955" s="22"/>
      <c r="N955" s="19"/>
    </row>
    <row r="956" spans="2:14" ht="11.1" customHeight="1" x14ac:dyDescent="0.3">
      <c r="B956" s="19">
        <v>949</v>
      </c>
      <c r="C956" s="22">
        <v>202560075.40245301</v>
      </c>
      <c r="D956" s="23">
        <v>2.1088634094745986</v>
      </c>
      <c r="E956" s="22">
        <v>119352082.63450348</v>
      </c>
      <c r="F956" s="23">
        <v>1.6532161294055321</v>
      </c>
      <c r="G956" s="22">
        <v>83207992.767949522</v>
      </c>
      <c r="H956" s="23">
        <v>0.45564728006906652</v>
      </c>
      <c r="I956" s="23">
        <f t="shared" si="39"/>
        <v>182614922.56759867</v>
      </c>
      <c r="J956" s="4">
        <f t="shared" si="38"/>
        <v>13669418.402071996</v>
      </c>
      <c r="L956" s="22"/>
      <c r="M956" s="22"/>
      <c r="N956" s="19"/>
    </row>
    <row r="957" spans="2:14" ht="11.1" customHeight="1" x14ac:dyDescent="0.3">
      <c r="B957" s="19">
        <v>950</v>
      </c>
      <c r="C957" s="22">
        <v>202832688.7028189</v>
      </c>
      <c r="D957" s="23">
        <v>1.9943273071177123</v>
      </c>
      <c r="E957" s="22">
        <v>119853205.13271497</v>
      </c>
      <c r="F957" s="23">
        <v>1.5274868901087055</v>
      </c>
      <c r="G957" s="22">
        <v>82979483.570103928</v>
      </c>
      <c r="H957" s="23">
        <v>0.4668404170090068</v>
      </c>
      <c r="I957" s="23">
        <f t="shared" si="39"/>
        <v>177746999.93146265</v>
      </c>
      <c r="J957" s="4">
        <f t="shared" si="38"/>
        <v>14005212.510270204</v>
      </c>
      <c r="L957" s="22"/>
      <c r="M957" s="22"/>
      <c r="N957" s="19"/>
    </row>
    <row r="958" spans="2:14" ht="11.1" customHeight="1" x14ac:dyDescent="0.3">
      <c r="B958" s="19">
        <v>951</v>
      </c>
      <c r="C958" s="22">
        <v>200750042.83984342</v>
      </c>
      <c r="D958" s="23">
        <v>1.679335457631961</v>
      </c>
      <c r="E958" s="22">
        <v>117605063.04334918</v>
      </c>
      <c r="F958" s="23">
        <v>1.2513727238290098</v>
      </c>
      <c r="G958" s="22">
        <v>83144979.796494246</v>
      </c>
      <c r="H958" s="23">
        <v>0.42796273380295125</v>
      </c>
      <c r="I958" s="23">
        <f t="shared" si="39"/>
        <v>194280887.63162509</v>
      </c>
      <c r="J958" s="4">
        <f t="shared" si="38"/>
        <v>12838882.014088538</v>
      </c>
      <c r="L958" s="22"/>
      <c r="M958" s="22"/>
      <c r="N958" s="19"/>
    </row>
    <row r="959" spans="2:14" ht="11.1" customHeight="1" x14ac:dyDescent="0.3">
      <c r="B959" s="19">
        <v>952</v>
      </c>
      <c r="C959" s="22">
        <v>200001493.09558871</v>
      </c>
      <c r="D959" s="23">
        <v>1.9114349950023903</v>
      </c>
      <c r="E959" s="22">
        <v>117113204.97391017</v>
      </c>
      <c r="F959" s="23">
        <v>1.4756190810159047</v>
      </c>
      <c r="G959" s="22">
        <v>82888288.121678546</v>
      </c>
      <c r="H959" s="23">
        <v>0.43581591398648567</v>
      </c>
      <c r="I959" s="23">
        <f t="shared" si="39"/>
        <v>190191054.2079215</v>
      </c>
      <c r="J959" s="4">
        <f t="shared" si="38"/>
        <v>13074477.419594571</v>
      </c>
      <c r="L959" s="22"/>
      <c r="M959" s="22"/>
      <c r="N959" s="19"/>
    </row>
    <row r="960" spans="2:14" ht="11.1" customHeight="1" x14ac:dyDescent="0.3">
      <c r="B960" s="19">
        <v>953</v>
      </c>
      <c r="C960" s="22">
        <v>202970991.12626925</v>
      </c>
      <c r="D960" s="23">
        <v>1.8097792698013984</v>
      </c>
      <c r="E960" s="22">
        <v>120037326.50468665</v>
      </c>
      <c r="F960" s="23">
        <v>1.3690491784833079</v>
      </c>
      <c r="G960" s="22">
        <v>82933664.621582597</v>
      </c>
      <c r="H960" s="23">
        <v>0.44073009131809049</v>
      </c>
      <c r="I960" s="23">
        <f t="shared" si="39"/>
        <v>188173365.63871342</v>
      </c>
      <c r="J960" s="4">
        <f t="shared" si="38"/>
        <v>13221902.739542715</v>
      </c>
      <c r="L960" s="22"/>
      <c r="M960" s="22"/>
      <c r="N960" s="19"/>
    </row>
    <row r="961" spans="2:14" ht="11.1" customHeight="1" x14ac:dyDescent="0.3">
      <c r="B961" s="19">
        <v>954</v>
      </c>
      <c r="C961" s="22">
        <v>201472047.77803448</v>
      </c>
      <c r="D961" s="23">
        <v>1.9897302986733894</v>
      </c>
      <c r="E961" s="22">
        <v>118496943.32485171</v>
      </c>
      <c r="F961" s="23">
        <v>1.5647162582041485</v>
      </c>
      <c r="G961" s="22">
        <v>82975104.453182772</v>
      </c>
      <c r="H961" s="23">
        <v>0.42501404046924085</v>
      </c>
      <c r="I961" s="23">
        <f t="shared" si="39"/>
        <v>195229090.22387427</v>
      </c>
      <c r="J961" s="4">
        <f t="shared" si="38"/>
        <v>12750421.214077225</v>
      </c>
      <c r="L961" s="22"/>
      <c r="M961" s="22"/>
      <c r="N961" s="19"/>
    </row>
    <row r="962" spans="2:14" ht="11.1" customHeight="1" x14ac:dyDescent="0.3">
      <c r="B962" s="19">
        <v>955</v>
      </c>
      <c r="C962" s="22">
        <v>201728457.42793843</v>
      </c>
      <c r="D962" s="23">
        <v>2.1506666369663638</v>
      </c>
      <c r="E962" s="22">
        <v>118496895.03846282</v>
      </c>
      <c r="F962" s="23">
        <v>1.6502278213242496</v>
      </c>
      <c r="G962" s="22">
        <v>83231562.389475614</v>
      </c>
      <c r="H962" s="23">
        <v>0.50043881564211423</v>
      </c>
      <c r="I962" s="23">
        <f t="shared" si="39"/>
        <v>166317159.63655016</v>
      </c>
      <c r="J962" s="4">
        <f t="shared" si="38"/>
        <v>15013164.469263427</v>
      </c>
      <c r="L962" s="22"/>
      <c r="M962" s="22"/>
      <c r="N962" s="19"/>
    </row>
    <row r="963" spans="2:14" ht="11.1" customHeight="1" x14ac:dyDescent="0.3">
      <c r="B963" s="19">
        <v>956</v>
      </c>
      <c r="C963" s="22">
        <v>201376900.4648357</v>
      </c>
      <c r="D963" s="23">
        <v>1.8303635005052692</v>
      </c>
      <c r="E963" s="22">
        <v>118675641.98984011</v>
      </c>
      <c r="F963" s="23">
        <v>1.3921341792981499</v>
      </c>
      <c r="G963" s="22">
        <v>82701258.474995598</v>
      </c>
      <c r="H963" s="23">
        <v>0.43822932120711933</v>
      </c>
      <c r="I963" s="23">
        <f t="shared" si="39"/>
        <v>188716853.19273442</v>
      </c>
      <c r="J963" s="4">
        <f t="shared" si="38"/>
        <v>13146879.63621358</v>
      </c>
      <c r="L963" s="22"/>
      <c r="M963" s="22"/>
      <c r="N963" s="19"/>
    </row>
    <row r="964" spans="2:14" ht="11.1" customHeight="1" x14ac:dyDescent="0.3">
      <c r="B964" s="19">
        <v>957</v>
      </c>
      <c r="C964" s="22">
        <v>205976018.02042946</v>
      </c>
      <c r="D964" s="23">
        <v>2.3878878733529758</v>
      </c>
      <c r="E964" s="22">
        <v>123258292.58908191</v>
      </c>
      <c r="F964" s="23">
        <v>1.901646301945598</v>
      </c>
      <c r="G964" s="22">
        <v>82717725.431347549</v>
      </c>
      <c r="H964" s="23">
        <v>0.48624157140737778</v>
      </c>
      <c r="I964" s="23">
        <f t="shared" si="39"/>
        <v>170116522.92898226</v>
      </c>
      <c r="J964" s="4">
        <f t="shared" si="38"/>
        <v>14587247.142221333</v>
      </c>
      <c r="L964" s="22"/>
      <c r="M964" s="22"/>
      <c r="N964" s="19"/>
    </row>
    <row r="965" spans="2:14" ht="11.1" customHeight="1" x14ac:dyDescent="0.3">
      <c r="B965" s="19">
        <v>958</v>
      </c>
      <c r="C965" s="22">
        <v>204445081.73936817</v>
      </c>
      <c r="D965" s="23">
        <v>2.0754952910850206</v>
      </c>
      <c r="E965" s="22">
        <v>121732002.38710846</v>
      </c>
      <c r="F965" s="23">
        <v>1.6175561655197652</v>
      </c>
      <c r="G965" s="22">
        <v>82713079.35225971</v>
      </c>
      <c r="H965" s="23">
        <v>0.4579391255652554</v>
      </c>
      <c r="I965" s="23">
        <f t="shared" si="39"/>
        <v>180620250.01721165</v>
      </c>
      <c r="J965" s="4">
        <f t="shared" si="38"/>
        <v>13738173.766957661</v>
      </c>
      <c r="L965" s="22"/>
      <c r="M965" s="22"/>
      <c r="N965" s="19"/>
    </row>
    <row r="966" spans="2:14" ht="11.1" customHeight="1" x14ac:dyDescent="0.3">
      <c r="B966" s="19">
        <v>959</v>
      </c>
      <c r="C966" s="22">
        <v>205121445.56580761</v>
      </c>
      <c r="D966" s="23">
        <v>2.4462071288141587</v>
      </c>
      <c r="E966" s="22">
        <v>122503717.86004011</v>
      </c>
      <c r="F966" s="23">
        <v>1.9643727493756353</v>
      </c>
      <c r="G966" s="22">
        <v>82617727.705767497</v>
      </c>
      <c r="H966" s="23">
        <v>0.48183437943852336</v>
      </c>
      <c r="I966" s="23">
        <f t="shared" si="39"/>
        <v>171464991.35665888</v>
      </c>
      <c r="J966" s="4">
        <f t="shared" si="38"/>
        <v>14455031.383155702</v>
      </c>
      <c r="L966" s="22"/>
      <c r="M966" s="22"/>
      <c r="N966" s="19"/>
    </row>
    <row r="967" spans="2:14" ht="11.1" customHeight="1" x14ac:dyDescent="0.3">
      <c r="B967" s="19">
        <v>960</v>
      </c>
      <c r="C967" s="22">
        <v>204788758.1807459</v>
      </c>
      <c r="D967" s="23">
        <v>1.7817371931227668</v>
      </c>
      <c r="E967" s="22">
        <v>121951561.01749496</v>
      </c>
      <c r="F967" s="23">
        <v>1.3316156290534924</v>
      </c>
      <c r="G967" s="22">
        <v>82837197.163250938</v>
      </c>
      <c r="H967" s="23">
        <v>0.45012156406927439</v>
      </c>
      <c r="I967" s="23">
        <f t="shared" si="39"/>
        <v>184032945.2656531</v>
      </c>
      <c r="J967" s="4">
        <f t="shared" si="38"/>
        <v>13503646.922078231</v>
      </c>
      <c r="L967" s="22"/>
      <c r="M967" s="22"/>
      <c r="N967" s="19"/>
    </row>
    <row r="968" spans="2:14" ht="11.1" customHeight="1" x14ac:dyDescent="0.3">
      <c r="B968" s="19">
        <v>961</v>
      </c>
      <c r="C968" s="22">
        <v>199165169.97713217</v>
      </c>
      <c r="D968" s="23">
        <v>2.0271133588049683</v>
      </c>
      <c r="E968" s="22">
        <v>116345773.95333028</v>
      </c>
      <c r="F968" s="23">
        <v>1.5449793973334018</v>
      </c>
      <c r="G968" s="22">
        <v>82819396.023801893</v>
      </c>
      <c r="H968" s="23">
        <v>0.48213396147156651</v>
      </c>
      <c r="I968" s="23">
        <f t="shared" si="39"/>
        <v>171776731.4524391</v>
      </c>
      <c r="J968" s="4">
        <f t="shared" ref="J968:J1007" si="40">threshold*H968</f>
        <v>14464018.844146995</v>
      </c>
      <c r="L968" s="22"/>
      <c r="M968" s="22"/>
      <c r="N968" s="19"/>
    </row>
    <row r="969" spans="2:14" ht="11.1" customHeight="1" x14ac:dyDescent="0.3">
      <c r="B969" s="19">
        <v>962</v>
      </c>
      <c r="C969" s="22">
        <v>201555337.93213844</v>
      </c>
      <c r="D969" s="23">
        <v>2.1314362070920367</v>
      </c>
      <c r="E969" s="22">
        <v>118593764.40258941</v>
      </c>
      <c r="F969" s="23">
        <v>1.6636592289636396</v>
      </c>
      <c r="G969" s="22">
        <v>82961573.529549032</v>
      </c>
      <c r="H969" s="23">
        <v>0.46777697812839714</v>
      </c>
      <c r="I969" s="23">
        <f t="shared" ref="I969:I1007" si="41">G969/H969</f>
        <v>177352835.66430119</v>
      </c>
      <c r="J969" s="4">
        <f t="shared" si="40"/>
        <v>14033309.343851915</v>
      </c>
      <c r="L969" s="22"/>
      <c r="M969" s="22"/>
      <c r="N969" s="19"/>
    </row>
    <row r="970" spans="2:14" ht="11.1" customHeight="1" x14ac:dyDescent="0.3">
      <c r="B970" s="19">
        <v>963</v>
      </c>
      <c r="C970" s="22">
        <v>201193178.18167385</v>
      </c>
      <c r="D970" s="23">
        <v>2.2267829827813017</v>
      </c>
      <c r="E970" s="22">
        <v>117734479.30834876</v>
      </c>
      <c r="F970" s="23">
        <v>1.7730797963937097</v>
      </c>
      <c r="G970" s="22">
        <v>83458698.873325095</v>
      </c>
      <c r="H970" s="23">
        <v>0.45370318638759199</v>
      </c>
      <c r="I970" s="23">
        <f t="shared" si="41"/>
        <v>183949995.01287952</v>
      </c>
      <c r="J970" s="4">
        <f t="shared" si="40"/>
        <v>13611095.59162776</v>
      </c>
      <c r="L970" s="22"/>
      <c r="M970" s="22"/>
      <c r="N970" s="19"/>
    </row>
    <row r="971" spans="2:14" ht="11.1" customHeight="1" x14ac:dyDescent="0.3">
      <c r="B971" s="19">
        <v>964</v>
      </c>
      <c r="C971" s="22">
        <v>198210469.14569503</v>
      </c>
      <c r="D971" s="23">
        <v>2.1070898310474173</v>
      </c>
      <c r="E971" s="22">
        <v>115216926.96194431</v>
      </c>
      <c r="F971" s="23">
        <v>1.6618415226232477</v>
      </c>
      <c r="G971" s="22">
        <v>82993542.183750719</v>
      </c>
      <c r="H971" s="23">
        <v>0.44524830842416963</v>
      </c>
      <c r="I971" s="23">
        <f t="shared" si="41"/>
        <v>186398332.3765628</v>
      </c>
      <c r="J971" s="4">
        <f t="shared" si="40"/>
        <v>13357449.252725089</v>
      </c>
      <c r="L971" s="22"/>
      <c r="M971" s="22"/>
      <c r="N971" s="19"/>
    </row>
    <row r="972" spans="2:14" ht="11.1" customHeight="1" x14ac:dyDescent="0.3">
      <c r="B972" s="19">
        <v>965</v>
      </c>
      <c r="C972" s="22">
        <v>201816443.80061945</v>
      </c>
      <c r="D972" s="23">
        <v>1.8892513956584132</v>
      </c>
      <c r="E972" s="22">
        <v>119347462.98387447</v>
      </c>
      <c r="F972" s="23">
        <v>1.4148975063615816</v>
      </c>
      <c r="G972" s="22">
        <v>82468980.816744983</v>
      </c>
      <c r="H972" s="23">
        <v>0.47435388929683153</v>
      </c>
      <c r="I972" s="23">
        <f t="shared" si="41"/>
        <v>173855390.83276963</v>
      </c>
      <c r="J972" s="4">
        <f t="shared" si="40"/>
        <v>14230616.678904947</v>
      </c>
      <c r="L972" s="22"/>
      <c r="M972" s="22"/>
      <c r="N972" s="19"/>
    </row>
    <row r="973" spans="2:14" ht="11.1" customHeight="1" x14ac:dyDescent="0.3">
      <c r="B973" s="19">
        <v>966</v>
      </c>
      <c r="C973" s="22">
        <v>201797167.92026362</v>
      </c>
      <c r="D973" s="23">
        <v>1.7492736968602369</v>
      </c>
      <c r="E973" s="22">
        <v>119033723.80171075</v>
      </c>
      <c r="F973" s="23">
        <v>1.2749116110807928</v>
      </c>
      <c r="G973" s="22">
        <v>82763444.118552864</v>
      </c>
      <c r="H973" s="23">
        <v>0.47436208577944416</v>
      </c>
      <c r="I973" s="23">
        <f t="shared" si="41"/>
        <v>174473143.19516239</v>
      </c>
      <c r="J973" s="4">
        <f t="shared" si="40"/>
        <v>14230862.573383326</v>
      </c>
      <c r="L973" s="22"/>
      <c r="M973" s="22"/>
      <c r="N973" s="19"/>
    </row>
    <row r="974" spans="2:14" ht="11.1" customHeight="1" x14ac:dyDescent="0.3">
      <c r="B974" s="19">
        <v>967</v>
      </c>
      <c r="C974" s="22">
        <v>204142046.49285054</v>
      </c>
      <c r="D974" s="23">
        <v>1.8416258499139715</v>
      </c>
      <c r="E974" s="22">
        <v>120900848.45596239</v>
      </c>
      <c r="F974" s="23">
        <v>1.3720582515920521</v>
      </c>
      <c r="G974" s="22">
        <v>83241198.036888152</v>
      </c>
      <c r="H974" s="23">
        <v>0.46956759832191941</v>
      </c>
      <c r="I974" s="23">
        <f t="shared" si="41"/>
        <v>177272022.88736466</v>
      </c>
      <c r="J974" s="4">
        <f t="shared" si="40"/>
        <v>14087027.949657582</v>
      </c>
      <c r="L974" s="22"/>
      <c r="M974" s="22"/>
      <c r="N974" s="19"/>
    </row>
    <row r="975" spans="2:14" ht="11.1" customHeight="1" x14ac:dyDescent="0.3">
      <c r="B975" s="19">
        <v>968</v>
      </c>
      <c r="C975" s="22">
        <v>198702283.18400213</v>
      </c>
      <c r="D975" s="23">
        <v>1.9006229484294217</v>
      </c>
      <c r="E975" s="22">
        <v>115537964.99027078</v>
      </c>
      <c r="F975" s="23">
        <v>1.4364513994105976</v>
      </c>
      <c r="G975" s="22">
        <v>83164318.193731353</v>
      </c>
      <c r="H975" s="23">
        <v>0.46417154901882407</v>
      </c>
      <c r="I975" s="23">
        <f t="shared" si="41"/>
        <v>179167203.09447208</v>
      </c>
      <c r="J975" s="4">
        <f t="shared" si="40"/>
        <v>13925146.470564723</v>
      </c>
      <c r="L975" s="22"/>
      <c r="M975" s="22"/>
      <c r="N975" s="19"/>
    </row>
    <row r="976" spans="2:14" ht="11.1" customHeight="1" x14ac:dyDescent="0.3">
      <c r="B976" s="19">
        <v>969</v>
      </c>
      <c r="C976" s="22">
        <v>201546113.2063638</v>
      </c>
      <c r="D976" s="23">
        <v>1.7476880496712843</v>
      </c>
      <c r="E976" s="22">
        <v>118654092.98381799</v>
      </c>
      <c r="F976" s="23">
        <v>1.3343968157378139</v>
      </c>
      <c r="G976" s="22">
        <v>82892020.222545803</v>
      </c>
      <c r="H976" s="23">
        <v>0.41329123393347045</v>
      </c>
      <c r="I976" s="23">
        <f t="shared" si="41"/>
        <v>200565638.5053871</v>
      </c>
      <c r="J976" s="4">
        <f t="shared" si="40"/>
        <v>12398737.018004114</v>
      </c>
      <c r="L976" s="22"/>
      <c r="M976" s="22"/>
      <c r="N976" s="19"/>
    </row>
    <row r="977" spans="2:14" ht="11.1" customHeight="1" x14ac:dyDescent="0.3">
      <c r="B977" s="19">
        <v>970</v>
      </c>
      <c r="C977" s="22">
        <v>202136438.48282439</v>
      </c>
      <c r="D977" s="23">
        <v>1.7006173826458593</v>
      </c>
      <c r="E977" s="22">
        <v>119155468.10558987</v>
      </c>
      <c r="F977" s="23">
        <v>1.2951133505728647</v>
      </c>
      <c r="G977" s="22">
        <v>82980970.377234519</v>
      </c>
      <c r="H977" s="23">
        <v>0.40550403207299457</v>
      </c>
      <c r="I977" s="23">
        <f t="shared" si="41"/>
        <v>204636609.78418374</v>
      </c>
      <c r="J977" s="4">
        <f t="shared" si="40"/>
        <v>12165120.962189836</v>
      </c>
      <c r="L977" s="22"/>
      <c r="M977" s="22"/>
      <c r="N977" s="19"/>
    </row>
    <row r="978" spans="2:14" ht="11.1" customHeight="1" x14ac:dyDescent="0.3">
      <c r="B978" s="19">
        <v>971</v>
      </c>
      <c r="C978" s="22">
        <v>207729494.45107332</v>
      </c>
      <c r="D978" s="23">
        <v>1.9621949552174978</v>
      </c>
      <c r="E978" s="22">
        <v>124526206.94059899</v>
      </c>
      <c r="F978" s="23">
        <v>1.4871593826803799</v>
      </c>
      <c r="G978" s="22">
        <v>83203287.510474324</v>
      </c>
      <c r="H978" s="23">
        <v>0.47503557253711781</v>
      </c>
      <c r="I978" s="23">
        <f t="shared" si="41"/>
        <v>175151698.77930158</v>
      </c>
      <c r="J978" s="4">
        <f t="shared" si="40"/>
        <v>14251067.176113535</v>
      </c>
      <c r="L978" s="22"/>
      <c r="M978" s="22"/>
      <c r="N978" s="19"/>
    </row>
    <row r="979" spans="2:14" ht="11.1" customHeight="1" x14ac:dyDescent="0.3">
      <c r="B979" s="19">
        <v>972</v>
      </c>
      <c r="C979" s="22">
        <v>200761750.28262821</v>
      </c>
      <c r="D979" s="23">
        <v>2.0614982282765437</v>
      </c>
      <c r="E979" s="22">
        <v>117846666.25376718</v>
      </c>
      <c r="F979" s="23">
        <v>1.576981060690551</v>
      </c>
      <c r="G979" s="22">
        <v>82915084.028861031</v>
      </c>
      <c r="H979" s="23">
        <v>0.48451716758599273</v>
      </c>
      <c r="I979" s="23">
        <f t="shared" si="41"/>
        <v>171129300.62306854</v>
      </c>
      <c r="J979" s="4">
        <f t="shared" si="40"/>
        <v>14535515.027579783</v>
      </c>
      <c r="L979" s="22"/>
      <c r="M979" s="22"/>
      <c r="N979" s="19"/>
    </row>
    <row r="980" spans="2:14" ht="11.1" customHeight="1" x14ac:dyDescent="0.3">
      <c r="B980" s="19">
        <v>973</v>
      </c>
      <c r="C980" s="22">
        <v>201843903.24066219</v>
      </c>
      <c r="D980" s="23">
        <v>2.1151401624896371</v>
      </c>
      <c r="E980" s="22">
        <v>118210804.5148553</v>
      </c>
      <c r="F980" s="23">
        <v>1.6120551448392733</v>
      </c>
      <c r="G980" s="22">
        <v>83633098.725806892</v>
      </c>
      <c r="H980" s="23">
        <v>0.50308501765036384</v>
      </c>
      <c r="I980" s="23">
        <f t="shared" si="41"/>
        <v>166240487.77364025</v>
      </c>
      <c r="J980" s="4">
        <f t="shared" si="40"/>
        <v>15092550.529510915</v>
      </c>
      <c r="L980" s="22"/>
      <c r="M980" s="22"/>
      <c r="N980" s="19"/>
    </row>
    <row r="981" spans="2:14" ht="11.1" customHeight="1" x14ac:dyDescent="0.3">
      <c r="B981" s="19">
        <v>974</v>
      </c>
      <c r="C981" s="22">
        <v>200731494.27787232</v>
      </c>
      <c r="D981" s="23">
        <v>1.7566065248014009</v>
      </c>
      <c r="E981" s="22">
        <v>117999042.1095733</v>
      </c>
      <c r="F981" s="23">
        <v>1.3112811185386688</v>
      </c>
      <c r="G981" s="22">
        <v>82732452.168299019</v>
      </c>
      <c r="H981" s="23">
        <v>0.44532540626273209</v>
      </c>
      <c r="I981" s="23">
        <f t="shared" si="41"/>
        <v>185779771.38696802</v>
      </c>
      <c r="J981" s="4">
        <f t="shared" si="40"/>
        <v>13359762.187881963</v>
      </c>
      <c r="L981" s="22"/>
      <c r="M981" s="22"/>
      <c r="N981" s="19"/>
    </row>
    <row r="982" spans="2:14" ht="11.1" customHeight="1" x14ac:dyDescent="0.3">
      <c r="B982" s="19">
        <v>975</v>
      </c>
      <c r="C982" s="22">
        <v>205353383.79240611</v>
      </c>
      <c r="D982" s="23">
        <v>2.1280650685924525</v>
      </c>
      <c r="E982" s="22">
        <v>122216562.64812189</v>
      </c>
      <c r="F982" s="23">
        <v>1.6223341876828894</v>
      </c>
      <c r="G982" s="22">
        <v>83136821.144284219</v>
      </c>
      <c r="H982" s="23">
        <v>0.50573088090956309</v>
      </c>
      <c r="I982" s="23">
        <f t="shared" si="41"/>
        <v>164389449.57199696</v>
      </c>
      <c r="J982" s="4">
        <f t="shared" si="40"/>
        <v>15171926.427286893</v>
      </c>
      <c r="L982" s="22"/>
      <c r="M982" s="22"/>
      <c r="N982" s="19"/>
    </row>
    <row r="983" spans="2:14" ht="11.1" customHeight="1" x14ac:dyDescent="0.3">
      <c r="B983" s="19">
        <v>976</v>
      </c>
      <c r="C983" s="22">
        <v>204509603.37554637</v>
      </c>
      <c r="D983" s="23">
        <v>2.1121768351526016</v>
      </c>
      <c r="E983" s="22">
        <v>121563797.08105539</v>
      </c>
      <c r="F983" s="23">
        <v>1.6502136898891888</v>
      </c>
      <c r="G983" s="22">
        <v>82945806.294490978</v>
      </c>
      <c r="H983" s="23">
        <v>0.46196314526341276</v>
      </c>
      <c r="I983" s="23">
        <f t="shared" si="41"/>
        <v>179550700.40748605</v>
      </c>
      <c r="J983" s="4">
        <f t="shared" si="40"/>
        <v>13858894.357902383</v>
      </c>
      <c r="L983" s="22"/>
      <c r="M983" s="22"/>
      <c r="N983" s="19"/>
    </row>
    <row r="984" spans="2:14" ht="11.1" customHeight="1" x14ac:dyDescent="0.3">
      <c r="B984" s="19">
        <v>977</v>
      </c>
      <c r="C984" s="22">
        <v>203666070.74149483</v>
      </c>
      <c r="D984" s="23">
        <v>2.2495586344478586</v>
      </c>
      <c r="E984" s="22">
        <v>120920208.56462431</v>
      </c>
      <c r="F984" s="23">
        <v>1.7833763430711169</v>
      </c>
      <c r="G984" s="22">
        <v>82745862.176870525</v>
      </c>
      <c r="H984" s="23">
        <v>0.46618229137674172</v>
      </c>
      <c r="I984" s="23">
        <f t="shared" si="41"/>
        <v>177496794.08135235</v>
      </c>
      <c r="J984" s="4">
        <f t="shared" si="40"/>
        <v>13985468.741302252</v>
      </c>
      <c r="L984" s="22"/>
      <c r="M984" s="22"/>
      <c r="N984" s="19"/>
    </row>
    <row r="985" spans="2:14" ht="11.1" customHeight="1" x14ac:dyDescent="0.3">
      <c r="B985" s="19">
        <v>978</v>
      </c>
      <c r="C985" s="22">
        <v>201187106.15591374</v>
      </c>
      <c r="D985" s="23">
        <v>2.0976646432196691</v>
      </c>
      <c r="E985" s="22">
        <v>118001316.94617501</v>
      </c>
      <c r="F985" s="23">
        <v>1.6509376038075856</v>
      </c>
      <c r="G985" s="22">
        <v>83185789.209738731</v>
      </c>
      <c r="H985" s="23">
        <v>0.44672703941208347</v>
      </c>
      <c r="I985" s="23">
        <f t="shared" si="41"/>
        <v>186211672.61156982</v>
      </c>
      <c r="J985" s="4">
        <f t="shared" si="40"/>
        <v>13401811.182362504</v>
      </c>
      <c r="L985" s="22"/>
      <c r="M985" s="22"/>
      <c r="N985" s="19"/>
    </row>
    <row r="986" spans="2:14" ht="11.1" customHeight="1" x14ac:dyDescent="0.3">
      <c r="B986" s="19">
        <v>979</v>
      </c>
      <c r="C986" s="22">
        <v>203890904.40495238</v>
      </c>
      <c r="D986" s="23">
        <v>2.1451437761154462</v>
      </c>
      <c r="E986" s="22">
        <v>120468159.83326504</v>
      </c>
      <c r="F986" s="23">
        <v>1.6609402079664195</v>
      </c>
      <c r="G986" s="22">
        <v>83422744.571687341</v>
      </c>
      <c r="H986" s="23">
        <v>0.48420356814902665</v>
      </c>
      <c r="I986" s="23">
        <f t="shared" si="41"/>
        <v>172288578.72854781</v>
      </c>
      <c r="J986" s="4">
        <f t="shared" si="40"/>
        <v>14526107.0444708</v>
      </c>
      <c r="L986" s="22"/>
      <c r="M986" s="22"/>
      <c r="N986" s="19"/>
    </row>
    <row r="987" spans="2:14" ht="11.1" customHeight="1" x14ac:dyDescent="0.3">
      <c r="B987" s="19">
        <v>980</v>
      </c>
      <c r="C987" s="22">
        <v>202212016.61104569</v>
      </c>
      <c r="D987" s="23">
        <v>1.9696875119541379</v>
      </c>
      <c r="E987" s="22">
        <v>119609751.8618184</v>
      </c>
      <c r="F987" s="23">
        <v>1.5079362144095956</v>
      </c>
      <c r="G987" s="22">
        <v>82602264.749227285</v>
      </c>
      <c r="H987" s="23">
        <v>0.46175129754454236</v>
      </c>
      <c r="I987" s="23">
        <f t="shared" si="41"/>
        <v>178889079.87585923</v>
      </c>
      <c r="J987" s="4">
        <f t="shared" si="40"/>
        <v>13852538.926336272</v>
      </c>
      <c r="L987" s="22"/>
      <c r="M987" s="22"/>
      <c r="N987" s="19"/>
    </row>
    <row r="988" spans="2:14" ht="11.1" customHeight="1" x14ac:dyDescent="0.3">
      <c r="B988" s="19">
        <v>981</v>
      </c>
      <c r="C988" s="22">
        <v>204945248.83885378</v>
      </c>
      <c r="D988" s="23">
        <v>1.8666982748163743</v>
      </c>
      <c r="E988" s="22">
        <v>121646446.48660727</v>
      </c>
      <c r="F988" s="23">
        <v>1.4022666922129785</v>
      </c>
      <c r="G988" s="22">
        <v>83298802.352246508</v>
      </c>
      <c r="H988" s="23">
        <v>0.46443158260339579</v>
      </c>
      <c r="I988" s="23">
        <f t="shared" si="41"/>
        <v>179356455.22923025</v>
      </c>
      <c r="J988" s="4">
        <f t="shared" si="40"/>
        <v>13932947.478101874</v>
      </c>
      <c r="L988" s="22"/>
      <c r="M988" s="22"/>
      <c r="N988" s="19"/>
    </row>
    <row r="989" spans="2:14" ht="11.1" customHeight="1" x14ac:dyDescent="0.3">
      <c r="B989" s="19">
        <v>982</v>
      </c>
      <c r="C989" s="22">
        <v>196372935.35439754</v>
      </c>
      <c r="D989" s="23">
        <v>2.5121577801321537</v>
      </c>
      <c r="E989" s="22">
        <v>112809752.39042397</v>
      </c>
      <c r="F989" s="23">
        <v>2.0503790726713929</v>
      </c>
      <c r="G989" s="22">
        <v>83563182.963973567</v>
      </c>
      <c r="H989" s="23">
        <v>0.46177870746076088</v>
      </c>
      <c r="I989" s="23">
        <f t="shared" si="41"/>
        <v>180959367.79647696</v>
      </c>
      <c r="J989" s="4">
        <f t="shared" si="40"/>
        <v>13853361.223822827</v>
      </c>
      <c r="L989" s="22"/>
      <c r="M989" s="22"/>
      <c r="N989" s="19"/>
    </row>
    <row r="990" spans="2:14" ht="11.1" customHeight="1" x14ac:dyDescent="0.3">
      <c r="B990" s="19">
        <v>983</v>
      </c>
      <c r="C990" s="22">
        <v>201806809.67692396</v>
      </c>
      <c r="D990" s="23">
        <v>2.1642018322619965</v>
      </c>
      <c r="E990" s="22">
        <v>118802934.00096457</v>
      </c>
      <c r="F990" s="23">
        <v>1.6657944347481546</v>
      </c>
      <c r="G990" s="22">
        <v>83003875.675959393</v>
      </c>
      <c r="H990" s="23">
        <v>0.49840739751384189</v>
      </c>
      <c r="I990" s="23">
        <f t="shared" si="41"/>
        <v>166538209.68548965</v>
      </c>
      <c r="J990" s="4">
        <f t="shared" si="40"/>
        <v>14952221.925415257</v>
      </c>
      <c r="L990" s="22"/>
      <c r="M990" s="22"/>
      <c r="N990" s="19"/>
    </row>
    <row r="991" spans="2:14" ht="11.1" customHeight="1" x14ac:dyDescent="0.3">
      <c r="B991" s="19">
        <v>984</v>
      </c>
      <c r="C991" s="22">
        <v>202339647.84305453</v>
      </c>
      <c r="D991" s="23">
        <v>1.871821041390082</v>
      </c>
      <c r="E991" s="22">
        <v>118761360.24287844</v>
      </c>
      <c r="F991" s="23">
        <v>1.4165213899940563</v>
      </c>
      <c r="G991" s="22">
        <v>83578287.600176096</v>
      </c>
      <c r="H991" s="23">
        <v>0.45529965139602568</v>
      </c>
      <c r="I991" s="23">
        <f t="shared" si="41"/>
        <v>183567651.20269901</v>
      </c>
      <c r="J991" s="4">
        <f t="shared" si="40"/>
        <v>13658989.54188077</v>
      </c>
      <c r="L991" s="22"/>
      <c r="M991" s="22"/>
      <c r="N991" s="19"/>
    </row>
    <row r="992" spans="2:14" ht="11.1" customHeight="1" x14ac:dyDescent="0.3">
      <c r="B992" s="19">
        <v>985</v>
      </c>
      <c r="C992" s="22">
        <v>202510434.71285746</v>
      </c>
      <c r="D992" s="23">
        <v>1.9418143163280788</v>
      </c>
      <c r="E992" s="22">
        <v>119518319.57120737</v>
      </c>
      <c r="F992" s="23">
        <v>1.4762727326176559</v>
      </c>
      <c r="G992" s="22">
        <v>82992115.141650081</v>
      </c>
      <c r="H992" s="23">
        <v>0.46554158371042287</v>
      </c>
      <c r="I992" s="23">
        <f t="shared" si="41"/>
        <v>178270036.54580727</v>
      </c>
      <c r="J992" s="4">
        <f t="shared" si="40"/>
        <v>13966247.511312686</v>
      </c>
      <c r="L992" s="22"/>
      <c r="M992" s="22"/>
      <c r="N992" s="19"/>
    </row>
    <row r="993" spans="2:14" ht="11.1" customHeight="1" x14ac:dyDescent="0.3">
      <c r="B993" s="19">
        <v>986</v>
      </c>
      <c r="C993" s="22">
        <v>205184129.32015732</v>
      </c>
      <c r="D993" s="23">
        <v>1.9077586644176385</v>
      </c>
      <c r="E993" s="22">
        <v>122113191.85547464</v>
      </c>
      <c r="F993" s="23">
        <v>1.4642408129254303</v>
      </c>
      <c r="G993" s="22">
        <v>83070937.464682683</v>
      </c>
      <c r="H993" s="23">
        <v>0.44351785149220824</v>
      </c>
      <c r="I993" s="23">
        <f t="shared" si="41"/>
        <v>187300098.93669879</v>
      </c>
      <c r="J993" s="4">
        <f t="shared" si="40"/>
        <v>13305535.544766247</v>
      </c>
      <c r="L993" s="22"/>
      <c r="M993" s="22"/>
      <c r="N993" s="19"/>
    </row>
    <row r="994" spans="2:14" ht="11.1" customHeight="1" x14ac:dyDescent="0.3">
      <c r="B994" s="19">
        <v>987</v>
      </c>
      <c r="C994" s="22">
        <v>198801887.02758157</v>
      </c>
      <c r="D994" s="23">
        <v>2.177930170560848</v>
      </c>
      <c r="E994" s="22">
        <v>115793738.21152633</v>
      </c>
      <c r="F994" s="23">
        <v>1.7124564313971573</v>
      </c>
      <c r="G994" s="22">
        <v>83008148.816055238</v>
      </c>
      <c r="H994" s="23">
        <v>0.46547373916369073</v>
      </c>
      <c r="I994" s="23">
        <f t="shared" si="41"/>
        <v>178330466.00049803</v>
      </c>
      <c r="J994" s="4">
        <f t="shared" si="40"/>
        <v>13964212.174910722</v>
      </c>
      <c r="L994" s="22"/>
      <c r="M994" s="22"/>
      <c r="N994" s="19"/>
    </row>
    <row r="995" spans="2:14" ht="11.1" customHeight="1" x14ac:dyDescent="0.3">
      <c r="B995" s="19">
        <v>988</v>
      </c>
      <c r="C995" s="22">
        <v>201309789.34881383</v>
      </c>
      <c r="D995" s="23">
        <v>1.947749835934679</v>
      </c>
      <c r="E995" s="22">
        <v>118066017.35690756</v>
      </c>
      <c r="F995" s="23">
        <v>1.4708692709110938</v>
      </c>
      <c r="G995" s="22">
        <v>83243771.99190627</v>
      </c>
      <c r="H995" s="23">
        <v>0.47688056502358522</v>
      </c>
      <c r="I995" s="23">
        <f t="shared" si="41"/>
        <v>174558952.6966553</v>
      </c>
      <c r="J995" s="4">
        <f t="shared" si="40"/>
        <v>14306416.950707557</v>
      </c>
      <c r="L995" s="22"/>
      <c r="M995" s="22"/>
      <c r="N995" s="19"/>
    </row>
    <row r="996" spans="2:14" ht="11.1" customHeight="1" x14ac:dyDescent="0.3">
      <c r="B996" s="19">
        <v>989</v>
      </c>
      <c r="C996" s="22">
        <v>202760100.05238608</v>
      </c>
      <c r="D996" s="23">
        <v>2.0951130584290234</v>
      </c>
      <c r="E996" s="22">
        <v>119403638.31573692</v>
      </c>
      <c r="F996" s="23">
        <v>1.6464530991831454</v>
      </c>
      <c r="G996" s="22">
        <v>83356461.736649156</v>
      </c>
      <c r="H996" s="23">
        <v>0.44865995924587798</v>
      </c>
      <c r="I996" s="23">
        <f t="shared" si="41"/>
        <v>185789839.31785971</v>
      </c>
      <c r="J996" s="4">
        <f t="shared" si="40"/>
        <v>13459798.777376339</v>
      </c>
      <c r="L996" s="22"/>
      <c r="M996" s="22"/>
      <c r="N996" s="19"/>
    </row>
    <row r="997" spans="2:14" ht="11.1" customHeight="1" x14ac:dyDescent="0.3">
      <c r="B997" s="19">
        <v>990</v>
      </c>
      <c r="C997" s="22">
        <v>201324813.80700564</v>
      </c>
      <c r="D997" s="23">
        <v>1.822521067444774</v>
      </c>
      <c r="E997" s="22">
        <v>118646666.18080652</v>
      </c>
      <c r="F997" s="23">
        <v>1.4170649674917164</v>
      </c>
      <c r="G997" s="22">
        <v>82678147.626199126</v>
      </c>
      <c r="H997" s="23">
        <v>0.40545609995305765</v>
      </c>
      <c r="I997" s="23">
        <f t="shared" si="41"/>
        <v>203913932.07740942</v>
      </c>
      <c r="J997" s="4">
        <f t="shared" si="40"/>
        <v>12163682.998591729</v>
      </c>
      <c r="L997" s="22"/>
      <c r="M997" s="22"/>
      <c r="N997" s="19"/>
    </row>
    <row r="998" spans="2:14" ht="11.1" customHeight="1" x14ac:dyDescent="0.3">
      <c r="B998" s="19">
        <v>991</v>
      </c>
      <c r="C998" s="22">
        <v>202775723.23818737</v>
      </c>
      <c r="D998" s="23">
        <v>2.2855663447283838</v>
      </c>
      <c r="E998" s="22">
        <v>119914665.75910708</v>
      </c>
      <c r="F998" s="23">
        <v>1.7914395618126717</v>
      </c>
      <c r="G998" s="22">
        <v>82861057.47908029</v>
      </c>
      <c r="H998" s="23">
        <v>0.4941267829157121</v>
      </c>
      <c r="I998" s="23">
        <f t="shared" si="41"/>
        <v>167691896.78434145</v>
      </c>
      <c r="J998" s="4">
        <f t="shared" si="40"/>
        <v>14823803.487471363</v>
      </c>
      <c r="L998" s="22"/>
      <c r="M998" s="22"/>
      <c r="N998" s="19"/>
    </row>
    <row r="999" spans="2:14" ht="11.1" customHeight="1" x14ac:dyDescent="0.3">
      <c r="B999" s="19">
        <v>992</v>
      </c>
      <c r="C999" s="22">
        <v>199250855.75540695</v>
      </c>
      <c r="D999" s="23">
        <v>2.2094631015894732</v>
      </c>
      <c r="E999" s="22">
        <v>115860797.07097223</v>
      </c>
      <c r="F999" s="23">
        <v>1.7420550149378231</v>
      </c>
      <c r="G999" s="22">
        <v>83390058.684434712</v>
      </c>
      <c r="H999" s="23">
        <v>0.46740808665165012</v>
      </c>
      <c r="I999" s="23">
        <f t="shared" si="41"/>
        <v>178409533.48028755</v>
      </c>
      <c r="J999" s="4">
        <f t="shared" si="40"/>
        <v>14022242.599549504</v>
      </c>
      <c r="L999" s="22"/>
      <c r="M999" s="22"/>
      <c r="N999" s="19"/>
    </row>
    <row r="1000" spans="2:14" ht="11.1" customHeight="1" x14ac:dyDescent="0.3">
      <c r="B1000" s="19">
        <v>993</v>
      </c>
      <c r="C1000" s="22">
        <v>200788779.49230441</v>
      </c>
      <c r="D1000" s="23">
        <v>2.1031039324615288</v>
      </c>
      <c r="E1000" s="22">
        <v>117753185.74895296</v>
      </c>
      <c r="F1000" s="23">
        <v>1.6345977745978202</v>
      </c>
      <c r="G1000" s="22">
        <v>83035593.74335146</v>
      </c>
      <c r="H1000" s="23">
        <v>0.46850615786370864</v>
      </c>
      <c r="I1000" s="23">
        <f t="shared" si="41"/>
        <v>177234796.91702801</v>
      </c>
      <c r="J1000" s="4">
        <f t="shared" si="40"/>
        <v>14055184.735911259</v>
      </c>
      <c r="L1000" s="22"/>
      <c r="M1000" s="22"/>
      <c r="N1000" s="19"/>
    </row>
    <row r="1001" spans="2:14" ht="11.1" customHeight="1" x14ac:dyDescent="0.3">
      <c r="B1001" s="19">
        <v>994</v>
      </c>
      <c r="C1001" s="22">
        <v>205928499.13088986</v>
      </c>
      <c r="D1001" s="23">
        <v>2.205910454235239</v>
      </c>
      <c r="E1001" s="22">
        <v>123026621.4077322</v>
      </c>
      <c r="F1001" s="23">
        <v>1.7136908339586021</v>
      </c>
      <c r="G1001" s="22">
        <v>82901877.723157659</v>
      </c>
      <c r="H1001" s="23">
        <v>0.4922196202766369</v>
      </c>
      <c r="I1001" s="23">
        <f t="shared" si="41"/>
        <v>168424569.65970841</v>
      </c>
      <c r="J1001" s="4">
        <f t="shared" si="40"/>
        <v>14766588.608299106</v>
      </c>
      <c r="L1001" s="22"/>
      <c r="M1001" s="22"/>
      <c r="N1001" s="19"/>
    </row>
    <row r="1002" spans="2:14" ht="11.1" customHeight="1" x14ac:dyDescent="0.3">
      <c r="B1002" s="19">
        <v>995</v>
      </c>
      <c r="C1002" s="22">
        <v>199432407.59769017</v>
      </c>
      <c r="D1002" s="23">
        <v>1.8742988126835578</v>
      </c>
      <c r="E1002" s="22">
        <v>116508043.98312615</v>
      </c>
      <c r="F1002" s="23">
        <v>1.4534705970801758</v>
      </c>
      <c r="G1002" s="22">
        <v>82924363.614564016</v>
      </c>
      <c r="H1002" s="23">
        <v>0.42082821560338202</v>
      </c>
      <c r="I1002" s="23">
        <f t="shared" si="41"/>
        <v>197050389.06592172</v>
      </c>
      <c r="J1002" s="4">
        <f t="shared" si="40"/>
        <v>12624846.46810146</v>
      </c>
      <c r="L1002" s="22"/>
      <c r="M1002" s="22"/>
      <c r="N1002" s="19"/>
    </row>
    <row r="1003" spans="2:14" ht="11.1" customHeight="1" x14ac:dyDescent="0.3">
      <c r="B1003" s="19">
        <v>996</v>
      </c>
      <c r="C1003" s="22">
        <v>203282605.59087291</v>
      </c>
      <c r="D1003" s="23">
        <v>1.9032896161821873</v>
      </c>
      <c r="E1003" s="22">
        <v>120246396.93914045</v>
      </c>
      <c r="F1003" s="23">
        <v>1.4719984169659619</v>
      </c>
      <c r="G1003" s="22">
        <v>83036208.65173246</v>
      </c>
      <c r="H1003" s="23">
        <v>0.43129119921622538</v>
      </c>
      <c r="I1003" s="23">
        <f t="shared" si="41"/>
        <v>192529337.02944106</v>
      </c>
      <c r="J1003" s="4">
        <f t="shared" si="40"/>
        <v>12938735.976486761</v>
      </c>
      <c r="L1003" s="22"/>
      <c r="M1003" s="22"/>
      <c r="N1003" s="19"/>
    </row>
    <row r="1004" spans="2:14" ht="11.1" customHeight="1" x14ac:dyDescent="0.3">
      <c r="B1004" s="19">
        <v>997</v>
      </c>
      <c r="C1004" s="22">
        <v>202214426.37836677</v>
      </c>
      <c r="D1004" s="23">
        <v>2.1926617196437279</v>
      </c>
      <c r="E1004" s="22">
        <v>118993041.60039562</v>
      </c>
      <c r="F1004" s="23">
        <v>1.7250948649019424</v>
      </c>
      <c r="G1004" s="22">
        <v>83221384.777971148</v>
      </c>
      <c r="H1004" s="23">
        <v>0.4675668547417855</v>
      </c>
      <c r="I1004" s="23">
        <f t="shared" si="41"/>
        <v>177988204.11239433</v>
      </c>
      <c r="J1004" s="4">
        <f t="shared" si="40"/>
        <v>14027005.642253565</v>
      </c>
      <c r="L1004" s="22"/>
      <c r="M1004" s="22"/>
      <c r="N1004" s="19"/>
    </row>
    <row r="1005" spans="2:14" ht="11.1" customHeight="1" x14ac:dyDescent="0.3">
      <c r="B1005" s="19">
        <v>998</v>
      </c>
      <c r="C1005" s="22">
        <v>201368619.74334204</v>
      </c>
      <c r="D1005" s="23">
        <v>2.1621523237487379</v>
      </c>
      <c r="E1005" s="22">
        <v>118481270.02920854</v>
      </c>
      <c r="F1005" s="23">
        <v>1.7134669539882945</v>
      </c>
      <c r="G1005" s="22">
        <v>82887349.714133501</v>
      </c>
      <c r="H1005" s="23">
        <v>0.44868536976044338</v>
      </c>
      <c r="I1005" s="23">
        <f t="shared" si="41"/>
        <v>184733791.87377495</v>
      </c>
      <c r="J1005" s="4">
        <f t="shared" si="40"/>
        <v>13460561.092813302</v>
      </c>
      <c r="L1005" s="22"/>
      <c r="M1005" s="22"/>
      <c r="N1005" s="19"/>
    </row>
    <row r="1006" spans="2:14" ht="11.1" customHeight="1" x14ac:dyDescent="0.3">
      <c r="B1006" s="19">
        <v>999</v>
      </c>
      <c r="C1006" s="22">
        <v>199951555.51677108</v>
      </c>
      <c r="D1006" s="23">
        <v>2.0210731555803729</v>
      </c>
      <c r="E1006" s="22">
        <v>116742262.63295077</v>
      </c>
      <c r="F1006" s="23">
        <v>1.5452415325496571</v>
      </c>
      <c r="G1006" s="22">
        <v>83209292.88382031</v>
      </c>
      <c r="H1006" s="23">
        <v>0.4758316230307158</v>
      </c>
      <c r="I1006" s="23">
        <f t="shared" si="41"/>
        <v>174871296.60243073</v>
      </c>
      <c r="J1006" s="4">
        <f t="shared" si="40"/>
        <v>14274948.690921474</v>
      </c>
      <c r="L1006" s="22"/>
      <c r="M1006" s="22"/>
      <c r="N1006" s="19"/>
    </row>
    <row r="1007" spans="2:14" ht="11.1" customHeight="1" x14ac:dyDescent="0.3">
      <c r="B1007" s="19">
        <v>1000</v>
      </c>
      <c r="C1007" s="22">
        <v>201738129.19993553</v>
      </c>
      <c r="D1007" s="23">
        <v>1.942428312091073</v>
      </c>
      <c r="E1007" s="22">
        <v>118346165.62646502</v>
      </c>
      <c r="F1007" s="23">
        <v>1.4900924580799331</v>
      </c>
      <c r="G1007" s="22">
        <v>83391963.573470503</v>
      </c>
      <c r="H1007" s="23">
        <v>0.45233585401113996</v>
      </c>
      <c r="I1007" s="23">
        <f t="shared" si="41"/>
        <v>184358508.91319519</v>
      </c>
      <c r="J1007" s="4">
        <f t="shared" si="40"/>
        <v>13570075.620334199</v>
      </c>
      <c r="L1007" s="22"/>
      <c r="M1007" s="22"/>
      <c r="N1007" s="19"/>
    </row>
  </sheetData>
  <mergeCells count="4">
    <mergeCell ref="C5:D5"/>
    <mergeCell ref="E5:F5"/>
    <mergeCell ref="G5:H5"/>
    <mergeCell ref="M5:N5"/>
  </mergeCells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"/>
  <dimension ref="A1:AS75"/>
  <sheetViews>
    <sheetView topLeftCell="AH1" zoomScaleNormal="100" workbookViewId="0">
      <selection activeCell="AW15" sqref="AW15"/>
    </sheetView>
  </sheetViews>
  <sheetFormatPr defaultColWidth="9.09765625" defaultRowHeight="11.1" customHeight="1" outlineLevelCol="1" x14ac:dyDescent="0.3"/>
  <cols>
    <col min="1" max="1" width="3.09765625" style="4" hidden="1" customWidth="1" outlineLevel="1"/>
    <col min="2" max="2" width="6" style="4" hidden="1" customWidth="1" outlineLevel="1"/>
    <col min="3" max="3" width="8.59765625" style="4" hidden="1" customWidth="1" outlineLevel="1"/>
    <col min="4" max="4" width="2.59765625" style="4" hidden="1" customWidth="1" outlineLevel="1"/>
    <col min="5" max="5" width="6" style="4" hidden="1" customWidth="1" outlineLevel="1"/>
    <col min="6" max="6" width="8.59765625" style="4" hidden="1" customWidth="1" outlineLevel="1"/>
    <col min="7" max="7" width="2.59765625" style="4" hidden="1" customWidth="1" outlineLevel="1"/>
    <col min="8" max="8" width="7.59765625" style="4" hidden="1" customWidth="1" outlineLevel="1"/>
    <col min="9" max="9" width="8.09765625" style="4" hidden="1" customWidth="1" outlineLevel="1"/>
    <col min="10" max="10" width="2.59765625" style="4" hidden="1" customWidth="1" outlineLevel="1"/>
    <col min="11" max="11" width="7.59765625" style="4" hidden="1" customWidth="1" outlineLevel="1"/>
    <col min="12" max="12" width="12" style="4" hidden="1" customWidth="1" outlineLevel="1"/>
    <col min="13" max="13" width="2.59765625" style="4" hidden="1" customWidth="1" outlineLevel="1"/>
    <col min="14" max="14" width="7.59765625" style="4" hidden="1" customWidth="1" outlineLevel="1"/>
    <col min="15" max="15" width="12" style="4" hidden="1" customWidth="1" outlineLevel="1"/>
    <col min="16" max="16" width="2.59765625" style="4" hidden="1" customWidth="1" outlineLevel="1"/>
    <col min="17" max="17" width="7.59765625" style="4" hidden="1" customWidth="1" outlineLevel="1"/>
    <col min="18" max="18" width="9.09765625" style="4" hidden="1" customWidth="1" outlineLevel="1"/>
    <col min="19" max="19" width="2.59765625" style="4" hidden="1" customWidth="1" outlineLevel="1"/>
    <col min="20" max="20" width="7.59765625" style="4" hidden="1" customWidth="1" outlineLevel="1"/>
    <col min="21" max="21" width="13.09765625" style="4" hidden="1" customWidth="1" outlineLevel="1"/>
    <col min="22" max="22" width="2.59765625" style="4" hidden="1" customWidth="1" outlineLevel="1"/>
    <col min="23" max="23" width="7.59765625" style="4" hidden="1" customWidth="1" outlineLevel="1"/>
    <col min="24" max="24" width="13.59765625" style="4" hidden="1" customWidth="1" outlineLevel="1"/>
    <col min="25" max="25" width="2.59765625" style="4" hidden="1" customWidth="1" outlineLevel="1"/>
    <col min="26" max="26" width="7.59765625" style="4" hidden="1" customWidth="1" outlineLevel="1"/>
    <col min="27" max="27" width="13.59765625" style="4" hidden="1" customWidth="1" outlineLevel="1"/>
    <col min="28" max="28" width="2.59765625" style="4" hidden="1" customWidth="1" outlineLevel="1"/>
    <col min="29" max="29" width="7.59765625" style="4" hidden="1" customWidth="1" outlineLevel="1"/>
    <col min="30" max="30" width="12.59765625" style="4" hidden="1" customWidth="1" outlineLevel="1"/>
    <col min="31" max="31" width="2.59765625" style="4" hidden="1" customWidth="1" outlineLevel="1"/>
    <col min="32" max="32" width="7.59765625" style="4" hidden="1" customWidth="1" outlineLevel="1"/>
    <col min="33" max="33" width="12.59765625" style="4" hidden="1" customWidth="1" outlineLevel="1"/>
    <col min="34" max="34" width="2.59765625" style="4" customWidth="1" collapsed="1"/>
    <col min="35" max="35" width="6.59765625" style="4" customWidth="1"/>
    <col min="36" max="36" width="8.09765625" style="4" customWidth="1"/>
    <col min="37" max="37" width="2.59765625" style="4" customWidth="1"/>
    <col min="38" max="38" width="7" style="4" customWidth="1"/>
    <col min="39" max="39" width="8.09765625" style="4" customWidth="1"/>
    <col min="40" max="40" width="2.59765625" style="4" customWidth="1"/>
    <col min="41" max="41" width="7.59765625" style="4" customWidth="1"/>
    <col min="42" max="42" width="10.59765625" style="4" customWidth="1"/>
    <col min="43" max="43" width="2.59765625" style="4" customWidth="1"/>
    <col min="44" max="44" width="6.59765625" style="4" customWidth="1"/>
    <col min="45" max="45" width="9.09765625" style="4" customWidth="1"/>
    <col min="46" max="46" width="7.09765625" style="4" customWidth="1"/>
    <col min="47" max="16384" width="9.09765625" style="4"/>
  </cols>
  <sheetData>
    <row r="1" spans="2:45" s="1" customFormat="1" ht="6" customHeight="1" x14ac:dyDescent="0.3"/>
    <row r="2" spans="2:45" s="1" customFormat="1" ht="11.1" customHeight="1" x14ac:dyDescent="0.3">
      <c r="B2" s="295" t="s">
        <v>255</v>
      </c>
      <c r="C2" s="295"/>
      <c r="E2" s="295" t="s">
        <v>1</v>
      </c>
      <c r="F2" s="295"/>
      <c r="H2" s="295" t="s">
        <v>2</v>
      </c>
      <c r="I2" s="295"/>
      <c r="K2" s="295" t="s">
        <v>256</v>
      </c>
      <c r="L2" s="295"/>
      <c r="N2" s="295" t="s">
        <v>3</v>
      </c>
      <c r="O2" s="295"/>
      <c r="Q2" s="295" t="s">
        <v>5</v>
      </c>
      <c r="R2" s="295"/>
      <c r="T2" s="295" t="s">
        <v>4</v>
      </c>
      <c r="U2" s="295"/>
      <c r="W2" s="295" t="s">
        <v>257</v>
      </c>
      <c r="X2" s="295"/>
      <c r="Z2" s="295" t="s">
        <v>6</v>
      </c>
      <c r="AA2" s="295"/>
      <c r="AC2" s="295" t="s">
        <v>7</v>
      </c>
      <c r="AD2" s="295"/>
      <c r="AF2" s="295" t="s">
        <v>258</v>
      </c>
      <c r="AG2" s="295"/>
      <c r="AI2" s="295" t="s">
        <v>8</v>
      </c>
      <c r="AJ2" s="295"/>
      <c r="AL2" s="295" t="s">
        <v>9</v>
      </c>
      <c r="AM2" s="295"/>
      <c r="AO2" s="295" t="s">
        <v>10</v>
      </c>
      <c r="AP2" s="295"/>
      <c r="AR2" s="295" t="s">
        <v>11</v>
      </c>
      <c r="AS2" s="295"/>
    </row>
    <row r="3" spans="2:45" s="1" customFormat="1" ht="11.1" customHeight="1" x14ac:dyDescent="0.3">
      <c r="B3" s="3" t="s">
        <v>0</v>
      </c>
      <c r="C3" s="97">
        <v>0.77</v>
      </c>
      <c r="E3" s="3" t="s">
        <v>0</v>
      </c>
      <c r="F3" s="97">
        <v>0.23</v>
      </c>
      <c r="H3" s="2" t="s">
        <v>0</v>
      </c>
      <c r="I3" s="98">
        <v>0.03</v>
      </c>
      <c r="K3" s="2" t="s">
        <v>0</v>
      </c>
      <c r="L3" s="98">
        <v>0.57999999999999996</v>
      </c>
      <c r="N3" s="2" t="s">
        <v>0</v>
      </c>
      <c r="O3" s="98">
        <v>0.35</v>
      </c>
      <c r="Q3" s="2" t="s">
        <v>0</v>
      </c>
      <c r="R3" s="98">
        <v>0.04</v>
      </c>
      <c r="T3" s="2" t="s">
        <v>0</v>
      </c>
      <c r="U3" s="98">
        <v>0.03</v>
      </c>
      <c r="W3" s="2" t="s">
        <v>0</v>
      </c>
      <c r="X3" s="98">
        <v>0.55000000000000004</v>
      </c>
      <c r="Z3" s="2" t="s">
        <v>0</v>
      </c>
      <c r="AA3" s="98">
        <v>0.42</v>
      </c>
      <c r="AC3" s="2" t="s">
        <v>0</v>
      </c>
      <c r="AD3" s="98">
        <v>0.02</v>
      </c>
      <c r="AF3" s="2" t="s">
        <v>0</v>
      </c>
      <c r="AG3" s="98">
        <v>0.98</v>
      </c>
      <c r="AI3" s="2" t="s">
        <v>0</v>
      </c>
      <c r="AJ3" s="2" t="s">
        <v>12</v>
      </c>
      <c r="AL3" s="2" t="s">
        <v>0</v>
      </c>
      <c r="AM3" s="2" t="s">
        <v>13</v>
      </c>
      <c r="AO3" s="2" t="s">
        <v>0</v>
      </c>
      <c r="AP3" s="2" t="s">
        <v>14</v>
      </c>
      <c r="AR3" s="2" t="s">
        <v>0</v>
      </c>
      <c r="AS3" s="2" t="s">
        <v>15</v>
      </c>
    </row>
    <row r="4" spans="2:45" ht="6" customHeight="1" x14ac:dyDescent="0.3"/>
    <row r="5" spans="2:45" ht="11.1" customHeight="1" x14ac:dyDescent="0.3">
      <c r="B5" s="5">
        <v>40</v>
      </c>
      <c r="C5" s="6">
        <f>(1-AJ5)*(1-$F$3)</f>
        <v>0.76914016610114044</v>
      </c>
      <c r="E5" s="5">
        <v>40</v>
      </c>
      <c r="F5" s="6">
        <f>(1-AJ5)*($F$3)</f>
        <v>0.22974316649774326</v>
      </c>
      <c r="H5" s="5">
        <v>40</v>
      </c>
      <c r="I5" s="7">
        <f>(1-AM5)*($I$3)</f>
        <v>2.9954460872895401E-2</v>
      </c>
      <c r="K5" s="5">
        <v>40</v>
      </c>
      <c r="L5" s="7">
        <f>(1-AM5)*(1-($I$3+$O$3+$R$3))</f>
        <v>0.57911957687597782</v>
      </c>
      <c r="N5" s="5">
        <v>40</v>
      </c>
      <c r="O5" s="7">
        <f>(1-AM5)*($O$3)</f>
        <v>0.34946871018377967</v>
      </c>
      <c r="Q5" s="5">
        <v>40</v>
      </c>
      <c r="R5" s="7">
        <f>(1-AM5)*($R$3)</f>
        <v>3.9939281163860536E-2</v>
      </c>
      <c r="T5" s="5">
        <v>40</v>
      </c>
      <c r="U5" s="7">
        <f>+(1-AP5)*$U$3</f>
        <v>2.9917786128029564E-2</v>
      </c>
      <c r="W5" s="5">
        <v>40</v>
      </c>
      <c r="X5" s="7">
        <f>(1-$AP$5)*(1-($U$3+$AA$3))</f>
        <v>0.54849274568054207</v>
      </c>
      <c r="Z5" s="5">
        <v>40</v>
      </c>
      <c r="AA5" s="7">
        <f>(1-AP5)*($AA$3)</f>
        <v>0.41884900579241391</v>
      </c>
      <c r="AC5" s="5">
        <v>40</v>
      </c>
      <c r="AD5" s="7">
        <f>(1-AS5)*($AD$3)</f>
        <v>1.9892871162059345E-2</v>
      </c>
      <c r="AF5" s="5">
        <v>40</v>
      </c>
      <c r="AG5" s="7">
        <f>(1-AS5)*(1-$AD$3)</f>
        <v>0.97475068694090783</v>
      </c>
      <c r="AI5" s="5">
        <v>40</v>
      </c>
      <c r="AJ5" s="7">
        <f>VLOOKUP(AI5,'Life table'!I3:N103,3,)</f>
        <v>1.1166674011162669E-3</v>
      </c>
      <c r="AL5" s="5">
        <v>40</v>
      </c>
      <c r="AM5" s="7">
        <f>VLOOKUP(AI5,'Life table'!I3:N103,4,)</f>
        <v>1.5179709034865985E-3</v>
      </c>
      <c r="AO5" s="5">
        <v>40</v>
      </c>
      <c r="AP5" s="7">
        <f>VLOOKUP(AI5,'Life table'!I3:N103,5,)</f>
        <v>2.7404623990144872E-3</v>
      </c>
      <c r="AR5" s="5">
        <v>40</v>
      </c>
      <c r="AS5" s="7">
        <f>VLOOKUP(AI5,'Life table'!I3:N103,6,)</f>
        <v>5.356441897032771E-3</v>
      </c>
    </row>
    <row r="6" spans="2:45" ht="11.1" customHeight="1" x14ac:dyDescent="0.3">
      <c r="B6" s="5">
        <v>41</v>
      </c>
      <c r="C6" s="6">
        <f t="shared" ref="C6:C69" si="0">(1-AJ6)*(1-$F$3)</f>
        <v>0.76907100533335271</v>
      </c>
      <c r="E6" s="5">
        <v>41</v>
      </c>
      <c r="F6" s="6">
        <f t="shared" ref="F6:F69" si="1">(1-AJ6)*($F$3)</f>
        <v>0.22972250808658587</v>
      </c>
      <c r="H6" s="5">
        <v>41</v>
      </c>
      <c r="I6" s="7">
        <f t="shared" ref="I6:I69" si="2">(1-AM6)*($I$3)</f>
        <v>2.9950798726967598E-2</v>
      </c>
      <c r="K6" s="5">
        <v>41</v>
      </c>
      <c r="L6" s="7">
        <f t="shared" ref="L6:L69" si="3">(1-AM6)*(1-($I$3+$O$3+$R$3))</f>
        <v>0.57904877538804034</v>
      </c>
      <c r="N6" s="5">
        <v>41</v>
      </c>
      <c r="O6" s="7">
        <f t="shared" ref="O6:O69" si="4">(1-AM6)*($O$3)</f>
        <v>0.34942598514795531</v>
      </c>
      <c r="Q6" s="5">
        <v>41</v>
      </c>
      <c r="R6" s="7">
        <f t="shared" ref="R6:R69" si="5">(1-AM6)*($R$3)</f>
        <v>3.9934398302623464E-2</v>
      </c>
      <c r="T6" s="5">
        <v>41</v>
      </c>
      <c r="U6" s="7">
        <f t="shared" ref="U6:U69" si="6">+(1-AP6)*$U$3</f>
        <v>2.9911179064014751E-2</v>
      </c>
      <c r="W6" s="5">
        <v>41</v>
      </c>
      <c r="X6" s="7">
        <f t="shared" ref="X6:X69" si="7">(1-$AP$5)*(1-($U$3+$AA$3))</f>
        <v>0.54849274568054207</v>
      </c>
      <c r="Z6" s="5">
        <v>41</v>
      </c>
      <c r="AA6" s="7">
        <f t="shared" ref="AA6:AA69" si="8">(1-AP6)*($AA$3)</f>
        <v>0.41875650689620653</v>
      </c>
      <c r="AC6" s="5">
        <v>41</v>
      </c>
      <c r="AD6" s="7">
        <f t="shared" ref="AD6:AD69" si="9">(1-AS6)*($AD$3)</f>
        <v>1.9884274038745361E-2</v>
      </c>
      <c r="AF6" s="5">
        <v>41</v>
      </c>
      <c r="AG6" s="7">
        <f t="shared" ref="AG6:AG69" si="10">(1-AS6)*(1-$AD$3)</f>
        <v>0.97432942789852273</v>
      </c>
      <c r="AI6" s="5">
        <v>41</v>
      </c>
      <c r="AJ6" s="7">
        <f>VLOOKUP(AI6,'Life table'!I4:N104,3,)</f>
        <v>1.2064865800615054E-3</v>
      </c>
      <c r="AL6" s="5">
        <v>41</v>
      </c>
      <c r="AM6" s="7">
        <f>VLOOKUP(AI6,'Life table'!I4:N104,4,)</f>
        <v>1.6400424344134024E-3</v>
      </c>
      <c r="AO6" s="5">
        <v>41</v>
      </c>
      <c r="AP6" s="7">
        <f>VLOOKUP(AI6,'Life table'!I4:N104,5,)</f>
        <v>2.9606978661749217E-3</v>
      </c>
      <c r="AR6" s="5">
        <v>41</v>
      </c>
      <c r="AS6" s="7">
        <f>VLOOKUP(AI6,'Life table'!I4:N104,6,)</f>
        <v>5.7862980627318983E-3</v>
      </c>
    </row>
    <row r="7" spans="2:45" ht="11.1" customHeight="1" x14ac:dyDescent="0.3">
      <c r="B7" s="5">
        <v>42</v>
      </c>
      <c r="C7" s="6">
        <f t="shared" si="0"/>
        <v>0.76901062193728953</v>
      </c>
      <c r="E7" s="5">
        <v>42</v>
      </c>
      <c r="F7" s="6">
        <f t="shared" si="1"/>
        <v>0.22970447148776182</v>
      </c>
      <c r="H7" s="5">
        <v>42</v>
      </c>
      <c r="I7" s="7">
        <f t="shared" si="2"/>
        <v>2.994760145028796E-2</v>
      </c>
      <c r="K7" s="5">
        <v>42</v>
      </c>
      <c r="L7" s="7">
        <f t="shared" si="3"/>
        <v>0.57898696137223404</v>
      </c>
      <c r="N7" s="5">
        <v>42</v>
      </c>
      <c r="O7" s="7">
        <f t="shared" si="4"/>
        <v>0.34938868358669289</v>
      </c>
      <c r="Q7" s="5">
        <v>42</v>
      </c>
      <c r="R7" s="7">
        <f t="shared" si="5"/>
        <v>3.9930135267050616E-2</v>
      </c>
      <c r="T7" s="5">
        <v>42</v>
      </c>
      <c r="U7" s="7">
        <f t="shared" si="6"/>
        <v>2.9905411226961172E-2</v>
      </c>
      <c r="W7" s="5">
        <v>42</v>
      </c>
      <c r="X7" s="7">
        <f t="shared" si="7"/>
        <v>0.54849274568054207</v>
      </c>
      <c r="Z7" s="5">
        <v>42</v>
      </c>
      <c r="AA7" s="7">
        <f t="shared" si="8"/>
        <v>0.41867575717745642</v>
      </c>
      <c r="AC7" s="5">
        <v>42</v>
      </c>
      <c r="AD7" s="7">
        <f t="shared" si="9"/>
        <v>1.9876770404850114E-2</v>
      </c>
      <c r="AF7" s="5">
        <v>42</v>
      </c>
      <c r="AG7" s="7">
        <f t="shared" si="10"/>
        <v>0.97396174983765549</v>
      </c>
      <c r="AI7" s="5">
        <v>42</v>
      </c>
      <c r="AJ7" s="7">
        <f>VLOOKUP(AI7,'Life table'!I5:N105,3,)</f>
        <v>1.2849065749486188E-3</v>
      </c>
      <c r="AL7" s="5">
        <v>42</v>
      </c>
      <c r="AM7" s="7">
        <f>VLOOKUP(AI7,'Life table'!I5:N105,4,)</f>
        <v>1.7466183237345723E-3</v>
      </c>
      <c r="AO7" s="5">
        <v>42</v>
      </c>
      <c r="AP7" s="7">
        <f>VLOOKUP(AI7,'Life table'!I5:N105,5,)</f>
        <v>3.152959101294206E-3</v>
      </c>
      <c r="AR7" s="5">
        <v>42</v>
      </c>
      <c r="AS7" s="7">
        <f>VLOOKUP(AI7,'Life table'!I5:N105,6,)</f>
        <v>6.1614797574943703E-3</v>
      </c>
    </row>
    <row r="8" spans="2:45" ht="11.1" customHeight="1" x14ac:dyDescent="0.3">
      <c r="B8" s="5">
        <v>43</v>
      </c>
      <c r="C8" s="6">
        <f t="shared" si="0"/>
        <v>0.76894146260018847</v>
      </c>
      <c r="E8" s="5">
        <v>43</v>
      </c>
      <c r="F8" s="6">
        <f t="shared" si="1"/>
        <v>0.22968381350395242</v>
      </c>
      <c r="H8" s="5">
        <v>43</v>
      </c>
      <c r="I8" s="7">
        <f t="shared" si="2"/>
        <v>2.9943939601966302E-2</v>
      </c>
      <c r="K8" s="5">
        <v>43</v>
      </c>
      <c r="L8" s="7">
        <f t="shared" si="3"/>
        <v>0.57891616563801529</v>
      </c>
      <c r="N8" s="5">
        <v>43</v>
      </c>
      <c r="O8" s="7">
        <f t="shared" si="4"/>
        <v>0.34934596202294022</v>
      </c>
      <c r="Q8" s="5">
        <v>43</v>
      </c>
      <c r="R8" s="7">
        <f t="shared" si="5"/>
        <v>3.9925252802621741E-2</v>
      </c>
      <c r="T8" s="5">
        <v>43</v>
      </c>
      <c r="U8" s="7">
        <f t="shared" si="6"/>
        <v>2.9898805919997818E-2</v>
      </c>
      <c r="W8" s="5">
        <v>43</v>
      </c>
      <c r="X8" s="7">
        <f t="shared" si="7"/>
        <v>0.54849274568054207</v>
      </c>
      <c r="Z8" s="5">
        <v>43</v>
      </c>
      <c r="AA8" s="7">
        <f t="shared" si="8"/>
        <v>0.41858328287996943</v>
      </c>
      <c r="AC8" s="5">
        <v>43</v>
      </c>
      <c r="AD8" s="7">
        <f t="shared" si="9"/>
        <v>1.9868178970702668E-2</v>
      </c>
      <c r="AF8" s="5">
        <v>43</v>
      </c>
      <c r="AG8" s="7">
        <f t="shared" si="10"/>
        <v>0.97354076956443059</v>
      </c>
      <c r="AI8" s="5">
        <v>43</v>
      </c>
      <c r="AJ8" s="7">
        <f>VLOOKUP(AI8,'Life table'!I6:N106,3,)</f>
        <v>1.3747238958591312E-3</v>
      </c>
      <c r="AL8" s="5">
        <v>43</v>
      </c>
      <c r="AM8" s="7">
        <f>VLOOKUP(AI8,'Life table'!I6:N106,4,)</f>
        <v>1.8686799344564964E-3</v>
      </c>
      <c r="AO8" s="5">
        <v>43</v>
      </c>
      <c r="AP8" s="7">
        <f>VLOOKUP(AI8,'Life table'!I6:N106,5,)</f>
        <v>3.3731360000727184E-3</v>
      </c>
      <c r="AR8" s="5">
        <v>43</v>
      </c>
      <c r="AS8" s="7">
        <f>VLOOKUP(AI8,'Life table'!I6:N106,6,)</f>
        <v>6.5910514648667151E-3</v>
      </c>
    </row>
    <row r="9" spans="2:45" ht="11.1" customHeight="1" x14ac:dyDescent="0.3">
      <c r="B9" s="5">
        <v>44</v>
      </c>
      <c r="C9" s="6">
        <f t="shared" si="0"/>
        <v>0.76886774029012417</v>
      </c>
      <c r="E9" s="5">
        <v>44</v>
      </c>
      <c r="F9" s="6">
        <f t="shared" si="1"/>
        <v>0.22966179255419295</v>
      </c>
      <c r="H9" s="5">
        <v>44</v>
      </c>
      <c r="I9" s="7">
        <f t="shared" si="2"/>
        <v>2.994003628379829E-2</v>
      </c>
      <c r="K9" s="5">
        <v>44</v>
      </c>
      <c r="L9" s="7">
        <f t="shared" si="3"/>
        <v>0.57884070148676703</v>
      </c>
      <c r="N9" s="5">
        <v>44</v>
      </c>
      <c r="O9" s="7">
        <f t="shared" si="4"/>
        <v>0.34930042331098005</v>
      </c>
      <c r="Q9" s="5">
        <v>44</v>
      </c>
      <c r="R9" s="7">
        <f t="shared" si="5"/>
        <v>3.9920048378397723E-2</v>
      </c>
      <c r="T9" s="5">
        <v>44</v>
      </c>
      <c r="U9" s="7">
        <f t="shared" si="6"/>
        <v>2.9891765762679955E-2</v>
      </c>
      <c r="W9" s="5">
        <v>44</v>
      </c>
      <c r="X9" s="7">
        <f t="shared" si="7"/>
        <v>0.54849274568054207</v>
      </c>
      <c r="Z9" s="5">
        <v>44</v>
      </c>
      <c r="AA9" s="7">
        <f t="shared" si="8"/>
        <v>0.41848472067751935</v>
      </c>
      <c r="AC9" s="5">
        <v>44</v>
      </c>
      <c r="AD9" s="7">
        <f t="shared" si="9"/>
        <v>1.9859023932351109E-2</v>
      </c>
      <c r="AF9" s="5">
        <v>44</v>
      </c>
      <c r="AG9" s="7">
        <f t="shared" si="10"/>
        <v>0.97309217268520432</v>
      </c>
      <c r="AI9" s="5">
        <v>44</v>
      </c>
      <c r="AJ9" s="7">
        <f>VLOOKUP(AI9,'Life table'!I7:N107,3,)</f>
        <v>1.4704671556828863E-3</v>
      </c>
      <c r="AL9" s="5">
        <v>44</v>
      </c>
      <c r="AM9" s="7">
        <f>VLOOKUP(AI9,'Life table'!I7:N107,4,)</f>
        <v>1.9987905400569161E-3</v>
      </c>
      <c r="AO9" s="5">
        <v>44</v>
      </c>
      <c r="AP9" s="7">
        <f>VLOOKUP(AI9,'Life table'!I7:N107,5,)</f>
        <v>3.6078079106681704E-3</v>
      </c>
      <c r="AR9" s="5">
        <v>44</v>
      </c>
      <c r="AS9" s="7">
        <f>VLOOKUP(AI9,'Life table'!I7:N107,6,)</f>
        <v>7.0488033824445129E-3</v>
      </c>
    </row>
    <row r="10" spans="2:45" ht="11.1" customHeight="1" x14ac:dyDescent="0.3">
      <c r="B10" s="5">
        <v>45</v>
      </c>
      <c r="C10" s="6">
        <f t="shared" si="0"/>
        <v>0.76878067887045476</v>
      </c>
      <c r="E10" s="5">
        <v>45</v>
      </c>
      <c r="F10" s="6">
        <f t="shared" si="1"/>
        <v>0.22963578719507091</v>
      </c>
      <c r="H10" s="5">
        <v>45</v>
      </c>
      <c r="I10" s="7">
        <f t="shared" si="2"/>
        <v>2.9935426883442588E-2</v>
      </c>
      <c r="K10" s="5">
        <v>45</v>
      </c>
      <c r="L10" s="7">
        <f t="shared" si="3"/>
        <v>0.57875158641322344</v>
      </c>
      <c r="N10" s="5">
        <v>45</v>
      </c>
      <c r="O10" s="7">
        <f t="shared" si="4"/>
        <v>0.34924664697349683</v>
      </c>
      <c r="Q10" s="5">
        <v>45</v>
      </c>
      <c r="R10" s="7">
        <f t="shared" si="5"/>
        <v>3.9913902511256788E-2</v>
      </c>
      <c r="T10" s="5">
        <v>45</v>
      </c>
      <c r="U10" s="7">
        <f t="shared" si="6"/>
        <v>2.9883453044621578E-2</v>
      </c>
      <c r="W10" s="5">
        <v>45</v>
      </c>
      <c r="X10" s="7">
        <f t="shared" si="7"/>
        <v>0.54849274568054207</v>
      </c>
      <c r="Z10" s="5">
        <v>45</v>
      </c>
      <c r="AA10" s="7">
        <f t="shared" si="8"/>
        <v>0.41836834262470213</v>
      </c>
      <c r="AC10" s="5">
        <v>45</v>
      </c>
      <c r="AD10" s="7">
        <f t="shared" si="9"/>
        <v>1.9848216709588723E-2</v>
      </c>
      <c r="AF10" s="5">
        <v>45</v>
      </c>
      <c r="AG10" s="7">
        <f t="shared" si="10"/>
        <v>0.97256261876984751</v>
      </c>
      <c r="AI10" s="5">
        <v>45</v>
      </c>
      <c r="AJ10" s="7">
        <f>VLOOKUP(AI10,'Life table'!I8:N108,3,)</f>
        <v>1.5835339344743016E-3</v>
      </c>
      <c r="AL10" s="5">
        <v>45</v>
      </c>
      <c r="AM10" s="7">
        <f>VLOOKUP(AI10,'Life table'!I8:N108,4,)</f>
        <v>2.1524372185803831E-3</v>
      </c>
      <c r="AO10" s="5">
        <v>45</v>
      </c>
      <c r="AP10" s="7">
        <f>VLOOKUP(AI10,'Life table'!I8:N108,5,)</f>
        <v>3.8848985126139768E-3</v>
      </c>
      <c r="AR10" s="5">
        <v>45</v>
      </c>
      <c r="AS10" s="7">
        <f>VLOOKUP(AI10,'Life table'!I8:N108,6,)</f>
        <v>7.5891645205637959E-3</v>
      </c>
    </row>
    <row r="11" spans="2:45" ht="11.1" customHeight="1" x14ac:dyDescent="0.3">
      <c r="B11" s="5">
        <v>46</v>
      </c>
      <c r="C11" s="6">
        <f t="shared" si="0"/>
        <v>0.76866799229849203</v>
      </c>
      <c r="E11" s="5">
        <v>46</v>
      </c>
      <c r="F11" s="6">
        <f t="shared" si="1"/>
        <v>0.22960212756967946</v>
      </c>
      <c r="H11" s="5">
        <v>46</v>
      </c>
      <c r="I11" s="7">
        <f t="shared" si="2"/>
        <v>2.9929461057723976E-2</v>
      </c>
      <c r="K11" s="5">
        <v>46</v>
      </c>
      <c r="L11" s="7">
        <f t="shared" si="3"/>
        <v>0.57863624711599693</v>
      </c>
      <c r="N11" s="5">
        <v>46</v>
      </c>
      <c r="O11" s="7">
        <f t="shared" si="4"/>
        <v>0.34917704567344637</v>
      </c>
      <c r="Q11" s="5">
        <v>46</v>
      </c>
      <c r="R11" s="7">
        <f t="shared" si="5"/>
        <v>3.9905948076965306E-2</v>
      </c>
      <c r="T11" s="5">
        <v>46</v>
      </c>
      <c r="U11" s="7">
        <f t="shared" si="6"/>
        <v>2.9872695644629285E-2</v>
      </c>
      <c r="W11" s="5">
        <v>46</v>
      </c>
      <c r="X11" s="7">
        <f t="shared" si="7"/>
        <v>0.54849274568054207</v>
      </c>
      <c r="Z11" s="5">
        <v>46</v>
      </c>
      <c r="AA11" s="7">
        <f t="shared" si="8"/>
        <v>0.41821773902481002</v>
      </c>
      <c r="AC11" s="5">
        <v>46</v>
      </c>
      <c r="AD11" s="7">
        <f t="shared" si="9"/>
        <v>1.9834235468215566E-2</v>
      </c>
      <c r="AF11" s="5">
        <v>46</v>
      </c>
      <c r="AG11" s="7">
        <f t="shared" si="10"/>
        <v>0.97187753794256271</v>
      </c>
      <c r="AI11" s="5">
        <v>46</v>
      </c>
      <c r="AJ11" s="7">
        <f>VLOOKUP(AI11,'Life table'!I9:N109,3,)</f>
        <v>1.7298801318285095E-3</v>
      </c>
      <c r="AL11" s="5">
        <v>46</v>
      </c>
      <c r="AM11" s="7">
        <f>VLOOKUP(AI11,'Life table'!I9:N109,4,)</f>
        <v>2.3512980758674251E-3</v>
      </c>
      <c r="AO11" s="5">
        <v>46</v>
      </c>
      <c r="AP11" s="7">
        <f>VLOOKUP(AI11,'Life table'!I9:N109,5,)</f>
        <v>4.2434785123570684E-3</v>
      </c>
      <c r="AR11" s="5">
        <v>46</v>
      </c>
      <c r="AS11" s="7">
        <f>VLOOKUP(AI11,'Life table'!I9:N109,6,)</f>
        <v>8.2882265892216811E-3</v>
      </c>
    </row>
    <row r="12" spans="2:45" ht="11.1" customHeight="1" x14ac:dyDescent="0.3">
      <c r="B12" s="5">
        <v>47</v>
      </c>
      <c r="C12" s="6">
        <f t="shared" si="0"/>
        <v>0.76853880894255477</v>
      </c>
      <c r="E12" s="5">
        <v>47</v>
      </c>
      <c r="F12" s="6">
        <f t="shared" si="1"/>
        <v>0.22956354033349038</v>
      </c>
      <c r="H12" s="5">
        <v>47</v>
      </c>
      <c r="I12" s="7">
        <f t="shared" si="2"/>
        <v>2.992262225016697E-2</v>
      </c>
      <c r="K12" s="5">
        <v>47</v>
      </c>
      <c r="L12" s="7">
        <f t="shared" si="3"/>
        <v>0.57850403016989482</v>
      </c>
      <c r="N12" s="5">
        <v>47</v>
      </c>
      <c r="O12" s="7">
        <f t="shared" si="4"/>
        <v>0.34909725958528132</v>
      </c>
      <c r="Q12" s="5">
        <v>47</v>
      </c>
      <c r="R12" s="7">
        <f t="shared" si="5"/>
        <v>3.9896829666889295E-2</v>
      </c>
      <c r="T12" s="5">
        <v>47</v>
      </c>
      <c r="U12" s="7">
        <f t="shared" si="6"/>
        <v>2.9860366236835589E-2</v>
      </c>
      <c r="W12" s="5">
        <v>47</v>
      </c>
      <c r="X12" s="7">
        <f t="shared" si="7"/>
        <v>0.54849274568054207</v>
      </c>
      <c r="Z12" s="5">
        <v>47</v>
      </c>
      <c r="AA12" s="7">
        <f t="shared" si="8"/>
        <v>0.41804512731569826</v>
      </c>
      <c r="AC12" s="5">
        <v>47</v>
      </c>
      <c r="AD12" s="7">
        <f t="shared" si="9"/>
        <v>1.9818217036163804E-2</v>
      </c>
      <c r="AF12" s="5">
        <v>47</v>
      </c>
      <c r="AG12" s="7">
        <f t="shared" si="10"/>
        <v>0.97109263477202634</v>
      </c>
      <c r="AI12" s="5">
        <v>47</v>
      </c>
      <c r="AJ12" s="7">
        <f>VLOOKUP(AI12,'Life table'!I10:N110,3,)</f>
        <v>1.897650723954869E-3</v>
      </c>
      <c r="AL12" s="5">
        <v>47</v>
      </c>
      <c r="AM12" s="7">
        <f>VLOOKUP(AI12,'Life table'!I10:N110,4,)</f>
        <v>2.5792583277676195E-3</v>
      </c>
      <c r="AO12" s="5">
        <v>47</v>
      </c>
      <c r="AP12" s="7">
        <f>VLOOKUP(AI12,'Life table'!I10:N110,5,)</f>
        <v>4.6544587721469854E-3</v>
      </c>
      <c r="AR12" s="5">
        <v>47</v>
      </c>
      <c r="AS12" s="7">
        <f>VLOOKUP(AI12,'Life table'!I10:N110,6,)</f>
        <v>9.0891481918098371E-3</v>
      </c>
    </row>
    <row r="13" spans="2:45" ht="11.1" customHeight="1" x14ac:dyDescent="0.3">
      <c r="B13" s="5">
        <v>48</v>
      </c>
      <c r="C13" s="6">
        <f t="shared" si="0"/>
        <v>0.76840997928410826</v>
      </c>
      <c r="E13" s="5">
        <v>48</v>
      </c>
      <c r="F13" s="6">
        <f t="shared" si="1"/>
        <v>0.22952505874720117</v>
      </c>
      <c r="H13" s="5">
        <v>48</v>
      </c>
      <c r="I13" s="7">
        <f t="shared" si="2"/>
        <v>2.9915802578638354E-2</v>
      </c>
      <c r="K13" s="5">
        <v>48</v>
      </c>
      <c r="L13" s="7">
        <f t="shared" si="3"/>
        <v>0.57837218318700823</v>
      </c>
      <c r="N13" s="5">
        <v>48</v>
      </c>
      <c r="O13" s="7">
        <f t="shared" si="4"/>
        <v>0.34901769675078076</v>
      </c>
      <c r="Q13" s="5">
        <v>48</v>
      </c>
      <c r="R13" s="7">
        <f t="shared" si="5"/>
        <v>3.9887736771517808E-2</v>
      </c>
      <c r="T13" s="5">
        <v>48</v>
      </c>
      <c r="U13" s="7">
        <f t="shared" si="6"/>
        <v>2.984807359135699E-2</v>
      </c>
      <c r="W13" s="5">
        <v>48</v>
      </c>
      <c r="X13" s="7">
        <f t="shared" si="7"/>
        <v>0.54849274568054207</v>
      </c>
      <c r="Z13" s="5">
        <v>48</v>
      </c>
      <c r="AA13" s="7">
        <f t="shared" si="8"/>
        <v>0.41787303027899786</v>
      </c>
      <c r="AC13" s="5">
        <v>48</v>
      </c>
      <c r="AD13" s="7">
        <f t="shared" si="9"/>
        <v>1.9802252666961371E-2</v>
      </c>
      <c r="AF13" s="5">
        <v>48</v>
      </c>
      <c r="AG13" s="7">
        <f t="shared" si="10"/>
        <v>0.9703103806811072</v>
      </c>
      <c r="AI13" s="5">
        <v>48</v>
      </c>
      <c r="AJ13" s="7">
        <f>VLOOKUP(AI13,'Life table'!I11:N111,3,)</f>
        <v>2.0649619686906595E-3</v>
      </c>
      <c r="AL13" s="5">
        <v>48</v>
      </c>
      <c r="AM13" s="7">
        <f>VLOOKUP(AI13,'Life table'!I11:N111,4,)</f>
        <v>2.8065807120548625E-3</v>
      </c>
      <c r="AO13" s="5">
        <v>48</v>
      </c>
      <c r="AP13" s="7">
        <f>VLOOKUP(AI13,'Life table'!I11:N111,5,)</f>
        <v>5.0642136214336109E-3</v>
      </c>
      <c r="AR13" s="5">
        <v>48</v>
      </c>
      <c r="AS13" s="7">
        <f>VLOOKUP(AI13,'Life table'!I11:N111,6,)</f>
        <v>9.8873666519314618E-3</v>
      </c>
    </row>
    <row r="14" spans="2:45" ht="11.1" customHeight="1" x14ac:dyDescent="0.3">
      <c r="B14" s="5">
        <v>49</v>
      </c>
      <c r="C14" s="6">
        <f t="shared" si="0"/>
        <v>0.76828571558726322</v>
      </c>
      <c r="E14" s="5">
        <v>49</v>
      </c>
      <c r="F14" s="6">
        <f t="shared" si="1"/>
        <v>0.22948794101957212</v>
      </c>
      <c r="H14" s="5">
        <v>49</v>
      </c>
      <c r="I14" s="7">
        <f t="shared" si="2"/>
        <v>2.9909224998490615E-2</v>
      </c>
      <c r="K14" s="5">
        <v>49</v>
      </c>
      <c r="L14" s="7">
        <f t="shared" si="3"/>
        <v>0.57824501663748529</v>
      </c>
      <c r="N14" s="5">
        <v>49</v>
      </c>
      <c r="O14" s="7">
        <f t="shared" si="4"/>
        <v>0.3489409583157238</v>
      </c>
      <c r="Q14" s="5">
        <v>49</v>
      </c>
      <c r="R14" s="7">
        <f t="shared" si="5"/>
        <v>3.9878966664654153E-2</v>
      </c>
      <c r="T14" s="5">
        <v>49</v>
      </c>
      <c r="U14" s="7">
        <f t="shared" si="6"/>
        <v>2.9836219463026458E-2</v>
      </c>
      <c r="W14" s="5">
        <v>49</v>
      </c>
      <c r="X14" s="7">
        <f t="shared" si="7"/>
        <v>0.54849274568054207</v>
      </c>
      <c r="Z14" s="5">
        <v>49</v>
      </c>
      <c r="AA14" s="7">
        <f t="shared" si="8"/>
        <v>0.41770707248237043</v>
      </c>
      <c r="AC14" s="5">
        <v>49</v>
      </c>
      <c r="AD14" s="7">
        <f t="shared" si="9"/>
        <v>1.9786863755876818E-2</v>
      </c>
      <c r="AF14" s="5">
        <v>49</v>
      </c>
      <c r="AG14" s="7">
        <f t="shared" si="10"/>
        <v>0.96955632403796399</v>
      </c>
      <c r="AI14" s="5">
        <v>49</v>
      </c>
      <c r="AJ14" s="7">
        <f>VLOOKUP(AI14,'Life table'!I12:N112,3,)</f>
        <v>2.2263433931647425E-3</v>
      </c>
      <c r="AL14" s="5">
        <v>49</v>
      </c>
      <c r="AM14" s="7">
        <f>VLOOKUP(AI14,'Life table'!I12:N112,4,)</f>
        <v>3.0258333836461482E-3</v>
      </c>
      <c r="AO14" s="5">
        <v>49</v>
      </c>
      <c r="AP14" s="7">
        <f>VLOOKUP(AI14,'Life table'!I12:N112,5,)</f>
        <v>5.4593512324513371E-3</v>
      </c>
      <c r="AR14" s="5">
        <v>49</v>
      </c>
      <c r="AS14" s="7">
        <f>VLOOKUP(AI14,'Life table'!I12:N112,6,)</f>
        <v>1.0656812206159216E-2</v>
      </c>
    </row>
    <row r="15" spans="2:45" ht="11.1" customHeight="1" x14ac:dyDescent="0.3">
      <c r="B15" s="5">
        <v>50</v>
      </c>
      <c r="C15" s="6">
        <f t="shared" si="0"/>
        <v>0.76816636859761689</v>
      </c>
      <c r="E15" s="5">
        <v>50</v>
      </c>
      <c r="F15" s="6">
        <f t="shared" si="1"/>
        <v>0.2294522919187687</v>
      </c>
      <c r="H15" s="5">
        <v>50</v>
      </c>
      <c r="I15" s="7">
        <f t="shared" si="2"/>
        <v>2.9902908031829888E-2</v>
      </c>
      <c r="K15" s="5">
        <v>50</v>
      </c>
      <c r="L15" s="7">
        <f t="shared" si="3"/>
        <v>0.57812288861537786</v>
      </c>
      <c r="N15" s="5">
        <v>50</v>
      </c>
      <c r="O15" s="7">
        <f t="shared" si="4"/>
        <v>0.34886726037134869</v>
      </c>
      <c r="Q15" s="5">
        <v>50</v>
      </c>
      <c r="R15" s="7">
        <f t="shared" si="5"/>
        <v>3.9870544042439851E-2</v>
      </c>
      <c r="T15" s="5">
        <v>50</v>
      </c>
      <c r="U15" s="7">
        <f t="shared" si="6"/>
        <v>2.9824836991746762E-2</v>
      </c>
      <c r="W15" s="5">
        <v>50</v>
      </c>
      <c r="X15" s="7">
        <f t="shared" si="7"/>
        <v>0.54849274568054207</v>
      </c>
      <c r="Z15" s="5">
        <v>50</v>
      </c>
      <c r="AA15" s="7">
        <f t="shared" si="8"/>
        <v>0.41754771788445466</v>
      </c>
      <c r="AC15" s="5">
        <v>50</v>
      </c>
      <c r="AD15" s="7">
        <f t="shared" si="9"/>
        <v>1.9772092651667558E-2</v>
      </c>
      <c r="AF15" s="5">
        <v>50</v>
      </c>
      <c r="AG15" s="7">
        <f t="shared" si="10"/>
        <v>0.96883253993171037</v>
      </c>
      <c r="AI15" s="5">
        <v>50</v>
      </c>
      <c r="AJ15" s="7">
        <f>VLOOKUP(AI15,'Life table'!I13:N113,3,)</f>
        <v>2.3813394836144086E-3</v>
      </c>
      <c r="AL15" s="5">
        <v>50</v>
      </c>
      <c r="AM15" s="7">
        <f>VLOOKUP(AI15,'Life table'!I13:N113,4,)</f>
        <v>3.2363989390037373E-3</v>
      </c>
      <c r="AO15" s="5">
        <v>50</v>
      </c>
      <c r="AP15" s="7">
        <f>VLOOKUP(AI15,'Life table'!I13:N113,5,)</f>
        <v>5.8387669417745425E-3</v>
      </c>
      <c r="AR15" s="5">
        <v>50</v>
      </c>
      <c r="AS15" s="7">
        <f>VLOOKUP(AI15,'Life table'!I13:N113,6,)</f>
        <v>1.139536741662206E-2</v>
      </c>
    </row>
    <row r="16" spans="2:45" ht="11.1" customHeight="1" x14ac:dyDescent="0.3">
      <c r="B16" s="5">
        <v>51</v>
      </c>
      <c r="C16" s="6">
        <f t="shared" si="0"/>
        <v>0.76804281176035372</v>
      </c>
      <c r="E16" s="5">
        <v>51</v>
      </c>
      <c r="F16" s="6">
        <f t="shared" si="1"/>
        <v>0.22941538533101474</v>
      </c>
      <c r="H16" s="5">
        <v>51</v>
      </c>
      <c r="I16" s="7">
        <f t="shared" si="2"/>
        <v>2.9896368612247138E-2</v>
      </c>
      <c r="K16" s="5">
        <v>51</v>
      </c>
      <c r="L16" s="7">
        <f t="shared" si="3"/>
        <v>0.57799645983677816</v>
      </c>
      <c r="N16" s="5">
        <v>51</v>
      </c>
      <c r="O16" s="7">
        <f t="shared" si="4"/>
        <v>0.34879096714288327</v>
      </c>
      <c r="Q16" s="5">
        <v>51</v>
      </c>
      <c r="R16" s="7">
        <f t="shared" si="5"/>
        <v>3.9861824816329522E-2</v>
      </c>
      <c r="T16" s="5">
        <v>51</v>
      </c>
      <c r="U16" s="7">
        <f t="shared" si="6"/>
        <v>2.981305572764939E-2</v>
      </c>
      <c r="W16" s="5">
        <v>51</v>
      </c>
      <c r="X16" s="7">
        <f t="shared" si="7"/>
        <v>0.54849274568054207</v>
      </c>
      <c r="Z16" s="5">
        <v>51</v>
      </c>
      <c r="AA16" s="7">
        <f t="shared" si="8"/>
        <v>0.41738278018709146</v>
      </c>
      <c r="AC16" s="5">
        <v>51</v>
      </c>
      <c r="AD16" s="7">
        <f t="shared" si="9"/>
        <v>1.9756809713066818E-2</v>
      </c>
      <c r="AF16" s="5">
        <v>51</v>
      </c>
      <c r="AG16" s="7">
        <f t="shared" si="10"/>
        <v>0.96808367594027411</v>
      </c>
      <c r="AI16" s="5">
        <v>51</v>
      </c>
      <c r="AJ16" s="7">
        <f>VLOOKUP(AI16,'Life table'!I14:N114,3,)</f>
        <v>2.5418029086315963E-3</v>
      </c>
      <c r="AL16" s="5">
        <v>51</v>
      </c>
      <c r="AM16" s="7">
        <f>VLOOKUP(AI16,'Life table'!I14:N114,4,)</f>
        <v>3.4543795917619802E-3</v>
      </c>
      <c r="AO16" s="5">
        <v>51</v>
      </c>
      <c r="AP16" s="7">
        <f>VLOOKUP(AI16,'Life table'!I14:N114,5,)</f>
        <v>6.231475745020254E-3</v>
      </c>
      <c r="AR16" s="5">
        <v>51</v>
      </c>
      <c r="AS16" s="7">
        <f>VLOOKUP(AI16,'Life table'!I14:N114,6,)</f>
        <v>1.2159514346659073E-2</v>
      </c>
    </row>
    <row r="17" spans="2:45" ht="11.1" customHeight="1" x14ac:dyDescent="0.3">
      <c r="B17" s="5">
        <v>52</v>
      </c>
      <c r="C17" s="6">
        <f t="shared" si="0"/>
        <v>0.7678764351032038</v>
      </c>
      <c r="E17" s="5">
        <v>52</v>
      </c>
      <c r="F17" s="6">
        <f t="shared" si="1"/>
        <v>0.22936568840745047</v>
      </c>
      <c r="H17" s="5">
        <v>52</v>
      </c>
      <c r="I17" s="7">
        <f t="shared" si="2"/>
        <v>2.9887563491155431E-2</v>
      </c>
      <c r="K17" s="5">
        <v>52</v>
      </c>
      <c r="L17" s="7">
        <f t="shared" si="3"/>
        <v>0.57782622749567181</v>
      </c>
      <c r="N17" s="5">
        <v>52</v>
      </c>
      <c r="O17" s="7">
        <f t="shared" si="4"/>
        <v>0.3486882407301467</v>
      </c>
      <c r="Q17" s="5">
        <v>52</v>
      </c>
      <c r="R17" s="7">
        <f t="shared" si="5"/>
        <v>3.9850084654873913E-2</v>
      </c>
      <c r="T17" s="5">
        <v>52</v>
      </c>
      <c r="U17" s="7">
        <f t="shared" si="6"/>
        <v>2.9797195911880226E-2</v>
      </c>
      <c r="W17" s="5">
        <v>52</v>
      </c>
      <c r="X17" s="7">
        <f t="shared" si="7"/>
        <v>0.54849274568054207</v>
      </c>
      <c r="Z17" s="5">
        <v>52</v>
      </c>
      <c r="AA17" s="7">
        <f t="shared" si="8"/>
        <v>0.41716074276632314</v>
      </c>
      <c r="AC17" s="5">
        <v>52</v>
      </c>
      <c r="AD17" s="7">
        <f t="shared" si="9"/>
        <v>1.9736245106310731E-2</v>
      </c>
      <c r="AF17" s="5">
        <v>52</v>
      </c>
      <c r="AG17" s="7">
        <f t="shared" si="10"/>
        <v>0.96707601020922573</v>
      </c>
      <c r="AI17" s="5">
        <v>52</v>
      </c>
      <c r="AJ17" s="7">
        <f>VLOOKUP(AI17,'Life table'!I15:N115,3,)</f>
        <v>2.7578764893457786E-3</v>
      </c>
      <c r="AL17" s="5">
        <v>52</v>
      </c>
      <c r="AM17" s="7">
        <f>VLOOKUP(AI17,'Life table'!I15:N115,4,)</f>
        <v>3.7478836281522598E-3</v>
      </c>
      <c r="AO17" s="5">
        <v>52</v>
      </c>
      <c r="AP17" s="7">
        <f>VLOOKUP(AI17,'Life table'!I15:N115,5,)</f>
        <v>6.7601362706590784E-3</v>
      </c>
      <c r="AR17" s="5">
        <v>52</v>
      </c>
      <c r="AS17" s="7">
        <f>VLOOKUP(AI17,'Life table'!I15:N115,6,)</f>
        <v>1.3187744684463487E-2</v>
      </c>
    </row>
    <row r="18" spans="2:45" ht="11.1" customHeight="1" x14ac:dyDescent="0.3">
      <c r="B18" s="5">
        <v>53</v>
      </c>
      <c r="C18" s="6">
        <f t="shared" si="0"/>
        <v>0.7676707519378666</v>
      </c>
      <c r="E18" s="5">
        <v>53</v>
      </c>
      <c r="F18" s="6">
        <f t="shared" si="1"/>
        <v>0.22930425057884327</v>
      </c>
      <c r="H18" s="5">
        <v>53</v>
      </c>
      <c r="I18" s="7">
        <f t="shared" si="2"/>
        <v>2.9876679107410362E-2</v>
      </c>
      <c r="K18" s="5">
        <v>53</v>
      </c>
      <c r="L18" s="7">
        <f t="shared" si="3"/>
        <v>0.57761579607660041</v>
      </c>
      <c r="N18" s="5">
        <v>53</v>
      </c>
      <c r="O18" s="7">
        <f t="shared" si="4"/>
        <v>0.3485612562531209</v>
      </c>
      <c r="Q18" s="5">
        <v>53</v>
      </c>
      <c r="R18" s="7">
        <f t="shared" si="5"/>
        <v>3.9835572143213815E-2</v>
      </c>
      <c r="T18" s="5">
        <v>53</v>
      </c>
      <c r="U18" s="7">
        <f t="shared" si="6"/>
        <v>2.9777596128008062E-2</v>
      </c>
      <c r="W18" s="5">
        <v>53</v>
      </c>
      <c r="X18" s="7">
        <f t="shared" si="7"/>
        <v>0.54849274568054207</v>
      </c>
      <c r="Z18" s="5">
        <v>53</v>
      </c>
      <c r="AA18" s="7">
        <f t="shared" si="8"/>
        <v>0.41688634579211287</v>
      </c>
      <c r="AC18" s="5">
        <v>53</v>
      </c>
      <c r="AD18" s="7">
        <f t="shared" si="9"/>
        <v>1.9710845545435736E-2</v>
      </c>
      <c r="AF18" s="5">
        <v>53</v>
      </c>
      <c r="AG18" s="7">
        <f t="shared" si="10"/>
        <v>0.965831431726351</v>
      </c>
      <c r="AI18" s="5">
        <v>53</v>
      </c>
      <c r="AJ18" s="7">
        <f>VLOOKUP(AI18,'Life table'!I16:N116,3,)</f>
        <v>3.0249974832902149E-3</v>
      </c>
      <c r="AL18" s="5">
        <v>53</v>
      </c>
      <c r="AM18" s="7">
        <f>VLOOKUP(AI18,'Life table'!I16:N116,4,)</f>
        <v>4.1106964196545581E-3</v>
      </c>
      <c r="AO18" s="5">
        <v>53</v>
      </c>
      <c r="AP18" s="7">
        <f>VLOOKUP(AI18,'Life table'!I16:N116,5,)</f>
        <v>7.4134623997311744E-3</v>
      </c>
      <c r="AR18" s="5">
        <v>53</v>
      </c>
      <c r="AS18" s="7">
        <f>VLOOKUP(AI18,'Life table'!I16:N116,6,)</f>
        <v>1.4457722728213218E-2</v>
      </c>
    </row>
    <row r="19" spans="2:45" ht="11.1" customHeight="1" x14ac:dyDescent="0.3">
      <c r="B19" s="5">
        <v>54</v>
      </c>
      <c r="C19" s="6">
        <f t="shared" si="0"/>
        <v>0.76743875225760516</v>
      </c>
      <c r="E19" s="5">
        <v>54</v>
      </c>
      <c r="F19" s="6">
        <f t="shared" si="1"/>
        <v>0.22923495197305091</v>
      </c>
      <c r="H19" s="5">
        <v>54</v>
      </c>
      <c r="I19" s="7">
        <f t="shared" si="2"/>
        <v>2.9864403359614114E-2</v>
      </c>
      <c r="K19" s="5">
        <v>54</v>
      </c>
      <c r="L19" s="7">
        <f t="shared" si="3"/>
        <v>0.57737846495253964</v>
      </c>
      <c r="N19" s="5">
        <v>54</v>
      </c>
      <c r="O19" s="7">
        <f t="shared" si="4"/>
        <v>0.34841803919549796</v>
      </c>
      <c r="Q19" s="5">
        <v>54</v>
      </c>
      <c r="R19" s="7">
        <f t="shared" si="5"/>
        <v>3.981920447948549E-2</v>
      </c>
      <c r="T19" s="5">
        <v>54</v>
      </c>
      <c r="U19" s="7">
        <f t="shared" si="6"/>
        <v>2.9755497788453301E-2</v>
      </c>
      <c r="W19" s="5">
        <v>54</v>
      </c>
      <c r="X19" s="7">
        <f t="shared" si="7"/>
        <v>0.54849274568054207</v>
      </c>
      <c r="Z19" s="5">
        <v>54</v>
      </c>
      <c r="AA19" s="7">
        <f t="shared" si="8"/>
        <v>0.41657696903834618</v>
      </c>
      <c r="AC19" s="5">
        <v>54</v>
      </c>
      <c r="AD19" s="7">
        <f t="shared" si="9"/>
        <v>1.968222726608251E-2</v>
      </c>
      <c r="AF19" s="5">
        <v>54</v>
      </c>
      <c r="AG19" s="7">
        <f t="shared" si="10"/>
        <v>0.96442913603804303</v>
      </c>
      <c r="AI19" s="5">
        <v>54</v>
      </c>
      <c r="AJ19" s="7">
        <f>VLOOKUP(AI19,'Life table'!I17:N117,3,)</f>
        <v>3.3262957693439565E-3</v>
      </c>
      <c r="AL19" s="5">
        <v>54</v>
      </c>
      <c r="AM19" s="7">
        <f>VLOOKUP(AI19,'Life table'!I17:N117,4,)</f>
        <v>4.5198880128628494E-3</v>
      </c>
      <c r="AO19" s="5">
        <v>54</v>
      </c>
      <c r="AP19" s="7">
        <f>VLOOKUP(AI19,'Life table'!I17:N117,5,)</f>
        <v>8.1500737182232941E-3</v>
      </c>
      <c r="AR19" s="5">
        <v>54</v>
      </c>
      <c r="AS19" s="7">
        <f>VLOOKUP(AI19,'Life table'!I17:N117,6,)</f>
        <v>1.5888636695874481E-2</v>
      </c>
    </row>
    <row r="20" spans="2:45" ht="11.1" customHeight="1" x14ac:dyDescent="0.3">
      <c r="B20" s="5">
        <v>55</v>
      </c>
      <c r="C20" s="6">
        <f t="shared" si="0"/>
        <v>0.7672102708242976</v>
      </c>
      <c r="E20" s="5">
        <v>55</v>
      </c>
      <c r="F20" s="6">
        <f t="shared" si="1"/>
        <v>0.22916670427219279</v>
      </c>
      <c r="H20" s="5">
        <v>55</v>
      </c>
      <c r="I20" s="7">
        <f t="shared" si="2"/>
        <v>2.9852315076422491E-2</v>
      </c>
      <c r="K20" s="5">
        <v>55</v>
      </c>
      <c r="L20" s="7">
        <f t="shared" si="3"/>
        <v>0.57714475814416821</v>
      </c>
      <c r="N20" s="5">
        <v>55</v>
      </c>
      <c r="O20" s="7">
        <f t="shared" si="4"/>
        <v>0.34827700922492905</v>
      </c>
      <c r="Q20" s="5">
        <v>55</v>
      </c>
      <c r="R20" s="7">
        <f t="shared" si="5"/>
        <v>3.9803086768563326E-2</v>
      </c>
      <c r="T20" s="5">
        <v>55</v>
      </c>
      <c r="U20" s="7">
        <f t="shared" si="6"/>
        <v>2.9733744072906472E-2</v>
      </c>
      <c r="W20" s="5">
        <v>55</v>
      </c>
      <c r="X20" s="7">
        <f t="shared" si="7"/>
        <v>0.54849274568054207</v>
      </c>
      <c r="Z20" s="5">
        <v>55</v>
      </c>
      <c r="AA20" s="7">
        <f t="shared" si="8"/>
        <v>0.41627241702069057</v>
      </c>
      <c r="AC20" s="5">
        <v>55</v>
      </c>
      <c r="AD20" s="7">
        <f t="shared" si="9"/>
        <v>1.9654075151749072E-2</v>
      </c>
      <c r="AF20" s="5">
        <v>55</v>
      </c>
      <c r="AG20" s="7">
        <f t="shared" si="10"/>
        <v>0.96304968243570443</v>
      </c>
      <c r="AI20" s="5">
        <v>55</v>
      </c>
      <c r="AJ20" s="7">
        <f>VLOOKUP(AI20,'Life table'!I18:N118,3,)</f>
        <v>3.6230249035096307E-3</v>
      </c>
      <c r="AL20" s="5">
        <v>55</v>
      </c>
      <c r="AM20" s="7">
        <f>VLOOKUP(AI20,'Life table'!I18:N118,4,)</f>
        <v>4.9228307859169318E-3</v>
      </c>
      <c r="AO20" s="5">
        <v>55</v>
      </c>
      <c r="AP20" s="7">
        <f>VLOOKUP(AI20,'Life table'!I18:N118,5,)</f>
        <v>8.8751975697842767E-3</v>
      </c>
      <c r="AR20" s="5">
        <v>55</v>
      </c>
      <c r="AS20" s="7">
        <f>VLOOKUP(AI20,'Life table'!I18:N118,6,)</f>
        <v>1.7296242412546459E-2</v>
      </c>
    </row>
    <row r="21" spans="2:45" ht="11.1" customHeight="1" x14ac:dyDescent="0.3">
      <c r="B21" s="5">
        <v>56</v>
      </c>
      <c r="C21" s="6">
        <f t="shared" si="0"/>
        <v>0.76699934530603908</v>
      </c>
      <c r="E21" s="5">
        <v>56</v>
      </c>
      <c r="F21" s="6">
        <f t="shared" si="1"/>
        <v>0.22910370054595974</v>
      </c>
      <c r="H21" s="5">
        <v>56</v>
      </c>
      <c r="I21" s="7">
        <f t="shared" si="2"/>
        <v>2.9841156774519585E-2</v>
      </c>
      <c r="K21" s="5">
        <v>56</v>
      </c>
      <c r="L21" s="7">
        <f t="shared" si="3"/>
        <v>0.57692903097404546</v>
      </c>
      <c r="N21" s="5">
        <v>56</v>
      </c>
      <c r="O21" s="7">
        <f t="shared" si="4"/>
        <v>0.34814682903606181</v>
      </c>
      <c r="Q21" s="5">
        <v>56</v>
      </c>
      <c r="R21" s="7">
        <f t="shared" si="5"/>
        <v>3.9788209032692784E-2</v>
      </c>
      <c r="T21" s="5">
        <v>56</v>
      </c>
      <c r="U21" s="7">
        <f t="shared" si="6"/>
        <v>2.9713670228199058E-2</v>
      </c>
      <c r="W21" s="5">
        <v>56</v>
      </c>
      <c r="X21" s="7">
        <f t="shared" si="7"/>
        <v>0.54849274568054207</v>
      </c>
      <c r="Z21" s="5">
        <v>56</v>
      </c>
      <c r="AA21" s="7">
        <f t="shared" si="8"/>
        <v>0.41599138319478679</v>
      </c>
      <c r="AC21" s="5">
        <v>56</v>
      </c>
      <c r="AD21" s="7">
        <f t="shared" si="9"/>
        <v>1.9628114489979247E-2</v>
      </c>
      <c r="AF21" s="5">
        <v>56</v>
      </c>
      <c r="AG21" s="7">
        <f t="shared" si="10"/>
        <v>0.9617776100089831</v>
      </c>
      <c r="AI21" s="5">
        <v>56</v>
      </c>
      <c r="AJ21" s="7">
        <f>VLOOKUP(AI21,'Life table'!I19:N119,3,)</f>
        <v>3.8969541480011749E-3</v>
      </c>
      <c r="AL21" s="5">
        <v>56</v>
      </c>
      <c r="AM21" s="7">
        <f>VLOOKUP(AI21,'Life table'!I19:N119,4,)</f>
        <v>5.2947741826804284E-3</v>
      </c>
      <c r="AO21" s="5">
        <v>56</v>
      </c>
      <c r="AP21" s="7">
        <f>VLOOKUP(AI21,'Life table'!I19:N119,5,)</f>
        <v>9.5443257266980552E-3</v>
      </c>
      <c r="AR21" s="5">
        <v>56</v>
      </c>
      <c r="AS21" s="7">
        <f>VLOOKUP(AI21,'Life table'!I19:N119,6,)</f>
        <v>1.8594275501037649E-2</v>
      </c>
    </row>
    <row r="22" spans="2:45" ht="11.1" customHeight="1" x14ac:dyDescent="0.3">
      <c r="B22" s="5">
        <v>57</v>
      </c>
      <c r="C22" s="6">
        <f t="shared" si="0"/>
        <v>0.76681509839436557</v>
      </c>
      <c r="E22" s="5">
        <v>57</v>
      </c>
      <c r="F22" s="6">
        <f t="shared" si="1"/>
        <v>0.22904866575416116</v>
      </c>
      <c r="H22" s="5">
        <v>57</v>
      </c>
      <c r="I22" s="7">
        <f t="shared" si="2"/>
        <v>2.9831410717155359E-2</v>
      </c>
      <c r="K22" s="5">
        <v>57</v>
      </c>
      <c r="L22" s="7">
        <f t="shared" si="3"/>
        <v>0.57674060719833709</v>
      </c>
      <c r="N22" s="5">
        <v>57</v>
      </c>
      <c r="O22" s="7">
        <f t="shared" si="4"/>
        <v>0.34803312503347922</v>
      </c>
      <c r="Q22" s="5">
        <v>57</v>
      </c>
      <c r="R22" s="7">
        <f t="shared" si="5"/>
        <v>3.9775214289540485E-2</v>
      </c>
      <c r="T22" s="5">
        <v>57</v>
      </c>
      <c r="U22" s="7">
        <f t="shared" si="6"/>
        <v>2.9696141970769894E-2</v>
      </c>
      <c r="W22" s="5">
        <v>57</v>
      </c>
      <c r="X22" s="7">
        <f t="shared" si="7"/>
        <v>0.54849274568054207</v>
      </c>
      <c r="Z22" s="5">
        <v>57</v>
      </c>
      <c r="AA22" s="7">
        <f t="shared" si="8"/>
        <v>0.41574598759077852</v>
      </c>
      <c r="AC22" s="5">
        <v>57</v>
      </c>
      <c r="AD22" s="7">
        <f t="shared" si="9"/>
        <v>1.9605459653668382E-2</v>
      </c>
      <c r="AF22" s="5">
        <v>57</v>
      </c>
      <c r="AG22" s="7">
        <f t="shared" si="10"/>
        <v>0.96066752302975056</v>
      </c>
      <c r="AI22" s="5">
        <v>57</v>
      </c>
      <c r="AJ22" s="7">
        <f>VLOOKUP(AI22,'Life table'!I20:N120,3,)</f>
        <v>4.1362358514732689E-3</v>
      </c>
      <c r="AL22" s="5">
        <v>57</v>
      </c>
      <c r="AM22" s="7">
        <f>VLOOKUP(AI22,'Life table'!I20:N120,4,)</f>
        <v>5.619642761487964E-3</v>
      </c>
      <c r="AO22" s="5">
        <v>57</v>
      </c>
      <c r="AP22" s="7">
        <f>VLOOKUP(AI22,'Life table'!I20:N120,5,)</f>
        <v>1.0128600974336877E-2</v>
      </c>
      <c r="AR22" s="5">
        <v>57</v>
      </c>
      <c r="AS22" s="7">
        <f>VLOOKUP(AI22,'Life table'!I20:N120,6,)</f>
        <v>1.9727017316580997E-2</v>
      </c>
    </row>
    <row r="23" spans="2:45" ht="11.1" customHeight="1" x14ac:dyDescent="0.3">
      <c r="B23" s="5">
        <v>58</v>
      </c>
      <c r="C23" s="6">
        <f t="shared" si="0"/>
        <v>0.76661892527779729</v>
      </c>
      <c r="E23" s="5">
        <v>58</v>
      </c>
      <c r="F23" s="6">
        <f t="shared" si="1"/>
        <v>0.22899006858947193</v>
      </c>
      <c r="H23" s="5">
        <v>58</v>
      </c>
      <c r="I23" s="7">
        <f t="shared" si="2"/>
        <v>2.9821034728370922E-2</v>
      </c>
      <c r="K23" s="5">
        <v>58</v>
      </c>
      <c r="L23" s="7">
        <f t="shared" si="3"/>
        <v>0.57654000474850453</v>
      </c>
      <c r="N23" s="5">
        <v>58</v>
      </c>
      <c r="O23" s="7">
        <f t="shared" si="4"/>
        <v>0.3479120718309941</v>
      </c>
      <c r="Q23" s="5">
        <v>58</v>
      </c>
      <c r="R23" s="7">
        <f t="shared" si="5"/>
        <v>3.9761379637827894E-2</v>
      </c>
      <c r="T23" s="5">
        <v>58</v>
      </c>
      <c r="U23" s="7">
        <f t="shared" si="6"/>
        <v>2.9677485858331302E-2</v>
      </c>
      <c r="W23" s="5">
        <v>58</v>
      </c>
      <c r="X23" s="7">
        <f t="shared" si="7"/>
        <v>0.54849274568054207</v>
      </c>
      <c r="Z23" s="5">
        <v>58</v>
      </c>
      <c r="AA23" s="7">
        <f t="shared" si="8"/>
        <v>0.41548480201663823</v>
      </c>
      <c r="AC23" s="5">
        <v>58</v>
      </c>
      <c r="AD23" s="7">
        <f t="shared" si="9"/>
        <v>1.9581361149710114E-2</v>
      </c>
      <c r="AF23" s="5">
        <v>58</v>
      </c>
      <c r="AG23" s="7">
        <f t="shared" si="10"/>
        <v>0.95948669633579564</v>
      </c>
      <c r="AI23" s="5">
        <v>58</v>
      </c>
      <c r="AJ23" s="7">
        <f>VLOOKUP(AI23,'Life table'!I21:N121,3,)</f>
        <v>4.3910061327308014E-3</v>
      </c>
      <c r="AL23" s="5">
        <v>58</v>
      </c>
      <c r="AM23" s="7">
        <f>VLOOKUP(AI23,'Life table'!I21:N121,4,)</f>
        <v>5.9655090543025979E-3</v>
      </c>
      <c r="AO23" s="5">
        <v>58</v>
      </c>
      <c r="AP23" s="7">
        <f>VLOOKUP(AI23,'Life table'!I21:N121,5,)</f>
        <v>1.0750471388956573E-2</v>
      </c>
      <c r="AR23" s="5">
        <v>58</v>
      </c>
      <c r="AS23" s="7">
        <f>VLOOKUP(AI23,'Life table'!I21:N121,6,)</f>
        <v>2.0931942514494262E-2</v>
      </c>
    </row>
    <row r="24" spans="2:45" ht="11.1" customHeight="1" x14ac:dyDescent="0.3">
      <c r="B24" s="5">
        <v>59</v>
      </c>
      <c r="C24" s="6">
        <f t="shared" si="0"/>
        <v>0.76636204958831067</v>
      </c>
      <c r="E24" s="5">
        <v>59</v>
      </c>
      <c r="F24" s="6">
        <f t="shared" si="1"/>
        <v>0.22891333948741746</v>
      </c>
      <c r="H24" s="5">
        <v>59</v>
      </c>
      <c r="I24" s="7">
        <f t="shared" si="2"/>
        <v>2.9807449502831873E-2</v>
      </c>
      <c r="K24" s="5">
        <v>59</v>
      </c>
      <c r="L24" s="7">
        <f t="shared" si="3"/>
        <v>0.57627735705474958</v>
      </c>
      <c r="N24" s="5">
        <v>59</v>
      </c>
      <c r="O24" s="7">
        <f t="shared" si="4"/>
        <v>0.34775357753303854</v>
      </c>
      <c r="Q24" s="5">
        <v>59</v>
      </c>
      <c r="R24" s="7">
        <f t="shared" si="5"/>
        <v>3.9743266003775833E-2</v>
      </c>
      <c r="T24" s="5">
        <v>59</v>
      </c>
      <c r="U24" s="7">
        <f t="shared" si="6"/>
        <v>2.9653067424928615E-2</v>
      </c>
      <c r="W24" s="5">
        <v>59</v>
      </c>
      <c r="X24" s="7">
        <f t="shared" si="7"/>
        <v>0.54849274568054207</v>
      </c>
      <c r="Z24" s="5">
        <v>59</v>
      </c>
      <c r="AA24" s="7">
        <f t="shared" si="8"/>
        <v>0.41514294394900059</v>
      </c>
      <c r="AC24" s="5">
        <v>59</v>
      </c>
      <c r="AD24" s="7">
        <f t="shared" si="9"/>
        <v>1.9549841233827431E-2</v>
      </c>
      <c r="AF24" s="5">
        <v>59</v>
      </c>
      <c r="AG24" s="7">
        <f t="shared" si="10"/>
        <v>0.95794222045754407</v>
      </c>
      <c r="AI24" s="5">
        <v>59</v>
      </c>
      <c r="AJ24" s="7">
        <f>VLOOKUP(AI24,'Life table'!I22:N122,3,)</f>
        <v>4.7246109242718992E-3</v>
      </c>
      <c r="AL24" s="5">
        <v>59</v>
      </c>
      <c r="AM24" s="7">
        <f>VLOOKUP(AI24,'Life table'!I22:N122,4,)</f>
        <v>6.4183499056041926E-3</v>
      </c>
      <c r="AO24" s="5">
        <v>59</v>
      </c>
      <c r="AP24" s="7">
        <f>VLOOKUP(AI24,'Life table'!I22:N122,5,)</f>
        <v>1.1564419169046158E-2</v>
      </c>
      <c r="AR24" s="5">
        <v>59</v>
      </c>
      <c r="AS24" s="7">
        <f>VLOOKUP(AI24,'Life table'!I22:N122,6,)</f>
        <v>2.2507938308628517E-2</v>
      </c>
    </row>
    <row r="25" spans="2:45" ht="11.1" customHeight="1" x14ac:dyDescent="0.3">
      <c r="B25" s="5">
        <v>60</v>
      </c>
      <c r="C25" s="6">
        <f t="shared" si="0"/>
        <v>0.76600552926931675</v>
      </c>
      <c r="E25" s="5">
        <v>60</v>
      </c>
      <c r="F25" s="6">
        <f t="shared" si="1"/>
        <v>0.22880684640512058</v>
      </c>
      <c r="H25" s="5">
        <v>60</v>
      </c>
      <c r="I25" s="7">
        <f t="shared" si="2"/>
        <v>2.9788597147220389E-2</v>
      </c>
      <c r="K25" s="5">
        <v>60</v>
      </c>
      <c r="L25" s="7">
        <f t="shared" si="3"/>
        <v>0.57591287817959425</v>
      </c>
      <c r="N25" s="5">
        <v>60</v>
      </c>
      <c r="O25" s="7">
        <f t="shared" si="4"/>
        <v>0.34753363338423782</v>
      </c>
      <c r="Q25" s="5">
        <v>60</v>
      </c>
      <c r="R25" s="7">
        <f t="shared" si="5"/>
        <v>3.9718129529627187E-2</v>
      </c>
      <c r="T25" s="5">
        <v>60</v>
      </c>
      <c r="U25" s="7">
        <f t="shared" si="6"/>
        <v>2.9619196583284949E-2</v>
      </c>
      <c r="W25" s="5">
        <v>60</v>
      </c>
      <c r="X25" s="7">
        <f t="shared" si="7"/>
        <v>0.54849274568054207</v>
      </c>
      <c r="Z25" s="5">
        <v>60</v>
      </c>
      <c r="AA25" s="7">
        <f t="shared" si="8"/>
        <v>0.41466875216598925</v>
      </c>
      <c r="AC25" s="5">
        <v>60</v>
      </c>
      <c r="AD25" s="7">
        <f t="shared" si="9"/>
        <v>1.9506161030350279E-2</v>
      </c>
      <c r="AF25" s="5">
        <v>60</v>
      </c>
      <c r="AG25" s="7">
        <f t="shared" si="10"/>
        <v>0.95580189048716369</v>
      </c>
      <c r="AI25" s="5">
        <v>60</v>
      </c>
      <c r="AJ25" s="7">
        <f>VLOOKUP(AI25,'Life table'!I23:N123,3,)</f>
        <v>5.1876243255627452E-3</v>
      </c>
      <c r="AL25" s="5">
        <v>60</v>
      </c>
      <c r="AM25" s="7">
        <f>VLOOKUP(AI25,'Life table'!I23:N123,4,)</f>
        <v>7.0467617593203968E-3</v>
      </c>
      <c r="AO25" s="5">
        <v>60</v>
      </c>
      <c r="AP25" s="7">
        <f>VLOOKUP(AI25,'Life table'!I23:N123,5,)</f>
        <v>1.269344722383503E-2</v>
      </c>
      <c r="AR25" s="5">
        <v>60</v>
      </c>
      <c r="AS25" s="7">
        <f>VLOOKUP(AI25,'Life table'!I23:N123,6,)</f>
        <v>2.4691948482486015E-2</v>
      </c>
    </row>
    <row r="26" spans="2:45" ht="11.1" customHeight="1" x14ac:dyDescent="0.3">
      <c r="B26" s="5">
        <v>61</v>
      </c>
      <c r="C26" s="6">
        <f t="shared" si="0"/>
        <v>0.76560552088718004</v>
      </c>
      <c r="E26" s="5">
        <v>61</v>
      </c>
      <c r="F26" s="6">
        <f t="shared" si="1"/>
        <v>0.22868736338188494</v>
      </c>
      <c r="H26" s="5">
        <v>61</v>
      </c>
      <c r="I26" s="7">
        <f t="shared" si="2"/>
        <v>2.976744895267518E-2</v>
      </c>
      <c r="K26" s="5">
        <v>61</v>
      </c>
      <c r="L26" s="7">
        <f t="shared" si="3"/>
        <v>0.57550401308505361</v>
      </c>
      <c r="N26" s="5">
        <v>61</v>
      </c>
      <c r="O26" s="7">
        <f t="shared" si="4"/>
        <v>0.34728690444787708</v>
      </c>
      <c r="Q26" s="5">
        <v>61</v>
      </c>
      <c r="R26" s="7">
        <f t="shared" si="5"/>
        <v>3.9689931936900243E-2</v>
      </c>
      <c r="T26" s="5">
        <v>61</v>
      </c>
      <c r="U26" s="7">
        <f t="shared" si="6"/>
        <v>2.9581221520088227E-2</v>
      </c>
      <c r="W26" s="5">
        <v>61</v>
      </c>
      <c r="X26" s="7">
        <f t="shared" si="7"/>
        <v>0.54849274568054207</v>
      </c>
      <c r="Z26" s="5">
        <v>61</v>
      </c>
      <c r="AA26" s="7">
        <f t="shared" si="8"/>
        <v>0.41413710128123521</v>
      </c>
      <c r="AC26" s="5">
        <v>61</v>
      </c>
      <c r="AD26" s="7">
        <f t="shared" si="9"/>
        <v>1.9457244797705373E-2</v>
      </c>
      <c r="AF26" s="5">
        <v>61</v>
      </c>
      <c r="AG26" s="7">
        <f t="shared" si="10"/>
        <v>0.95340499508756327</v>
      </c>
      <c r="AI26" s="5">
        <v>61</v>
      </c>
      <c r="AJ26" s="7">
        <f>VLOOKUP(AI26,'Life table'!I24:N124,3,)</f>
        <v>5.7071157309350751E-3</v>
      </c>
      <c r="AL26" s="5">
        <v>61</v>
      </c>
      <c r="AM26" s="7">
        <f>VLOOKUP(AI26,'Life table'!I24:N124,4,)</f>
        <v>7.7517015774939413E-3</v>
      </c>
      <c r="AO26" s="5">
        <v>61</v>
      </c>
      <c r="AP26" s="7">
        <f>VLOOKUP(AI26,'Life table'!I24:N124,5,)</f>
        <v>1.3959282663725703E-2</v>
      </c>
      <c r="AR26" s="5">
        <v>61</v>
      </c>
      <c r="AS26" s="7">
        <f>VLOOKUP(AI26,'Life table'!I24:N124,6,)</f>
        <v>2.7137760114731346E-2</v>
      </c>
    </row>
    <row r="27" spans="2:45" ht="11.1" customHeight="1" x14ac:dyDescent="0.3">
      <c r="B27" s="5">
        <v>62</v>
      </c>
      <c r="C27" s="6">
        <f t="shared" si="0"/>
        <v>0.76520027540989866</v>
      </c>
      <c r="E27" s="5">
        <v>62</v>
      </c>
      <c r="F27" s="6">
        <f t="shared" si="1"/>
        <v>0.22856631603152816</v>
      </c>
      <c r="H27" s="5">
        <v>62</v>
      </c>
      <c r="I27" s="7">
        <f t="shared" si="2"/>
        <v>2.9746027928067298E-2</v>
      </c>
      <c r="K27" s="5">
        <v>62</v>
      </c>
      <c r="L27" s="7">
        <f t="shared" si="3"/>
        <v>0.57508987327596783</v>
      </c>
      <c r="N27" s="5">
        <v>62</v>
      </c>
      <c r="O27" s="7">
        <f t="shared" si="4"/>
        <v>0.34703699249411846</v>
      </c>
      <c r="Q27" s="5">
        <v>62</v>
      </c>
      <c r="R27" s="7">
        <f t="shared" si="5"/>
        <v>3.9661370570756402E-2</v>
      </c>
      <c r="T27" s="5">
        <v>62</v>
      </c>
      <c r="U27" s="7">
        <f t="shared" si="6"/>
        <v>2.954277871960316E-2</v>
      </c>
      <c r="W27" s="5">
        <v>62</v>
      </c>
      <c r="X27" s="7">
        <f t="shared" si="7"/>
        <v>0.54849274568054207</v>
      </c>
      <c r="Z27" s="5">
        <v>62</v>
      </c>
      <c r="AA27" s="7">
        <f t="shared" si="8"/>
        <v>0.41359890207444422</v>
      </c>
      <c r="AC27" s="5">
        <v>62</v>
      </c>
      <c r="AD27" s="7">
        <f t="shared" si="9"/>
        <v>1.9407787248511065E-2</v>
      </c>
      <c r="AF27" s="5">
        <v>62</v>
      </c>
      <c r="AG27" s="7">
        <f t="shared" si="10"/>
        <v>0.95098157517704207</v>
      </c>
      <c r="AI27" s="5">
        <v>62</v>
      </c>
      <c r="AJ27" s="7">
        <f>VLOOKUP(AI27,'Life table'!I25:N125,3,)</f>
        <v>6.2334085585732391E-3</v>
      </c>
      <c r="AL27" s="5">
        <v>62</v>
      </c>
      <c r="AM27" s="7">
        <f>VLOOKUP(AI27,'Life table'!I25:N125,4,)</f>
        <v>8.4657357310899961E-3</v>
      </c>
      <c r="AO27" s="5">
        <v>62</v>
      </c>
      <c r="AP27" s="7">
        <f>VLOOKUP(AI27,'Life table'!I25:N125,5,)</f>
        <v>1.5240709346561299E-2</v>
      </c>
      <c r="AR27" s="5">
        <v>62</v>
      </c>
      <c r="AS27" s="7">
        <f>VLOOKUP(AI27,'Life table'!I25:N125,6,)</f>
        <v>2.9610637574446819E-2</v>
      </c>
    </row>
    <row r="28" spans="2:45" ht="11.1" customHeight="1" x14ac:dyDescent="0.3">
      <c r="B28" s="5">
        <v>63</v>
      </c>
      <c r="C28" s="6">
        <f t="shared" si="0"/>
        <v>0.76483855906840259</v>
      </c>
      <c r="E28" s="5">
        <v>63</v>
      </c>
      <c r="F28" s="6">
        <f t="shared" si="1"/>
        <v>0.22845827089056181</v>
      </c>
      <c r="H28" s="5">
        <v>63</v>
      </c>
      <c r="I28" s="7">
        <f t="shared" si="2"/>
        <v>2.972691127239065E-2</v>
      </c>
      <c r="K28" s="5">
        <v>63</v>
      </c>
      <c r="L28" s="7">
        <f t="shared" si="3"/>
        <v>0.5747202845995526</v>
      </c>
      <c r="N28" s="5">
        <v>63</v>
      </c>
      <c r="O28" s="7">
        <f t="shared" si="4"/>
        <v>0.34681396484455757</v>
      </c>
      <c r="Q28" s="5">
        <v>63</v>
      </c>
      <c r="R28" s="7">
        <f t="shared" si="5"/>
        <v>3.9635881696520867E-2</v>
      </c>
      <c r="T28" s="5">
        <v>63</v>
      </c>
      <c r="U28" s="7">
        <f t="shared" si="6"/>
        <v>2.9508490254103605E-2</v>
      </c>
      <c r="W28" s="5">
        <v>63</v>
      </c>
      <c r="X28" s="7">
        <f t="shared" si="7"/>
        <v>0.54849274568054207</v>
      </c>
      <c r="Z28" s="5">
        <v>63</v>
      </c>
      <c r="AA28" s="7">
        <f t="shared" si="8"/>
        <v>0.41311886355745042</v>
      </c>
      <c r="AC28" s="5">
        <v>63</v>
      </c>
      <c r="AD28" s="7">
        <f t="shared" si="9"/>
        <v>1.9363726288139753E-2</v>
      </c>
      <c r="AF28" s="5">
        <v>63</v>
      </c>
      <c r="AG28" s="7">
        <f t="shared" si="10"/>
        <v>0.9488225881188479</v>
      </c>
      <c r="AI28" s="5">
        <v>63</v>
      </c>
      <c r="AJ28" s="7">
        <f>VLOOKUP(AI28,'Life table'!I26:N126,3,)</f>
        <v>6.7031700410355999E-3</v>
      </c>
      <c r="AL28" s="5">
        <v>63</v>
      </c>
      <c r="AM28" s="7">
        <f>VLOOKUP(AI28,'Life table'!I26:N126,4,)</f>
        <v>9.1029575869783219E-3</v>
      </c>
      <c r="AO28" s="5">
        <v>63</v>
      </c>
      <c r="AP28" s="7">
        <f>VLOOKUP(AI28,'Life table'!I26:N126,5,)</f>
        <v>1.6383658196546524E-2</v>
      </c>
      <c r="AR28" s="5">
        <v>63</v>
      </c>
      <c r="AS28" s="7">
        <f>VLOOKUP(AI28,'Life table'!I26:N126,6,)</f>
        <v>3.1813685593012342E-2</v>
      </c>
    </row>
    <row r="29" spans="2:45" ht="11.1" customHeight="1" x14ac:dyDescent="0.3">
      <c r="B29" s="5">
        <v>64</v>
      </c>
      <c r="C29" s="6">
        <f t="shared" si="0"/>
        <v>0.76442073443067593</v>
      </c>
      <c r="E29" s="5">
        <v>64</v>
      </c>
      <c r="F29" s="6">
        <f t="shared" si="1"/>
        <v>0.22833346612864347</v>
      </c>
      <c r="H29" s="5">
        <v>64</v>
      </c>
      <c r="I29" s="7">
        <f t="shared" si="2"/>
        <v>2.9704833348406904E-2</v>
      </c>
      <c r="K29" s="5">
        <v>64</v>
      </c>
      <c r="L29" s="7">
        <f t="shared" si="3"/>
        <v>0.57429344473586685</v>
      </c>
      <c r="N29" s="5">
        <v>64</v>
      </c>
      <c r="O29" s="7">
        <f t="shared" si="4"/>
        <v>0.34655638906474717</v>
      </c>
      <c r="Q29" s="5">
        <v>64</v>
      </c>
      <c r="R29" s="7">
        <f t="shared" si="5"/>
        <v>3.9606444464542541E-2</v>
      </c>
      <c r="T29" s="5">
        <v>64</v>
      </c>
      <c r="U29" s="7">
        <f t="shared" si="6"/>
        <v>2.946891245084441E-2</v>
      </c>
      <c r="W29" s="5">
        <v>64</v>
      </c>
      <c r="X29" s="7">
        <f t="shared" si="7"/>
        <v>0.54849274568054207</v>
      </c>
      <c r="Z29" s="5">
        <v>64</v>
      </c>
      <c r="AA29" s="7">
        <f t="shared" si="8"/>
        <v>0.4125647743118217</v>
      </c>
      <c r="AC29" s="5">
        <v>64</v>
      </c>
      <c r="AD29" s="7">
        <f t="shared" si="9"/>
        <v>1.9312929377631169E-2</v>
      </c>
      <c r="AF29" s="5">
        <v>64</v>
      </c>
      <c r="AG29" s="7">
        <f t="shared" si="10"/>
        <v>0.94633353950392729</v>
      </c>
      <c r="AI29" s="5">
        <v>64</v>
      </c>
      <c r="AJ29" s="7">
        <f>VLOOKUP(AI29,'Life table'!I27:N127,3,)</f>
        <v>7.2457994406806003E-3</v>
      </c>
      <c r="AL29" s="5">
        <v>64</v>
      </c>
      <c r="AM29" s="7">
        <f>VLOOKUP(AI29,'Life table'!I27:N127,4,)</f>
        <v>9.8388883864365395E-3</v>
      </c>
      <c r="AO29" s="5">
        <v>64</v>
      </c>
      <c r="AP29" s="7">
        <f>VLOOKUP(AI29,'Life table'!I27:N127,5,)</f>
        <v>1.7702918305186333E-2</v>
      </c>
      <c r="AR29" s="5">
        <v>64</v>
      </c>
      <c r="AS29" s="7">
        <f>VLOOKUP(AI29,'Life table'!I27:N127,6,)</f>
        <v>3.4353531118441527E-2</v>
      </c>
    </row>
    <row r="30" spans="2:45" ht="11.1" customHeight="1" x14ac:dyDescent="0.3">
      <c r="B30" s="5">
        <v>65</v>
      </c>
      <c r="C30" s="6">
        <f t="shared" si="0"/>
        <v>0.76391138414522908</v>
      </c>
      <c r="E30" s="5">
        <v>65</v>
      </c>
      <c r="F30" s="6">
        <f t="shared" si="1"/>
        <v>0.22818132253688661</v>
      </c>
      <c r="H30" s="5">
        <v>65</v>
      </c>
      <c r="I30" s="7">
        <f t="shared" si="2"/>
        <v>2.9677925063691688E-2</v>
      </c>
      <c r="K30" s="5">
        <v>65</v>
      </c>
      <c r="L30" s="7">
        <f t="shared" si="3"/>
        <v>0.57377321789803937</v>
      </c>
      <c r="N30" s="5">
        <v>65</v>
      </c>
      <c r="O30" s="7">
        <f t="shared" si="4"/>
        <v>0.34624245907640305</v>
      </c>
      <c r="Q30" s="5">
        <v>65</v>
      </c>
      <c r="R30" s="7">
        <f t="shared" si="5"/>
        <v>3.9570566751588925E-2</v>
      </c>
      <c r="T30" s="5">
        <v>65</v>
      </c>
      <c r="U30" s="7">
        <f t="shared" si="6"/>
        <v>2.9420707608675802E-2</v>
      </c>
      <c r="W30" s="5">
        <v>65</v>
      </c>
      <c r="X30" s="7">
        <f t="shared" si="7"/>
        <v>0.54849274568054207</v>
      </c>
      <c r="Z30" s="5">
        <v>65</v>
      </c>
      <c r="AA30" s="7">
        <f t="shared" si="8"/>
        <v>0.41188990652146118</v>
      </c>
      <c r="AC30" s="5">
        <v>65</v>
      </c>
      <c r="AD30" s="7">
        <f t="shared" si="9"/>
        <v>1.9251148067766694E-2</v>
      </c>
      <c r="AF30" s="5">
        <v>65</v>
      </c>
      <c r="AG30" s="7">
        <f t="shared" si="10"/>
        <v>0.94330625532056789</v>
      </c>
      <c r="AI30" s="5">
        <v>65</v>
      </c>
      <c r="AJ30" s="7">
        <f>VLOOKUP(AI30,'Life table'!I28:N128,3,)</f>
        <v>7.9072933178843119E-3</v>
      </c>
      <c r="AL30" s="5">
        <v>65</v>
      </c>
      <c r="AM30" s="7">
        <f>VLOOKUP(AI30,'Life table'!I28:N128,4,)</f>
        <v>1.0735831210276991E-2</v>
      </c>
      <c r="AO30" s="5">
        <v>65</v>
      </c>
      <c r="AP30" s="7">
        <f>VLOOKUP(AI30,'Life table'!I28:N128,5,)</f>
        <v>1.9309746377473291E-2</v>
      </c>
      <c r="AR30" s="5">
        <v>65</v>
      </c>
      <c r="AS30" s="7">
        <f>VLOOKUP(AI30,'Life table'!I28:N128,6,)</f>
        <v>3.744259661166538E-2</v>
      </c>
    </row>
    <row r="31" spans="2:45" ht="11.1" customHeight="1" x14ac:dyDescent="0.3">
      <c r="B31" s="5">
        <v>66</v>
      </c>
      <c r="C31" s="6">
        <f t="shared" si="0"/>
        <v>0.76329790394799957</v>
      </c>
      <c r="E31" s="5">
        <v>66</v>
      </c>
      <c r="F31" s="6">
        <f t="shared" si="1"/>
        <v>0.22799807520524662</v>
      </c>
      <c r="H31" s="5">
        <v>66</v>
      </c>
      <c r="I31" s="7">
        <f t="shared" si="2"/>
        <v>2.9645524302437828E-2</v>
      </c>
      <c r="K31" s="5">
        <v>66</v>
      </c>
      <c r="L31" s="7">
        <f t="shared" si="3"/>
        <v>0.57314680318046474</v>
      </c>
      <c r="N31" s="5">
        <v>66</v>
      </c>
      <c r="O31" s="7">
        <f t="shared" si="4"/>
        <v>0.34586445019510798</v>
      </c>
      <c r="Q31" s="5">
        <v>66</v>
      </c>
      <c r="R31" s="7">
        <f t="shared" si="5"/>
        <v>3.9527365736583768E-2</v>
      </c>
      <c r="T31" s="5">
        <v>66</v>
      </c>
      <c r="U31" s="7">
        <f t="shared" si="6"/>
        <v>2.9362710026832828E-2</v>
      </c>
      <c r="W31" s="5">
        <v>66</v>
      </c>
      <c r="X31" s="7">
        <f t="shared" si="7"/>
        <v>0.54849274568054207</v>
      </c>
      <c r="Z31" s="5">
        <v>66</v>
      </c>
      <c r="AA31" s="7">
        <f t="shared" si="8"/>
        <v>0.41107794037565959</v>
      </c>
      <c r="AC31" s="5">
        <v>66</v>
      </c>
      <c r="AD31" s="7">
        <f t="shared" si="9"/>
        <v>1.9176944291309502E-2</v>
      </c>
      <c r="AF31" s="5">
        <v>66</v>
      </c>
      <c r="AG31" s="7">
        <f t="shared" si="10"/>
        <v>0.93967027027416561</v>
      </c>
      <c r="AI31" s="5">
        <v>66</v>
      </c>
      <c r="AJ31" s="7">
        <f>VLOOKUP(AI31,'Life table'!I29:N129,3,)</f>
        <v>8.7040208467538127E-3</v>
      </c>
      <c r="AL31" s="5">
        <v>66</v>
      </c>
      <c r="AM31" s="7">
        <f>VLOOKUP(AI31,'Life table'!I29:N129,4,)</f>
        <v>1.1815856585405737E-2</v>
      </c>
      <c r="AO31" s="5">
        <v>66</v>
      </c>
      <c r="AP31" s="7">
        <f>VLOOKUP(AI31,'Life table'!I29:N129,5,)</f>
        <v>2.1242999105572369E-2</v>
      </c>
      <c r="AR31" s="5">
        <v>66</v>
      </c>
      <c r="AS31" s="7">
        <f>VLOOKUP(AI31,'Life table'!I29:N129,6,)</f>
        <v>4.115278543452483E-2</v>
      </c>
    </row>
    <row r="32" spans="2:45" ht="11.1" customHeight="1" x14ac:dyDescent="0.3">
      <c r="B32" s="5">
        <v>67</v>
      </c>
      <c r="C32" s="6">
        <f t="shared" si="0"/>
        <v>0.76253438282437425</v>
      </c>
      <c r="E32" s="5">
        <v>67</v>
      </c>
      <c r="F32" s="6">
        <f t="shared" si="1"/>
        <v>0.22777001045403386</v>
      </c>
      <c r="H32" s="5">
        <v>67</v>
      </c>
      <c r="I32" s="7">
        <f t="shared" si="2"/>
        <v>2.96052122578217E-2</v>
      </c>
      <c r="K32" s="5">
        <v>67</v>
      </c>
      <c r="L32" s="7">
        <f t="shared" si="3"/>
        <v>0.57236743698455295</v>
      </c>
      <c r="N32" s="5">
        <v>67</v>
      </c>
      <c r="O32" s="7">
        <f t="shared" si="4"/>
        <v>0.34539414300791982</v>
      </c>
      <c r="Q32" s="5">
        <v>67</v>
      </c>
      <c r="R32" s="7">
        <f t="shared" si="5"/>
        <v>3.9473616343762272E-2</v>
      </c>
      <c r="T32" s="5">
        <v>67</v>
      </c>
      <c r="U32" s="7">
        <f t="shared" si="6"/>
        <v>2.9290622529754309E-2</v>
      </c>
      <c r="W32" s="5">
        <v>67</v>
      </c>
      <c r="X32" s="7">
        <f t="shared" si="7"/>
        <v>0.54849274568054207</v>
      </c>
      <c r="Z32" s="5">
        <v>67</v>
      </c>
      <c r="AA32" s="7">
        <f t="shared" si="8"/>
        <v>0.41006871541656031</v>
      </c>
      <c r="AC32" s="5">
        <v>67</v>
      </c>
      <c r="AD32" s="7">
        <f t="shared" si="9"/>
        <v>1.9084908836568177E-2</v>
      </c>
      <c r="AF32" s="5">
        <v>67</v>
      </c>
      <c r="AG32" s="7">
        <f t="shared" si="10"/>
        <v>0.93516053299184054</v>
      </c>
      <c r="AI32" s="5">
        <v>67</v>
      </c>
      <c r="AJ32" s="7">
        <f>VLOOKUP(AI32,'Life table'!I30:N130,3,)</f>
        <v>9.6956067215919761E-3</v>
      </c>
      <c r="AL32" s="5">
        <v>67</v>
      </c>
      <c r="AM32" s="7">
        <f>VLOOKUP(AI32,'Life table'!I30:N130,4,)</f>
        <v>1.3159591405943249E-2</v>
      </c>
      <c r="AO32" s="5">
        <v>67</v>
      </c>
      <c r="AP32" s="7">
        <f>VLOOKUP(AI32,'Life table'!I30:N130,5,)</f>
        <v>2.3645915674856299E-2</v>
      </c>
      <c r="AR32" s="5">
        <v>67</v>
      </c>
      <c r="AS32" s="7">
        <f>VLOOKUP(AI32,'Life table'!I30:N130,6,)</f>
        <v>4.5754558171591242E-2</v>
      </c>
    </row>
    <row r="33" spans="2:45" ht="11.1" customHeight="1" x14ac:dyDescent="0.3">
      <c r="B33" s="5">
        <v>68</v>
      </c>
      <c r="C33" s="6">
        <f t="shared" si="0"/>
        <v>0.76165068139178616</v>
      </c>
      <c r="E33" s="5">
        <v>68</v>
      </c>
      <c r="F33" s="6">
        <f t="shared" si="1"/>
        <v>0.22750604768845561</v>
      </c>
      <c r="H33" s="5">
        <v>68</v>
      </c>
      <c r="I33" s="7">
        <f t="shared" si="2"/>
        <v>2.9558573108994509E-2</v>
      </c>
      <c r="K33" s="5">
        <v>68</v>
      </c>
      <c r="L33" s="7">
        <f t="shared" si="3"/>
        <v>0.57146574677389395</v>
      </c>
      <c r="N33" s="5">
        <v>68</v>
      </c>
      <c r="O33" s="7">
        <f t="shared" si="4"/>
        <v>0.34485001960493594</v>
      </c>
      <c r="Q33" s="5">
        <v>68</v>
      </c>
      <c r="R33" s="7">
        <f t="shared" si="5"/>
        <v>3.9411430811992679E-2</v>
      </c>
      <c r="T33" s="5">
        <v>68</v>
      </c>
      <c r="U33" s="7">
        <f t="shared" si="6"/>
        <v>2.9207319388286773E-2</v>
      </c>
      <c r="W33" s="5">
        <v>68</v>
      </c>
      <c r="X33" s="7">
        <f t="shared" si="7"/>
        <v>0.54849274568054207</v>
      </c>
      <c r="Z33" s="5">
        <v>68</v>
      </c>
      <c r="AA33" s="7">
        <f t="shared" si="8"/>
        <v>0.40890247143601482</v>
      </c>
      <c r="AC33" s="5">
        <v>68</v>
      </c>
      <c r="AD33" s="7">
        <f t="shared" si="9"/>
        <v>1.8978823865147491E-2</v>
      </c>
      <c r="AF33" s="5">
        <v>68</v>
      </c>
      <c r="AG33" s="7">
        <f t="shared" si="10"/>
        <v>0.92996236939222698</v>
      </c>
      <c r="AI33" s="5">
        <v>68</v>
      </c>
      <c r="AJ33" s="7">
        <f>VLOOKUP(AI33,'Life table'!I31:N131,3,)</f>
        <v>1.084327091975823E-2</v>
      </c>
      <c r="AL33" s="5">
        <v>68</v>
      </c>
      <c r="AM33" s="7">
        <f>VLOOKUP(AI33,'Life table'!I31:N131,4,)</f>
        <v>1.471422970018299E-2</v>
      </c>
      <c r="AO33" s="5">
        <v>68</v>
      </c>
      <c r="AP33" s="7">
        <f>VLOOKUP(AI33,'Life table'!I31:N131,5,)</f>
        <v>2.6422687057107486E-2</v>
      </c>
      <c r="AR33" s="5">
        <v>68</v>
      </c>
      <c r="AS33" s="7">
        <f>VLOOKUP(AI33,'Life table'!I31:N131,6,)</f>
        <v>5.1058806742625529E-2</v>
      </c>
    </row>
    <row r="34" spans="2:45" ht="11.1" customHeight="1" x14ac:dyDescent="0.3">
      <c r="B34" s="5">
        <v>69</v>
      </c>
      <c r="C34" s="6">
        <f t="shared" si="0"/>
        <v>0.7606619266840644</v>
      </c>
      <c r="E34" s="5">
        <v>69</v>
      </c>
      <c r="F34" s="6">
        <f t="shared" si="1"/>
        <v>0.2272107053731621</v>
      </c>
      <c r="H34" s="5">
        <v>69</v>
      </c>
      <c r="I34" s="7">
        <f t="shared" si="2"/>
        <v>2.9506412624295507E-2</v>
      </c>
      <c r="K34" s="5">
        <v>69</v>
      </c>
      <c r="L34" s="7">
        <f t="shared" si="3"/>
        <v>0.57045731073637995</v>
      </c>
      <c r="N34" s="5">
        <v>69</v>
      </c>
      <c r="O34" s="7">
        <f t="shared" si="4"/>
        <v>0.34424148061678095</v>
      </c>
      <c r="Q34" s="5">
        <v>69</v>
      </c>
      <c r="R34" s="7">
        <f t="shared" si="5"/>
        <v>3.9341883499060683E-2</v>
      </c>
      <c r="T34" s="5">
        <v>69</v>
      </c>
      <c r="U34" s="7">
        <f t="shared" si="6"/>
        <v>2.9114279963272698E-2</v>
      </c>
      <c r="W34" s="5">
        <v>69</v>
      </c>
      <c r="X34" s="7">
        <f t="shared" si="7"/>
        <v>0.54849274568054207</v>
      </c>
      <c r="Z34" s="5">
        <v>69</v>
      </c>
      <c r="AA34" s="7">
        <f t="shared" si="8"/>
        <v>0.40759991948581775</v>
      </c>
      <c r="AC34" s="5">
        <v>69</v>
      </c>
      <c r="AD34" s="7">
        <f t="shared" si="9"/>
        <v>1.8860681807311083E-2</v>
      </c>
      <c r="AF34" s="5">
        <v>69</v>
      </c>
      <c r="AG34" s="7">
        <f t="shared" si="10"/>
        <v>0.92417340855824293</v>
      </c>
      <c r="AI34" s="5">
        <v>69</v>
      </c>
      <c r="AJ34" s="7">
        <f>VLOOKUP(AI34,'Life table'!I32:N132,3,)</f>
        <v>1.2127367942773581E-2</v>
      </c>
      <c r="AL34" s="5">
        <v>69</v>
      </c>
      <c r="AM34" s="7">
        <f>VLOOKUP(AI34,'Life table'!I32:N132,4,)</f>
        <v>1.6452912523483021E-2</v>
      </c>
      <c r="AO34" s="5">
        <v>69</v>
      </c>
      <c r="AP34" s="7">
        <f>VLOOKUP(AI34,'Life table'!I32:N132,5,)</f>
        <v>2.9524001224243368E-2</v>
      </c>
      <c r="AR34" s="5">
        <v>69</v>
      </c>
      <c r="AS34" s="7">
        <f>VLOOKUP(AI34,'Life table'!I32:N132,6,)</f>
        <v>5.6965909634445921E-2</v>
      </c>
    </row>
    <row r="35" spans="2:45" ht="11.1" customHeight="1" x14ac:dyDescent="0.3">
      <c r="B35" s="5">
        <v>70</v>
      </c>
      <c r="C35" s="6">
        <f t="shared" si="0"/>
        <v>0.75955625111193958</v>
      </c>
      <c r="E35" s="5">
        <v>70</v>
      </c>
      <c r="F35" s="6">
        <f t="shared" si="1"/>
        <v>0.22688043864382612</v>
      </c>
      <c r="H35" s="5">
        <v>70</v>
      </c>
      <c r="I35" s="7">
        <f t="shared" si="2"/>
        <v>2.9448113004220546E-2</v>
      </c>
      <c r="K35" s="5">
        <v>70</v>
      </c>
      <c r="L35" s="7">
        <f t="shared" si="3"/>
        <v>0.56933018474826391</v>
      </c>
      <c r="N35" s="5">
        <v>70</v>
      </c>
      <c r="O35" s="7">
        <f t="shared" si="4"/>
        <v>0.34356131838257303</v>
      </c>
      <c r="Q35" s="5">
        <v>70</v>
      </c>
      <c r="R35" s="7">
        <f t="shared" si="5"/>
        <v>3.9264150672294058E-2</v>
      </c>
      <c r="T35" s="5">
        <v>70</v>
      </c>
      <c r="U35" s="7">
        <f t="shared" si="6"/>
        <v>2.9010446936633204E-2</v>
      </c>
      <c r="W35" s="5">
        <v>70</v>
      </c>
      <c r="X35" s="7">
        <f t="shared" si="7"/>
        <v>0.54849274568054207</v>
      </c>
      <c r="Z35" s="5">
        <v>70</v>
      </c>
      <c r="AA35" s="7">
        <f t="shared" si="8"/>
        <v>0.40614625711286484</v>
      </c>
      <c r="AC35" s="5">
        <v>70</v>
      </c>
      <c r="AD35" s="7">
        <f t="shared" si="9"/>
        <v>1.8729259992221713E-2</v>
      </c>
      <c r="AF35" s="5">
        <v>70</v>
      </c>
      <c r="AG35" s="7">
        <f t="shared" si="10"/>
        <v>0.91773373961886384</v>
      </c>
      <c r="AI35" s="5">
        <v>70</v>
      </c>
      <c r="AJ35" s="7">
        <f>VLOOKUP(AI35,'Life table'!I33:N133,3,)</f>
        <v>1.3563310244234295E-2</v>
      </c>
      <c r="AL35" s="5">
        <v>70</v>
      </c>
      <c r="AM35" s="7">
        <f>VLOOKUP(AI35,'Life table'!I33:N133,4,)</f>
        <v>1.8396233192648492E-2</v>
      </c>
      <c r="AO35" s="5">
        <v>70</v>
      </c>
      <c r="AP35" s="7">
        <f>VLOOKUP(AI35,'Life table'!I33:N133,5,)</f>
        <v>3.2985102112226494E-2</v>
      </c>
      <c r="AR35" s="5">
        <v>70</v>
      </c>
      <c r="AS35" s="7">
        <f>VLOOKUP(AI35,'Life table'!I33:N133,6,)</f>
        <v>6.3537000388914411E-2</v>
      </c>
    </row>
    <row r="36" spans="2:45" ht="11.1" customHeight="1" x14ac:dyDescent="0.3">
      <c r="B36" s="5">
        <v>71</v>
      </c>
      <c r="C36" s="6">
        <f t="shared" si="0"/>
        <v>0.75839925444398359</v>
      </c>
      <c r="E36" s="5">
        <v>71</v>
      </c>
      <c r="F36" s="6">
        <f t="shared" si="1"/>
        <v>0.22653484223651457</v>
      </c>
      <c r="H36" s="5">
        <v>71</v>
      </c>
      <c r="I36" s="7">
        <f t="shared" si="2"/>
        <v>2.9387140017733456E-2</v>
      </c>
      <c r="K36" s="5">
        <v>71</v>
      </c>
      <c r="L36" s="7">
        <f t="shared" si="3"/>
        <v>0.56815137367618029</v>
      </c>
      <c r="N36" s="5">
        <v>71</v>
      </c>
      <c r="O36" s="7">
        <f t="shared" si="4"/>
        <v>0.34284996687355701</v>
      </c>
      <c r="Q36" s="5">
        <v>71</v>
      </c>
      <c r="R36" s="7">
        <f t="shared" si="5"/>
        <v>3.9182853356977944E-2</v>
      </c>
      <c r="T36" s="5">
        <v>71</v>
      </c>
      <c r="U36" s="7">
        <f t="shared" si="6"/>
        <v>2.8902029792782797E-2</v>
      </c>
      <c r="W36" s="5">
        <v>71</v>
      </c>
      <c r="X36" s="7">
        <f t="shared" si="7"/>
        <v>0.54849274568054207</v>
      </c>
      <c r="Z36" s="5">
        <v>71</v>
      </c>
      <c r="AA36" s="7">
        <f t="shared" si="8"/>
        <v>0.40462841709895914</v>
      </c>
      <c r="AC36" s="5">
        <v>71</v>
      </c>
      <c r="AD36" s="7">
        <f t="shared" si="9"/>
        <v>1.8592515698398024E-2</v>
      </c>
      <c r="AF36" s="5">
        <v>71</v>
      </c>
      <c r="AG36" s="7">
        <f t="shared" si="10"/>
        <v>0.91103326922150307</v>
      </c>
      <c r="AI36" s="5">
        <v>71</v>
      </c>
      <c r="AJ36" s="7">
        <f>VLOOKUP(AI36,'Life table'!I34:N134,3,)</f>
        <v>1.5065903319501861E-2</v>
      </c>
      <c r="AL36" s="5">
        <v>71</v>
      </c>
      <c r="AM36" s="7">
        <f>VLOOKUP(AI36,'Life table'!I34:N134,4,)</f>
        <v>2.0428666075551383E-2</v>
      </c>
      <c r="AO36" s="5">
        <v>71</v>
      </c>
      <c r="AP36" s="7">
        <f>VLOOKUP(AI36,'Life table'!I34:N134,5,)</f>
        <v>3.659900690724005E-2</v>
      </c>
      <c r="AR36" s="5">
        <v>71</v>
      </c>
      <c r="AS36" s="7">
        <f>VLOOKUP(AI36,'Life table'!I34:N134,6,)</f>
        <v>7.037421508009889E-2</v>
      </c>
    </row>
    <row r="37" spans="2:45" ht="11.1" customHeight="1" x14ac:dyDescent="0.3">
      <c r="B37" s="5">
        <v>72</v>
      </c>
      <c r="C37" s="6">
        <f t="shared" si="0"/>
        <v>0.75699159296699992</v>
      </c>
      <c r="E37" s="5">
        <v>72</v>
      </c>
      <c r="F37" s="6">
        <f t="shared" si="1"/>
        <v>0.22611437192520778</v>
      </c>
      <c r="H37" s="5">
        <v>72</v>
      </c>
      <c r="I37" s="7">
        <f t="shared" si="2"/>
        <v>2.9313002257685138E-2</v>
      </c>
      <c r="K37" s="5">
        <v>72</v>
      </c>
      <c r="L37" s="7">
        <f t="shared" si="3"/>
        <v>0.56671804364857936</v>
      </c>
      <c r="N37" s="5">
        <v>72</v>
      </c>
      <c r="O37" s="7">
        <f t="shared" si="4"/>
        <v>0.34198502633965994</v>
      </c>
      <c r="Q37" s="5">
        <v>72</v>
      </c>
      <c r="R37" s="7">
        <f t="shared" si="5"/>
        <v>3.9084003010246851E-2</v>
      </c>
      <c r="T37" s="5">
        <v>72</v>
      </c>
      <c r="U37" s="7">
        <f t="shared" si="6"/>
        <v>2.8770448323983091E-2</v>
      </c>
      <c r="W37" s="5">
        <v>72</v>
      </c>
      <c r="X37" s="7">
        <f t="shared" si="7"/>
        <v>0.54849274568054207</v>
      </c>
      <c r="Z37" s="5">
        <v>72</v>
      </c>
      <c r="AA37" s="7">
        <f t="shared" si="8"/>
        <v>0.40278627653576327</v>
      </c>
      <c r="AC37" s="5">
        <v>72</v>
      </c>
      <c r="AD37" s="7">
        <f t="shared" si="9"/>
        <v>1.8427213075803191E-2</v>
      </c>
      <c r="AF37" s="5">
        <v>72</v>
      </c>
      <c r="AG37" s="7">
        <f t="shared" si="10"/>
        <v>0.90293344071435644</v>
      </c>
      <c r="AI37" s="5">
        <v>72</v>
      </c>
      <c r="AJ37" s="7">
        <f>VLOOKUP(AI37,'Life table'!I35:N135,3,)</f>
        <v>1.6894035107792305E-2</v>
      </c>
      <c r="AL37" s="5">
        <v>72</v>
      </c>
      <c r="AM37" s="7">
        <f>VLOOKUP(AI37,'Life table'!I35:N135,4,)</f>
        <v>2.2899924743828737E-2</v>
      </c>
      <c r="AO37" s="5">
        <v>72</v>
      </c>
      <c r="AP37" s="7">
        <f>VLOOKUP(AI37,'Life table'!I35:N135,5,)</f>
        <v>4.0985055867230225E-2</v>
      </c>
      <c r="AR37" s="5">
        <v>72</v>
      </c>
      <c r="AS37" s="7">
        <f>VLOOKUP(AI37,'Life table'!I35:N135,6,)</f>
        <v>7.8639346209840366E-2</v>
      </c>
    </row>
    <row r="38" spans="2:45" ht="11.1" customHeight="1" x14ac:dyDescent="0.3">
      <c r="B38" s="5">
        <v>73</v>
      </c>
      <c r="C38" s="6">
        <f t="shared" si="0"/>
        <v>0.75545394042213743</v>
      </c>
      <c r="E38" s="5">
        <v>73</v>
      </c>
      <c r="F38" s="6">
        <f t="shared" si="1"/>
        <v>0.22565507311310598</v>
      </c>
      <c r="H38" s="5">
        <v>73</v>
      </c>
      <c r="I38" s="7">
        <f t="shared" si="2"/>
        <v>2.9232074861012619E-2</v>
      </c>
      <c r="K38" s="5">
        <v>73</v>
      </c>
      <c r="L38" s="7">
        <f t="shared" si="3"/>
        <v>0.56515344731291073</v>
      </c>
      <c r="N38" s="5">
        <v>73</v>
      </c>
      <c r="O38" s="7">
        <f t="shared" si="4"/>
        <v>0.34104087337848055</v>
      </c>
      <c r="Q38" s="5">
        <v>73</v>
      </c>
      <c r="R38" s="7">
        <f t="shared" si="5"/>
        <v>3.8976099814683494E-2</v>
      </c>
      <c r="T38" s="5">
        <v>73</v>
      </c>
      <c r="U38" s="7">
        <f t="shared" si="6"/>
        <v>2.8627122513157969E-2</v>
      </c>
      <c r="W38" s="5">
        <v>73</v>
      </c>
      <c r="X38" s="7">
        <f t="shared" si="7"/>
        <v>0.54849274568054207</v>
      </c>
      <c r="Z38" s="5">
        <v>73</v>
      </c>
      <c r="AA38" s="7">
        <f t="shared" si="8"/>
        <v>0.40077971518421157</v>
      </c>
      <c r="AC38" s="5">
        <v>73</v>
      </c>
      <c r="AD38" s="7">
        <f t="shared" si="9"/>
        <v>1.8247977898061409E-2</v>
      </c>
      <c r="AF38" s="5">
        <v>73</v>
      </c>
      <c r="AG38" s="7">
        <f t="shared" si="10"/>
        <v>0.89415091700500893</v>
      </c>
      <c r="AI38" s="5">
        <v>73</v>
      </c>
      <c r="AJ38" s="7">
        <f>VLOOKUP(AI38,'Life table'!I36:N136,3,)</f>
        <v>1.8890986464756621E-2</v>
      </c>
      <c r="AL38" s="5">
        <v>73</v>
      </c>
      <c r="AM38" s="7">
        <f>VLOOKUP(AI38,'Life table'!I36:N136,4,)</f>
        <v>2.559750463291266E-2</v>
      </c>
      <c r="AO38" s="5">
        <v>73</v>
      </c>
      <c r="AP38" s="7">
        <f>VLOOKUP(AI38,'Life table'!I36:N136,5,)</f>
        <v>4.5762582894734338E-2</v>
      </c>
      <c r="AR38" s="5">
        <v>73</v>
      </c>
      <c r="AS38" s="7">
        <f>VLOOKUP(AI38,'Life table'!I36:N136,6,)</f>
        <v>8.7601105096929643E-2</v>
      </c>
    </row>
    <row r="39" spans="2:45" ht="11.1" customHeight="1" x14ac:dyDescent="0.3">
      <c r="B39" s="5">
        <v>74</v>
      </c>
      <c r="C39" s="6">
        <f t="shared" si="0"/>
        <v>0.7537464719622855</v>
      </c>
      <c r="E39" s="5">
        <v>74</v>
      </c>
      <c r="F39" s="6">
        <f t="shared" si="1"/>
        <v>0.22514505006665669</v>
      </c>
      <c r="H39" s="5">
        <v>74</v>
      </c>
      <c r="I39" s="7">
        <f t="shared" si="2"/>
        <v>2.9142279365003125E-2</v>
      </c>
      <c r="K39" s="5">
        <v>74</v>
      </c>
      <c r="L39" s="7">
        <f t="shared" si="3"/>
        <v>0.56341740105672711</v>
      </c>
      <c r="N39" s="5">
        <v>74</v>
      </c>
      <c r="O39" s="7">
        <f t="shared" si="4"/>
        <v>0.33999325925836976</v>
      </c>
      <c r="Q39" s="5">
        <v>74</v>
      </c>
      <c r="R39" s="7">
        <f t="shared" si="5"/>
        <v>3.8856372486670836E-2</v>
      </c>
      <c r="T39" s="5">
        <v>74</v>
      </c>
      <c r="U39" s="7">
        <f t="shared" si="6"/>
        <v>2.8468465026992334E-2</v>
      </c>
      <c r="W39" s="5">
        <v>74</v>
      </c>
      <c r="X39" s="7">
        <f t="shared" si="7"/>
        <v>0.54849274568054207</v>
      </c>
      <c r="Z39" s="5">
        <v>74</v>
      </c>
      <c r="AA39" s="7">
        <f t="shared" si="8"/>
        <v>0.39855851037789269</v>
      </c>
      <c r="AC39" s="5">
        <v>74</v>
      </c>
      <c r="AD39" s="7">
        <f t="shared" si="9"/>
        <v>1.8050569044704399E-2</v>
      </c>
      <c r="AF39" s="5">
        <v>74</v>
      </c>
      <c r="AG39" s="7">
        <f t="shared" si="10"/>
        <v>0.88447788319051557</v>
      </c>
      <c r="AI39" s="5">
        <v>74</v>
      </c>
      <c r="AJ39" s="7">
        <f>VLOOKUP(AI39,'Life table'!I37:N137,3,)</f>
        <v>2.110847797105786E-2</v>
      </c>
      <c r="AL39" s="5">
        <v>74</v>
      </c>
      <c r="AM39" s="7">
        <f>VLOOKUP(AI39,'Life table'!I37:N137,4,)</f>
        <v>2.8590687833229156E-2</v>
      </c>
      <c r="AO39" s="5">
        <v>74</v>
      </c>
      <c r="AP39" s="7">
        <f>VLOOKUP(AI39,'Life table'!I37:N137,5,)</f>
        <v>5.1051165766922146E-2</v>
      </c>
      <c r="AR39" s="5">
        <v>74</v>
      </c>
      <c r="AS39" s="7">
        <f>VLOOKUP(AI39,'Life table'!I37:N137,6,)</f>
        <v>9.7471547764780064E-2</v>
      </c>
    </row>
    <row r="40" spans="2:45" ht="11.1" customHeight="1" x14ac:dyDescent="0.3">
      <c r="B40" s="5">
        <v>75</v>
      </c>
      <c r="C40" s="6">
        <f t="shared" si="0"/>
        <v>0.75179231010948455</v>
      </c>
      <c r="E40" s="5">
        <v>75</v>
      </c>
      <c r="F40" s="6">
        <f t="shared" si="1"/>
        <v>0.22456133938335254</v>
      </c>
      <c r="H40" s="5">
        <v>75</v>
      </c>
      <c r="I40" s="7">
        <f t="shared" si="2"/>
        <v>2.9039600048361473E-2</v>
      </c>
      <c r="K40" s="5">
        <v>75</v>
      </c>
      <c r="L40" s="7">
        <f t="shared" si="3"/>
        <v>0.56143226760165521</v>
      </c>
      <c r="N40" s="5">
        <v>75</v>
      </c>
      <c r="O40" s="7">
        <f t="shared" si="4"/>
        <v>0.33879533389755051</v>
      </c>
      <c r="Q40" s="5">
        <v>75</v>
      </c>
      <c r="R40" s="7">
        <f t="shared" si="5"/>
        <v>3.8719466731148636E-2</v>
      </c>
      <c r="T40" s="5">
        <v>75</v>
      </c>
      <c r="U40" s="7">
        <f t="shared" si="6"/>
        <v>2.8287526001107982E-2</v>
      </c>
      <c r="W40" s="5">
        <v>75</v>
      </c>
      <c r="X40" s="7">
        <f t="shared" si="7"/>
        <v>0.54849274568054207</v>
      </c>
      <c r="Z40" s="5">
        <v>75</v>
      </c>
      <c r="AA40" s="7">
        <f t="shared" si="8"/>
        <v>0.39602536401551175</v>
      </c>
      <c r="AC40" s="5">
        <v>75</v>
      </c>
      <c r="AD40" s="7">
        <f t="shared" si="9"/>
        <v>1.7826718323224834E-2</v>
      </c>
      <c r="AF40" s="5">
        <v>75</v>
      </c>
      <c r="AG40" s="7">
        <f t="shared" si="10"/>
        <v>0.87350919783801684</v>
      </c>
      <c r="AI40" s="5">
        <v>75</v>
      </c>
      <c r="AJ40" s="7">
        <f>VLOOKUP(AI40,'Life table'!I38:N138,3,)</f>
        <v>2.3646350507162905E-2</v>
      </c>
      <c r="AL40" s="5">
        <v>75</v>
      </c>
      <c r="AM40" s="7">
        <f>VLOOKUP(AI40,'Life table'!I38:N138,4,)</f>
        <v>3.2013331721284177E-2</v>
      </c>
      <c r="AO40" s="5">
        <v>75</v>
      </c>
      <c r="AP40" s="7">
        <f>VLOOKUP(AI40,'Life table'!I38:N138,5,)</f>
        <v>5.708246662973393E-2</v>
      </c>
      <c r="AR40" s="5">
        <v>75</v>
      </c>
      <c r="AS40" s="7">
        <f>VLOOKUP(AI40,'Life table'!I38:N138,6,)</f>
        <v>0.10866408383875836</v>
      </c>
    </row>
    <row r="41" spans="2:45" ht="11.1" customHeight="1" x14ac:dyDescent="0.3">
      <c r="B41" s="5">
        <v>76</v>
      </c>
      <c r="C41" s="6">
        <f t="shared" si="0"/>
        <v>0.74930612890354342</v>
      </c>
      <c r="E41" s="5">
        <v>76</v>
      </c>
      <c r="F41" s="6">
        <f t="shared" si="1"/>
        <v>0.22381871382833116</v>
      </c>
      <c r="H41" s="5">
        <v>76</v>
      </c>
      <c r="I41" s="7">
        <f t="shared" si="2"/>
        <v>2.890910505444827E-2</v>
      </c>
      <c r="K41" s="5">
        <v>76</v>
      </c>
      <c r="L41" s="7">
        <f t="shared" si="3"/>
        <v>0.55890936438599992</v>
      </c>
      <c r="N41" s="5">
        <v>76</v>
      </c>
      <c r="O41" s="7">
        <f t="shared" si="4"/>
        <v>0.3372728923018965</v>
      </c>
      <c r="Q41" s="5">
        <v>76</v>
      </c>
      <c r="R41" s="7">
        <f t="shared" si="5"/>
        <v>3.8545473405931029E-2</v>
      </c>
      <c r="T41" s="5">
        <v>76</v>
      </c>
      <c r="U41" s="7">
        <f t="shared" si="6"/>
        <v>2.8058314372007089E-2</v>
      </c>
      <c r="W41" s="5">
        <v>76</v>
      </c>
      <c r="X41" s="7">
        <f t="shared" si="7"/>
        <v>0.54849274568054207</v>
      </c>
      <c r="Z41" s="5">
        <v>76</v>
      </c>
      <c r="AA41" s="7">
        <f t="shared" si="8"/>
        <v>0.39281640120809924</v>
      </c>
      <c r="AC41" s="5">
        <v>76</v>
      </c>
      <c r="AD41" s="7">
        <f t="shared" si="9"/>
        <v>1.7545108355827423E-2</v>
      </c>
      <c r="AF41" s="5">
        <v>76</v>
      </c>
      <c r="AG41" s="7">
        <f t="shared" si="10"/>
        <v>0.85971030943554361</v>
      </c>
      <c r="AI41" s="5">
        <v>76</v>
      </c>
      <c r="AJ41" s="7">
        <f>VLOOKUP(AI41,'Life table'!I39:N139,3,)</f>
        <v>2.6875157268125505E-2</v>
      </c>
      <c r="AL41" s="5">
        <v>76</v>
      </c>
      <c r="AM41" s="7">
        <f>VLOOKUP(AI41,'Life table'!I39:N139,4,)</f>
        <v>3.6363164851724306E-2</v>
      </c>
      <c r="AO41" s="5">
        <v>76</v>
      </c>
      <c r="AP41" s="7">
        <f>VLOOKUP(AI41,'Life table'!I39:N139,5,)</f>
        <v>6.4722854266430319E-2</v>
      </c>
      <c r="AR41" s="5">
        <v>76</v>
      </c>
      <c r="AS41" s="7">
        <f>VLOOKUP(AI41,'Life table'!I39:N139,6,)</f>
        <v>0.12274458220862894</v>
      </c>
    </row>
    <row r="42" spans="2:45" ht="11.1" customHeight="1" x14ac:dyDescent="0.3">
      <c r="B42" s="5">
        <v>77</v>
      </c>
      <c r="C42" s="6">
        <f t="shared" si="0"/>
        <v>0.74592797502250818</v>
      </c>
      <c r="E42" s="5">
        <v>77</v>
      </c>
      <c r="F42" s="6">
        <f t="shared" si="1"/>
        <v>0.22280965487685309</v>
      </c>
      <c r="H42" s="5">
        <v>77</v>
      </c>
      <c r="I42" s="7">
        <f t="shared" si="2"/>
        <v>2.87320415459364E-2</v>
      </c>
      <c r="K42" s="5">
        <v>77</v>
      </c>
      <c r="L42" s="7">
        <f t="shared" si="3"/>
        <v>0.55548613655477053</v>
      </c>
      <c r="N42" s="5">
        <v>77</v>
      </c>
      <c r="O42" s="7">
        <f t="shared" si="4"/>
        <v>0.33520715136925799</v>
      </c>
      <c r="Q42" s="5">
        <v>77</v>
      </c>
      <c r="R42" s="7">
        <f t="shared" si="5"/>
        <v>3.83093887279152E-2</v>
      </c>
      <c r="T42" s="5">
        <v>77</v>
      </c>
      <c r="U42" s="7">
        <f t="shared" si="6"/>
        <v>2.7748638048456731E-2</v>
      </c>
      <c r="W42" s="5">
        <v>77</v>
      </c>
      <c r="X42" s="7">
        <f t="shared" si="7"/>
        <v>0.54849274568054207</v>
      </c>
      <c r="Z42" s="5">
        <v>77</v>
      </c>
      <c r="AA42" s="7">
        <f t="shared" si="8"/>
        <v>0.38848093267839423</v>
      </c>
      <c r="AC42" s="5">
        <v>77</v>
      </c>
      <c r="AD42" s="7">
        <f t="shared" si="9"/>
        <v>1.7168122854980556E-2</v>
      </c>
      <c r="AF42" s="5">
        <v>77</v>
      </c>
      <c r="AG42" s="7">
        <f t="shared" si="10"/>
        <v>0.84123801989404712</v>
      </c>
      <c r="AI42" s="5">
        <v>77</v>
      </c>
      <c r="AJ42" s="7">
        <f>VLOOKUP(AI42,'Life table'!I40:N140,3,)</f>
        <v>3.1262370100638814E-2</v>
      </c>
      <c r="AL42" s="5">
        <v>77</v>
      </c>
      <c r="AM42" s="7">
        <f>VLOOKUP(AI42,'Life table'!I40:N140,4,)</f>
        <v>4.2265281802119969E-2</v>
      </c>
      <c r="AO42" s="5">
        <v>77</v>
      </c>
      <c r="AP42" s="7">
        <f>VLOOKUP(AI42,'Life table'!I40:N140,5,)</f>
        <v>7.5045398384775641E-2</v>
      </c>
      <c r="AR42" s="5">
        <v>77</v>
      </c>
      <c r="AS42" s="7">
        <f>VLOOKUP(AI42,'Life table'!I40:N140,6,)</f>
        <v>0.14159385725097229</v>
      </c>
    </row>
    <row r="43" spans="2:45" ht="11.1" customHeight="1" x14ac:dyDescent="0.3">
      <c r="B43" s="5">
        <v>78</v>
      </c>
      <c r="C43" s="6">
        <f t="shared" si="0"/>
        <v>0.74177188463248533</v>
      </c>
      <c r="E43" s="5">
        <v>78</v>
      </c>
      <c r="F43" s="6">
        <f t="shared" si="1"/>
        <v>0.2215682252798333</v>
      </c>
      <c r="H43" s="5">
        <v>78</v>
      </c>
      <c r="I43" s="7">
        <f t="shared" si="2"/>
        <v>2.8514598485415859E-2</v>
      </c>
      <c r="K43" s="5">
        <v>78</v>
      </c>
      <c r="L43" s="7">
        <f t="shared" si="3"/>
        <v>0.55128223738470672</v>
      </c>
      <c r="N43" s="5">
        <v>78</v>
      </c>
      <c r="O43" s="7">
        <f t="shared" si="4"/>
        <v>0.332670315663185</v>
      </c>
      <c r="Q43" s="5">
        <v>78</v>
      </c>
      <c r="R43" s="7">
        <f t="shared" si="5"/>
        <v>3.8019464647221148E-2</v>
      </c>
      <c r="T43" s="5">
        <v>78</v>
      </c>
      <c r="U43" s="7">
        <f t="shared" si="6"/>
        <v>2.7370440157652377E-2</v>
      </c>
      <c r="W43" s="5">
        <v>78</v>
      </c>
      <c r="X43" s="7">
        <f t="shared" si="7"/>
        <v>0.54849274568054207</v>
      </c>
      <c r="Z43" s="5">
        <v>78</v>
      </c>
      <c r="AA43" s="7">
        <f t="shared" si="8"/>
        <v>0.38318616220713325</v>
      </c>
      <c r="AC43" s="5">
        <v>78</v>
      </c>
      <c r="AD43" s="7">
        <f t="shared" si="9"/>
        <v>1.6713155556399156E-2</v>
      </c>
      <c r="AF43" s="5">
        <v>78</v>
      </c>
      <c r="AG43" s="7">
        <f t="shared" si="10"/>
        <v>0.81894462226355869</v>
      </c>
      <c r="AI43" s="5">
        <v>78</v>
      </c>
      <c r="AJ43" s="7">
        <f>VLOOKUP(AI43,'Life table'!I41:N141,3,)</f>
        <v>3.6659890087681335E-2</v>
      </c>
      <c r="AL43" s="5">
        <v>78</v>
      </c>
      <c r="AM43" s="7">
        <f>VLOOKUP(AI43,'Life table'!I41:N141,4,)</f>
        <v>4.9513383819471346E-2</v>
      </c>
      <c r="AO43" s="5">
        <v>78</v>
      </c>
      <c r="AP43" s="7">
        <f>VLOOKUP(AI43,'Life table'!I41:N141,5,)</f>
        <v>8.7651994744920803E-2</v>
      </c>
      <c r="AR43" s="5">
        <v>78</v>
      </c>
      <c r="AS43" s="7">
        <f>VLOOKUP(AI43,'Life table'!I41:N141,6,)</f>
        <v>0.16434222218004213</v>
      </c>
    </row>
    <row r="44" spans="2:45" ht="11.1" customHeight="1" x14ac:dyDescent="0.3">
      <c r="B44" s="5">
        <v>79</v>
      </c>
      <c r="C44" s="6">
        <f t="shared" si="0"/>
        <v>0.73700605965576749</v>
      </c>
      <c r="E44" s="5">
        <v>79</v>
      </c>
      <c r="F44" s="6">
        <f t="shared" si="1"/>
        <v>0.22014466716990458</v>
      </c>
      <c r="H44" s="5">
        <v>79</v>
      </c>
      <c r="I44" s="7">
        <f t="shared" si="2"/>
        <v>2.8265793498071321E-2</v>
      </c>
      <c r="K44" s="5">
        <v>79</v>
      </c>
      <c r="L44" s="7">
        <f t="shared" si="3"/>
        <v>0.54647200762937898</v>
      </c>
      <c r="N44" s="5">
        <v>79</v>
      </c>
      <c r="O44" s="7">
        <f t="shared" si="4"/>
        <v>0.32976759081083207</v>
      </c>
      <c r="Q44" s="5">
        <v>79</v>
      </c>
      <c r="R44" s="7">
        <f t="shared" si="5"/>
        <v>3.7687724664095097E-2</v>
      </c>
      <c r="T44" s="5">
        <v>79</v>
      </c>
      <c r="U44" s="7">
        <f t="shared" si="6"/>
        <v>2.6940539240115417E-2</v>
      </c>
      <c r="W44" s="5">
        <v>79</v>
      </c>
      <c r="X44" s="7">
        <f t="shared" si="7"/>
        <v>0.54849274568054207</v>
      </c>
      <c r="Z44" s="5">
        <v>79</v>
      </c>
      <c r="AA44" s="7">
        <f t="shared" si="8"/>
        <v>0.37716754936161584</v>
      </c>
      <c r="AC44" s="5">
        <v>79</v>
      </c>
      <c r="AD44" s="7">
        <f t="shared" si="9"/>
        <v>1.6203249707934603E-2</v>
      </c>
      <c r="AF44" s="5">
        <v>79</v>
      </c>
      <c r="AG44" s="7">
        <f t="shared" si="10"/>
        <v>0.79395923568879545</v>
      </c>
      <c r="AI44" s="5">
        <v>79</v>
      </c>
      <c r="AJ44" s="7">
        <f>VLOOKUP(AI44,'Life table'!I42:N142,3,)</f>
        <v>4.2849273174327962E-2</v>
      </c>
      <c r="AL44" s="5">
        <v>79</v>
      </c>
      <c r="AM44" s="7">
        <f>VLOOKUP(AI44,'Life table'!I42:N142,4,)</f>
        <v>5.7806883397622633E-2</v>
      </c>
      <c r="AO44" s="5">
        <v>79</v>
      </c>
      <c r="AP44" s="7">
        <f>VLOOKUP(AI44,'Life table'!I42:N142,5,)</f>
        <v>0.10198202532948608</v>
      </c>
      <c r="AR44" s="5">
        <v>79</v>
      </c>
      <c r="AS44" s="7">
        <f>VLOOKUP(AI44,'Life table'!I42:N142,6,)</f>
        <v>0.18983751460326992</v>
      </c>
    </row>
    <row r="45" spans="2:45" ht="11.1" customHeight="1" x14ac:dyDescent="0.3">
      <c r="B45" s="5">
        <v>80</v>
      </c>
      <c r="C45" s="6">
        <f t="shared" si="0"/>
        <v>0.73170908661201706</v>
      </c>
      <c r="E45" s="5">
        <v>80</v>
      </c>
      <c r="F45" s="6">
        <f t="shared" si="1"/>
        <v>0.21856245444255054</v>
      </c>
      <c r="H45" s="5">
        <v>80</v>
      </c>
      <c r="I45" s="7">
        <f t="shared" si="2"/>
        <v>2.7989937639705996E-2</v>
      </c>
      <c r="K45" s="5">
        <v>80</v>
      </c>
      <c r="L45" s="7">
        <f t="shared" si="3"/>
        <v>0.54113879436764933</v>
      </c>
      <c r="N45" s="5">
        <v>80</v>
      </c>
      <c r="O45" s="7">
        <f t="shared" si="4"/>
        <v>0.32654927246323662</v>
      </c>
      <c r="Q45" s="5">
        <v>80</v>
      </c>
      <c r="R45" s="7">
        <f t="shared" si="5"/>
        <v>3.731991685294133E-2</v>
      </c>
      <c r="T45" s="5">
        <v>80</v>
      </c>
      <c r="U45" s="7">
        <f t="shared" si="6"/>
        <v>2.6467453185347756E-2</v>
      </c>
      <c r="W45" s="5">
        <v>80</v>
      </c>
      <c r="X45" s="7">
        <f t="shared" si="7"/>
        <v>0.54849274568054207</v>
      </c>
      <c r="Z45" s="5">
        <v>80</v>
      </c>
      <c r="AA45" s="7">
        <f t="shared" si="8"/>
        <v>0.37054434459486862</v>
      </c>
      <c r="AC45" s="5">
        <v>80</v>
      </c>
      <c r="AD45" s="7">
        <f t="shared" si="9"/>
        <v>1.5651054798363036E-2</v>
      </c>
      <c r="AF45" s="5">
        <v>80</v>
      </c>
      <c r="AG45" s="7">
        <f t="shared" si="10"/>
        <v>0.76690168511978885</v>
      </c>
      <c r="AI45" s="5">
        <v>80</v>
      </c>
      <c r="AJ45" s="7">
        <f>VLOOKUP(AI45,'Life table'!I43:N143,3,)</f>
        <v>4.972845894543243E-2</v>
      </c>
      <c r="AL45" s="5">
        <v>80</v>
      </c>
      <c r="AM45" s="7">
        <f>VLOOKUP(AI45,'Life table'!I43:N143,4,)</f>
        <v>6.7002078676466792E-2</v>
      </c>
      <c r="AO45" s="5">
        <v>80</v>
      </c>
      <c r="AP45" s="7">
        <f>VLOOKUP(AI45,'Life table'!I43:N143,5,)</f>
        <v>0.11775156048840807</v>
      </c>
      <c r="AR45" s="5">
        <v>80</v>
      </c>
      <c r="AS45" s="7">
        <f>VLOOKUP(AI45,'Life table'!I43:N143,6,)</f>
        <v>0.21744726008184811</v>
      </c>
    </row>
    <row r="46" spans="2:45" ht="11.1" customHeight="1" x14ac:dyDescent="0.3">
      <c r="B46" s="5">
        <v>81</v>
      </c>
      <c r="C46" s="6">
        <f t="shared" si="0"/>
        <v>0.72591622641760956</v>
      </c>
      <c r="E46" s="5">
        <v>81</v>
      </c>
      <c r="F46" s="6">
        <f t="shared" si="1"/>
        <v>0.21683211957928597</v>
      </c>
      <c r="H46" s="5">
        <v>81</v>
      </c>
      <c r="I46" s="7">
        <f t="shared" si="2"/>
        <v>2.7689078227543629E-2</v>
      </c>
      <c r="K46" s="5">
        <v>81</v>
      </c>
      <c r="L46" s="7">
        <f t="shared" si="3"/>
        <v>0.53532217906584356</v>
      </c>
      <c r="N46" s="5">
        <v>81</v>
      </c>
      <c r="O46" s="7">
        <f t="shared" si="4"/>
        <v>0.32303924598800898</v>
      </c>
      <c r="Q46" s="5">
        <v>81</v>
      </c>
      <c r="R46" s="7">
        <f t="shared" si="5"/>
        <v>3.6918770970058176E-2</v>
      </c>
      <c r="T46" s="5">
        <v>81</v>
      </c>
      <c r="U46" s="7">
        <f t="shared" si="6"/>
        <v>2.5955756706373363E-2</v>
      </c>
      <c r="W46" s="5">
        <v>81</v>
      </c>
      <c r="X46" s="7">
        <f t="shared" si="7"/>
        <v>0.54849274568054207</v>
      </c>
      <c r="Z46" s="5">
        <v>81</v>
      </c>
      <c r="AA46" s="7">
        <f t="shared" si="8"/>
        <v>0.36338059388922711</v>
      </c>
      <c r="AC46" s="5">
        <v>81</v>
      </c>
      <c r="AD46" s="7">
        <f t="shared" si="9"/>
        <v>1.5064338184731669E-2</v>
      </c>
      <c r="AF46" s="5">
        <v>81</v>
      </c>
      <c r="AG46" s="7">
        <f t="shared" si="10"/>
        <v>0.73815257105185184</v>
      </c>
      <c r="AI46" s="5">
        <v>81</v>
      </c>
      <c r="AJ46" s="7">
        <f>VLOOKUP(AI46,'Life table'!I44:N144,3,)</f>
        <v>5.7251654003104502E-2</v>
      </c>
      <c r="AL46" s="5">
        <v>81</v>
      </c>
      <c r="AM46" s="7">
        <f>VLOOKUP(AI46,'Life table'!I44:N144,4,)</f>
        <v>7.7030725748545636E-2</v>
      </c>
      <c r="AO46" s="5">
        <v>81</v>
      </c>
      <c r="AP46" s="7">
        <f>VLOOKUP(AI46,'Life table'!I44:N144,5,)</f>
        <v>0.13480810978755453</v>
      </c>
      <c r="AR46" s="5">
        <v>81</v>
      </c>
      <c r="AS46" s="7">
        <f>VLOOKUP(AI46,'Life table'!I44:N144,6,)</f>
        <v>0.24678309076341653</v>
      </c>
    </row>
    <row r="47" spans="2:45" ht="11.1" customHeight="1" x14ac:dyDescent="0.3">
      <c r="B47" s="5">
        <v>82</v>
      </c>
      <c r="C47" s="6">
        <f t="shared" si="0"/>
        <v>0.7191522932770652</v>
      </c>
      <c r="E47" s="5">
        <v>82</v>
      </c>
      <c r="F47" s="6">
        <f t="shared" si="1"/>
        <v>0.21481172396587664</v>
      </c>
      <c r="H47" s="5">
        <v>82</v>
      </c>
      <c r="I47" s="7">
        <f t="shared" si="2"/>
        <v>2.7338876413222871E-2</v>
      </c>
      <c r="K47" s="5">
        <v>82</v>
      </c>
      <c r="L47" s="7">
        <f t="shared" si="3"/>
        <v>0.52855161065564227</v>
      </c>
      <c r="N47" s="5">
        <v>82</v>
      </c>
      <c r="O47" s="7">
        <f t="shared" si="4"/>
        <v>0.31895355815426679</v>
      </c>
      <c r="Q47" s="5">
        <v>82</v>
      </c>
      <c r="R47" s="7">
        <f t="shared" si="5"/>
        <v>3.6451835217630499E-2</v>
      </c>
      <c r="T47" s="5">
        <v>82</v>
      </c>
      <c r="U47" s="7">
        <f t="shared" si="6"/>
        <v>2.5365762713123116E-2</v>
      </c>
      <c r="W47" s="5">
        <v>82</v>
      </c>
      <c r="X47" s="7">
        <f t="shared" si="7"/>
        <v>0.54849274568054207</v>
      </c>
      <c r="Z47" s="5">
        <v>82</v>
      </c>
      <c r="AA47" s="7">
        <f t="shared" si="8"/>
        <v>0.3551206779837236</v>
      </c>
      <c r="AC47" s="5">
        <v>82</v>
      </c>
      <c r="AD47" s="7">
        <f t="shared" si="9"/>
        <v>1.4401458586264657E-2</v>
      </c>
      <c r="AF47" s="5">
        <v>82</v>
      </c>
      <c r="AG47" s="7">
        <f t="shared" si="10"/>
        <v>0.70567147072696823</v>
      </c>
      <c r="AI47" s="5">
        <v>82</v>
      </c>
      <c r="AJ47" s="7">
        <f>VLOOKUP(AI47,'Life table'!I45:N145,3,)</f>
        <v>6.6035982757058131E-2</v>
      </c>
      <c r="AL47" s="5">
        <v>82</v>
      </c>
      <c r="AM47" s="7">
        <f>VLOOKUP(AI47,'Life table'!I45:N145,4,)</f>
        <v>8.8704119559237626E-2</v>
      </c>
      <c r="AO47" s="5">
        <v>82</v>
      </c>
      <c r="AP47" s="7">
        <f>VLOOKUP(AI47,'Life table'!I45:N145,5,)</f>
        <v>0.15447457622922944</v>
      </c>
      <c r="AR47" s="5">
        <v>82</v>
      </c>
      <c r="AS47" s="7">
        <f>VLOOKUP(AI47,'Life table'!I45:N145,6,)</f>
        <v>0.27992707068676714</v>
      </c>
    </row>
    <row r="48" spans="2:45" ht="11.1" customHeight="1" x14ac:dyDescent="0.3">
      <c r="B48" s="5">
        <v>83</v>
      </c>
      <c r="C48" s="6">
        <f t="shared" si="0"/>
        <v>0.71143149383460658</v>
      </c>
      <c r="E48" s="5">
        <v>83</v>
      </c>
      <c r="F48" s="6">
        <f t="shared" si="1"/>
        <v>0.21250551114540198</v>
      </c>
      <c r="H48" s="5">
        <v>83</v>
      </c>
      <c r="I48" s="7">
        <f t="shared" si="2"/>
        <v>2.6940578784486566E-2</v>
      </c>
      <c r="K48" s="5">
        <v>83</v>
      </c>
      <c r="L48" s="7">
        <f t="shared" si="3"/>
        <v>0.52085118983340695</v>
      </c>
      <c r="N48" s="5">
        <v>83</v>
      </c>
      <c r="O48" s="7">
        <f t="shared" si="4"/>
        <v>0.31430675248567658</v>
      </c>
      <c r="Q48" s="5">
        <v>83</v>
      </c>
      <c r="R48" s="7">
        <f t="shared" si="5"/>
        <v>3.5920771712648757E-2</v>
      </c>
      <c r="T48" s="5">
        <v>83</v>
      </c>
      <c r="U48" s="7">
        <f t="shared" si="6"/>
        <v>2.4702111209868757E-2</v>
      </c>
      <c r="W48" s="5">
        <v>83</v>
      </c>
      <c r="X48" s="7">
        <f t="shared" si="7"/>
        <v>0.54849274568054207</v>
      </c>
      <c r="Z48" s="5">
        <v>83</v>
      </c>
      <c r="AA48" s="7">
        <f t="shared" si="8"/>
        <v>0.34582955693816259</v>
      </c>
      <c r="AC48" s="5">
        <v>83</v>
      </c>
      <c r="AD48" s="7">
        <f t="shared" si="9"/>
        <v>1.3673264812454382E-2</v>
      </c>
      <c r="AF48" s="5">
        <v>83</v>
      </c>
      <c r="AG48" s="7">
        <f t="shared" si="10"/>
        <v>0.66998997581026476</v>
      </c>
      <c r="AI48" s="5">
        <v>83</v>
      </c>
      <c r="AJ48" s="7">
        <f>VLOOKUP(AI48,'Life table'!I46:N146,3,)</f>
        <v>7.6062995019991475E-2</v>
      </c>
      <c r="AL48" s="5">
        <v>83</v>
      </c>
      <c r="AM48" s="7">
        <f>VLOOKUP(AI48,'Life table'!I46:N146,4,)</f>
        <v>0.10198070718378116</v>
      </c>
      <c r="AO48" s="5">
        <v>83</v>
      </c>
      <c r="AP48" s="7">
        <f>VLOOKUP(AI48,'Life table'!I46:N146,5,)</f>
        <v>0.17659629300437474</v>
      </c>
      <c r="AR48" s="5">
        <v>83</v>
      </c>
      <c r="AS48" s="7">
        <f>VLOOKUP(AI48,'Life table'!I46:N146,6,)</f>
        <v>0.3163367593772809</v>
      </c>
    </row>
    <row r="49" spans="2:45" ht="11.1" customHeight="1" x14ac:dyDescent="0.3">
      <c r="B49" s="5">
        <v>84</v>
      </c>
      <c r="C49" s="6">
        <f t="shared" si="0"/>
        <v>0.70288587093801813</v>
      </c>
      <c r="E49" s="5">
        <v>84</v>
      </c>
      <c r="F49" s="6">
        <f t="shared" si="1"/>
        <v>0.20995292248797942</v>
      </c>
      <c r="H49" s="5">
        <v>84</v>
      </c>
      <c r="I49" s="7">
        <f t="shared" si="2"/>
        <v>2.6501540007078456E-2</v>
      </c>
      <c r="K49" s="5">
        <v>84</v>
      </c>
      <c r="L49" s="7">
        <f t="shared" si="3"/>
        <v>0.51236310680351693</v>
      </c>
      <c r="N49" s="5">
        <v>84</v>
      </c>
      <c r="O49" s="7">
        <f t="shared" si="4"/>
        <v>0.30918463341591534</v>
      </c>
      <c r="Q49" s="5">
        <v>84</v>
      </c>
      <c r="R49" s="7">
        <f t="shared" si="5"/>
        <v>3.5335386676104613E-2</v>
      </c>
      <c r="T49" s="5">
        <v>84</v>
      </c>
      <c r="U49" s="7">
        <f t="shared" si="6"/>
        <v>2.3979690682003361E-2</v>
      </c>
      <c r="W49" s="5">
        <v>84</v>
      </c>
      <c r="X49" s="7">
        <f t="shared" si="7"/>
        <v>0.54849274568054207</v>
      </c>
      <c r="Z49" s="5">
        <v>84</v>
      </c>
      <c r="AA49" s="7">
        <f t="shared" si="8"/>
        <v>0.33571566954804705</v>
      </c>
      <c r="AC49" s="5">
        <v>84</v>
      </c>
      <c r="AD49" s="7">
        <f t="shared" si="9"/>
        <v>1.2901603272218801E-2</v>
      </c>
      <c r="AF49" s="5">
        <v>84</v>
      </c>
      <c r="AG49" s="7">
        <f t="shared" si="10"/>
        <v>0.63217856033872122</v>
      </c>
      <c r="AI49" s="5">
        <v>84</v>
      </c>
      <c r="AJ49" s="7">
        <f>VLOOKUP(AI49,'Life table'!I47:N147,3,)</f>
        <v>8.7161206574002503E-2</v>
      </c>
      <c r="AL49" s="5">
        <v>84</v>
      </c>
      <c r="AM49" s="7">
        <f>VLOOKUP(AI49,'Life table'!I47:N147,4,)</f>
        <v>0.1166153330973847</v>
      </c>
      <c r="AO49" s="5">
        <v>84</v>
      </c>
      <c r="AP49" s="7">
        <f>VLOOKUP(AI49,'Life table'!I47:N147,5,)</f>
        <v>0.20067697726655465</v>
      </c>
      <c r="AR49" s="5">
        <v>84</v>
      </c>
      <c r="AS49" s="7">
        <f>VLOOKUP(AI49,'Life table'!I47:N147,6,)</f>
        <v>0.35491983638905999</v>
      </c>
    </row>
    <row r="50" spans="2:45" ht="11.1" customHeight="1" x14ac:dyDescent="0.3">
      <c r="B50" s="5">
        <v>85</v>
      </c>
      <c r="C50" s="6">
        <f t="shared" si="0"/>
        <v>0.69350227739484338</v>
      </c>
      <c r="E50" s="5">
        <v>85</v>
      </c>
      <c r="F50" s="6">
        <f t="shared" si="1"/>
        <v>0.20715003091014803</v>
      </c>
      <c r="H50" s="5">
        <v>85</v>
      </c>
      <c r="I50" s="7">
        <f t="shared" si="2"/>
        <v>2.6021656874976672E-2</v>
      </c>
      <c r="K50" s="5">
        <v>85</v>
      </c>
      <c r="L50" s="7">
        <f t="shared" si="3"/>
        <v>0.50308536624954914</v>
      </c>
      <c r="N50" s="5">
        <v>85</v>
      </c>
      <c r="O50" s="7">
        <f t="shared" si="4"/>
        <v>0.30358599687472787</v>
      </c>
      <c r="Q50" s="5">
        <v>85</v>
      </c>
      <c r="R50" s="7">
        <f t="shared" si="5"/>
        <v>3.4695542499968902E-2</v>
      </c>
      <c r="T50" s="5">
        <v>85</v>
      </c>
      <c r="U50" s="7">
        <f t="shared" si="6"/>
        <v>2.3201030633939152E-2</v>
      </c>
      <c r="W50" s="5">
        <v>85</v>
      </c>
      <c r="X50" s="7">
        <f t="shared" si="7"/>
        <v>0.54849274568054207</v>
      </c>
      <c r="Z50" s="5">
        <v>85</v>
      </c>
      <c r="AA50" s="7">
        <f t="shared" si="8"/>
        <v>0.32481442887514811</v>
      </c>
      <c r="AC50" s="5">
        <v>85</v>
      </c>
      <c r="AD50" s="7">
        <f t="shared" si="9"/>
        <v>1.2094432566148663E-2</v>
      </c>
      <c r="AF50" s="5">
        <v>85</v>
      </c>
      <c r="AG50" s="7">
        <f t="shared" si="10"/>
        <v>0.59262719574128442</v>
      </c>
      <c r="AI50" s="5">
        <v>85</v>
      </c>
      <c r="AJ50" s="7">
        <f>VLOOKUP(AI50,'Life table'!I48:N148,3,)</f>
        <v>9.9347691695008566E-2</v>
      </c>
      <c r="AL50" s="5">
        <v>85</v>
      </c>
      <c r="AM50" s="7">
        <f>VLOOKUP(AI50,'Life table'!I48:N148,4,)</f>
        <v>0.13261143750077753</v>
      </c>
      <c r="AO50" s="5">
        <v>85</v>
      </c>
      <c r="AP50" s="7">
        <f>VLOOKUP(AI50,'Life table'!I48:N148,5,)</f>
        <v>0.22663231220202829</v>
      </c>
      <c r="AR50" s="5">
        <v>85</v>
      </c>
      <c r="AS50" s="7">
        <f>VLOOKUP(AI50,'Life table'!I48:N148,6,)</f>
        <v>0.39527837169256685</v>
      </c>
    </row>
    <row r="51" spans="2:45" ht="11.1" customHeight="1" x14ac:dyDescent="0.3">
      <c r="B51" s="5">
        <v>86</v>
      </c>
      <c r="C51" s="6">
        <f t="shared" si="0"/>
        <v>0.68317298330784837</v>
      </c>
      <c r="E51" s="5">
        <v>86</v>
      </c>
      <c r="F51" s="6">
        <f t="shared" si="1"/>
        <v>0.20406465735169496</v>
      </c>
      <c r="H51" s="5">
        <v>86</v>
      </c>
      <c r="I51" s="7">
        <f t="shared" si="2"/>
        <v>2.5496104445879048E-2</v>
      </c>
      <c r="K51" s="5">
        <v>86</v>
      </c>
      <c r="L51" s="7">
        <f t="shared" si="3"/>
        <v>0.49292468595366168</v>
      </c>
      <c r="N51" s="5">
        <v>86</v>
      </c>
      <c r="O51" s="7">
        <f t="shared" si="4"/>
        <v>0.29745455186858888</v>
      </c>
      <c r="Q51" s="5">
        <v>86</v>
      </c>
      <c r="R51" s="7">
        <f t="shared" si="5"/>
        <v>3.3994805927838732E-2</v>
      </c>
      <c r="T51" s="5">
        <v>86</v>
      </c>
      <c r="U51" s="7">
        <f t="shared" si="6"/>
        <v>2.2361457116572468E-2</v>
      </c>
      <c r="W51" s="5">
        <v>86</v>
      </c>
      <c r="X51" s="7">
        <f t="shared" si="7"/>
        <v>0.54849274568054207</v>
      </c>
      <c r="Z51" s="5">
        <v>86</v>
      </c>
      <c r="AA51" s="7">
        <f t="shared" si="8"/>
        <v>0.31306039963201454</v>
      </c>
      <c r="AC51" s="5">
        <v>86</v>
      </c>
      <c r="AD51" s="7">
        <f t="shared" si="9"/>
        <v>1.1252710958064764E-2</v>
      </c>
      <c r="AF51" s="5">
        <v>86</v>
      </c>
      <c r="AG51" s="7">
        <f t="shared" si="10"/>
        <v>0.55138283694517343</v>
      </c>
      <c r="AI51" s="5">
        <v>86</v>
      </c>
      <c r="AJ51" s="7">
        <f>VLOOKUP(AI51,'Life table'!I49:N149,3,)</f>
        <v>0.11276235934045675</v>
      </c>
      <c r="AL51" s="5">
        <v>86</v>
      </c>
      <c r="AM51" s="7">
        <f>VLOOKUP(AI51,'Life table'!I49:N149,4,)</f>
        <v>0.15012985180403171</v>
      </c>
      <c r="AO51" s="5">
        <v>86</v>
      </c>
      <c r="AP51" s="7">
        <f>VLOOKUP(AI51,'Life table'!I49:N149,5,)</f>
        <v>0.25461809611425101</v>
      </c>
      <c r="AR51" s="5">
        <v>86</v>
      </c>
      <c r="AS51" s="7">
        <f>VLOOKUP(AI51,'Life table'!I49:N149,6,)</f>
        <v>0.43736445209676178</v>
      </c>
    </row>
    <row r="52" spans="2:45" ht="11.1" customHeight="1" x14ac:dyDescent="0.3">
      <c r="B52" s="5">
        <v>87</v>
      </c>
      <c r="C52" s="6">
        <f t="shared" si="0"/>
        <v>0.67186899731648364</v>
      </c>
      <c r="E52" s="5">
        <v>87</v>
      </c>
      <c r="F52" s="6">
        <f t="shared" si="1"/>
        <v>0.20068814205557303</v>
      </c>
      <c r="H52" s="5">
        <v>87</v>
      </c>
      <c r="I52" s="7">
        <f t="shared" si="2"/>
        <v>2.4924227149847308E-2</v>
      </c>
      <c r="K52" s="5">
        <v>87</v>
      </c>
      <c r="L52" s="7">
        <f t="shared" si="3"/>
        <v>0.48186839156371469</v>
      </c>
      <c r="N52" s="5">
        <v>87</v>
      </c>
      <c r="O52" s="7">
        <f t="shared" si="4"/>
        <v>0.29078265008155191</v>
      </c>
      <c r="Q52" s="5">
        <v>87</v>
      </c>
      <c r="R52" s="7">
        <f t="shared" si="5"/>
        <v>3.323230286646308E-2</v>
      </c>
      <c r="T52" s="5">
        <v>87</v>
      </c>
      <c r="U52" s="7">
        <f t="shared" si="6"/>
        <v>2.1463606879128079E-2</v>
      </c>
      <c r="W52" s="5">
        <v>87</v>
      </c>
      <c r="X52" s="7">
        <f t="shared" si="7"/>
        <v>0.54849274568054207</v>
      </c>
      <c r="Z52" s="5">
        <v>87</v>
      </c>
      <c r="AA52" s="7">
        <f t="shared" si="8"/>
        <v>0.30049049630779306</v>
      </c>
      <c r="AC52" s="5">
        <v>87</v>
      </c>
      <c r="AD52" s="7">
        <f t="shared" si="9"/>
        <v>1.0385445246953817E-2</v>
      </c>
      <c r="AF52" s="5">
        <v>87</v>
      </c>
      <c r="AG52" s="7">
        <f t="shared" si="10"/>
        <v>0.50888681710073702</v>
      </c>
      <c r="AI52" s="5">
        <v>87</v>
      </c>
      <c r="AJ52" s="7">
        <f>VLOOKUP(AI52,'Life table'!I50:N150,3,)</f>
        <v>0.12744286062794341</v>
      </c>
      <c r="AL52" s="5">
        <v>87</v>
      </c>
      <c r="AM52" s="7">
        <f>VLOOKUP(AI52,'Life table'!I50:N150,4,)</f>
        <v>0.16919242833842307</v>
      </c>
      <c r="AO52" s="5">
        <v>87</v>
      </c>
      <c r="AP52" s="7">
        <f>VLOOKUP(AI52,'Life table'!I50:N150,5,)</f>
        <v>0.28454643736239738</v>
      </c>
      <c r="AR52" s="5">
        <v>87</v>
      </c>
      <c r="AS52" s="7">
        <f>VLOOKUP(AI52,'Life table'!I50:N150,6,)</f>
        <v>0.48072773765230914</v>
      </c>
    </row>
    <row r="53" spans="2:45" ht="11.1" customHeight="1" x14ac:dyDescent="0.3">
      <c r="B53" s="5">
        <v>88</v>
      </c>
      <c r="C53" s="6">
        <f t="shared" si="0"/>
        <v>0.65956606862088096</v>
      </c>
      <c r="E53" s="5">
        <v>88</v>
      </c>
      <c r="F53" s="6">
        <f t="shared" si="1"/>
        <v>0.19701324127636705</v>
      </c>
      <c r="H53" s="5">
        <v>88</v>
      </c>
      <c r="I53" s="7">
        <f t="shared" si="2"/>
        <v>2.430573474210701E-2</v>
      </c>
      <c r="K53" s="5">
        <v>88</v>
      </c>
      <c r="L53" s="7">
        <f t="shared" si="3"/>
        <v>0.46991087168073559</v>
      </c>
      <c r="N53" s="5">
        <v>88</v>
      </c>
      <c r="O53" s="7">
        <f t="shared" si="4"/>
        <v>0.28356690532458179</v>
      </c>
      <c r="Q53" s="5">
        <v>88</v>
      </c>
      <c r="R53" s="7">
        <f t="shared" si="5"/>
        <v>3.2407646322809347E-2</v>
      </c>
      <c r="T53" s="5">
        <v>88</v>
      </c>
      <c r="U53" s="7">
        <f t="shared" si="6"/>
        <v>2.0511102045542497E-2</v>
      </c>
      <c r="W53" s="5">
        <v>88</v>
      </c>
      <c r="X53" s="7">
        <f t="shared" si="7"/>
        <v>0.54849274568054207</v>
      </c>
      <c r="Z53" s="5">
        <v>88</v>
      </c>
      <c r="AA53" s="7">
        <f t="shared" si="8"/>
        <v>0.28715542863759497</v>
      </c>
      <c r="AC53" s="5">
        <v>88</v>
      </c>
      <c r="AD53" s="7">
        <f t="shared" si="9"/>
        <v>9.5026027369707698E-3</v>
      </c>
      <c r="AF53" s="5">
        <v>88</v>
      </c>
      <c r="AG53" s="7">
        <f t="shared" si="10"/>
        <v>0.46562753411156765</v>
      </c>
      <c r="AI53" s="5">
        <v>88</v>
      </c>
      <c r="AJ53" s="7">
        <f>VLOOKUP(AI53,'Life table'!I51:N151,3,)</f>
        <v>0.14342069010275205</v>
      </c>
      <c r="AL53" s="5">
        <v>88</v>
      </c>
      <c r="AM53" s="7">
        <f>VLOOKUP(AI53,'Life table'!I51:N151,4,)</f>
        <v>0.18980884192976633</v>
      </c>
      <c r="AO53" s="5">
        <v>88</v>
      </c>
      <c r="AP53" s="7">
        <f>VLOOKUP(AI53,'Life table'!I51:N151,5,)</f>
        <v>0.31629659848191671</v>
      </c>
      <c r="AR53" s="5">
        <v>88</v>
      </c>
      <c r="AS53" s="7">
        <f>VLOOKUP(AI53,'Life table'!I51:N151,6,)</f>
        <v>0.52486986315146156</v>
      </c>
    </row>
    <row r="54" spans="2:45" ht="11.1" customHeight="1" x14ac:dyDescent="0.3">
      <c r="B54" s="5">
        <v>89</v>
      </c>
      <c r="C54" s="6">
        <f t="shared" si="0"/>
        <v>0.64625334594607031</v>
      </c>
      <c r="E54" s="5">
        <v>89</v>
      </c>
      <c r="F54" s="6">
        <f t="shared" si="1"/>
        <v>0.19303671372415088</v>
      </c>
      <c r="H54" s="5">
        <v>89</v>
      </c>
      <c r="I54" s="7">
        <f t="shared" si="2"/>
        <v>2.3641138120970667E-2</v>
      </c>
      <c r="K54" s="5">
        <v>89</v>
      </c>
      <c r="L54" s="7">
        <f t="shared" si="3"/>
        <v>0.45706200367209965</v>
      </c>
      <c r="N54" s="5">
        <v>89</v>
      </c>
      <c r="O54" s="7">
        <f t="shared" si="4"/>
        <v>0.27581327807799111</v>
      </c>
      <c r="Q54" s="5">
        <v>89</v>
      </c>
      <c r="R54" s="7">
        <f t="shared" si="5"/>
        <v>3.152151749462756E-2</v>
      </c>
      <c r="T54" s="5">
        <v>89</v>
      </c>
      <c r="U54" s="7">
        <f t="shared" si="6"/>
        <v>1.9509163251936648E-2</v>
      </c>
      <c r="W54" s="5">
        <v>89</v>
      </c>
      <c r="X54" s="7">
        <f t="shared" si="7"/>
        <v>0.54849274568054207</v>
      </c>
      <c r="Z54" s="5">
        <v>89</v>
      </c>
      <c r="AA54" s="7">
        <f t="shared" si="8"/>
        <v>0.27312828552711305</v>
      </c>
      <c r="AC54" s="5">
        <v>89</v>
      </c>
      <c r="AD54" s="7">
        <f t="shared" si="9"/>
        <v>8.6153718490380136E-3</v>
      </c>
      <c r="AF54" s="5">
        <v>89</v>
      </c>
      <c r="AG54" s="7">
        <f t="shared" si="10"/>
        <v>0.42215322060286264</v>
      </c>
      <c r="AI54" s="5">
        <v>89</v>
      </c>
      <c r="AJ54" s="7">
        <f>VLOOKUP(AI54,'Life table'!I52:N152,3,)</f>
        <v>0.16070994032977881</v>
      </c>
      <c r="AL54" s="5">
        <v>89</v>
      </c>
      <c r="AM54" s="7">
        <f>VLOOKUP(AI54,'Life table'!I52:N152,4,)</f>
        <v>0.21196206263431105</v>
      </c>
      <c r="AO54" s="5">
        <v>89</v>
      </c>
      <c r="AP54" s="7">
        <f>VLOOKUP(AI54,'Life table'!I52:N152,5,)</f>
        <v>0.34969455826877838</v>
      </c>
      <c r="AR54" s="5">
        <v>89</v>
      </c>
      <c r="AS54" s="7">
        <f>VLOOKUP(AI54,'Life table'!I52:N152,6,)</f>
        <v>0.56923140754809931</v>
      </c>
    </row>
    <row r="55" spans="2:45" ht="11.1" customHeight="1" x14ac:dyDescent="0.3">
      <c r="B55" s="5">
        <v>90</v>
      </c>
      <c r="C55" s="6">
        <f t="shared" si="0"/>
        <v>0.63194326674422252</v>
      </c>
      <c r="E55" s="5">
        <v>90</v>
      </c>
      <c r="F55" s="6">
        <f t="shared" si="1"/>
        <v>0.18876227448204047</v>
      </c>
      <c r="H55" s="5">
        <v>90</v>
      </c>
      <c r="I55" s="7">
        <f t="shared" si="2"/>
        <v>2.2932224342544758E-2</v>
      </c>
      <c r="K55" s="5">
        <v>90</v>
      </c>
      <c r="L55" s="7">
        <f t="shared" si="3"/>
        <v>0.44335633728919871</v>
      </c>
      <c r="N55" s="5">
        <v>90</v>
      </c>
      <c r="O55" s="7">
        <f t="shared" si="4"/>
        <v>0.26754261732968881</v>
      </c>
      <c r="Q55" s="5">
        <v>90</v>
      </c>
      <c r="R55" s="7">
        <f t="shared" si="5"/>
        <v>3.0576299123393009E-2</v>
      </c>
      <c r="T55" s="5">
        <v>90</v>
      </c>
      <c r="U55" s="7">
        <f t="shared" si="6"/>
        <v>1.846517300353627E-2</v>
      </c>
      <c r="W55" s="5">
        <v>90</v>
      </c>
      <c r="X55" s="7">
        <f t="shared" si="7"/>
        <v>0.54849274568054207</v>
      </c>
      <c r="Z55" s="5">
        <v>90</v>
      </c>
      <c r="AA55" s="7">
        <f t="shared" si="8"/>
        <v>0.25851242204950781</v>
      </c>
      <c r="AC55" s="5">
        <v>90</v>
      </c>
      <c r="AD55" s="7">
        <f t="shared" si="9"/>
        <v>7.7361905280837178E-3</v>
      </c>
      <c r="AF55" s="5">
        <v>90</v>
      </c>
      <c r="AG55" s="7">
        <f t="shared" si="10"/>
        <v>0.37907333587610215</v>
      </c>
      <c r="AI55" s="5">
        <v>90</v>
      </c>
      <c r="AJ55" s="7">
        <f>VLOOKUP(AI55,'Life table'!I53:N153,3,)</f>
        <v>0.17929445877373706</v>
      </c>
      <c r="AL55" s="5">
        <v>90</v>
      </c>
      <c r="AM55" s="7">
        <f>VLOOKUP(AI55,'Life table'!I53:N153,4,)</f>
        <v>0.23559252191517477</v>
      </c>
      <c r="AO55" s="5">
        <v>90</v>
      </c>
      <c r="AP55" s="7">
        <f>VLOOKUP(AI55,'Life table'!I53:N153,5,)</f>
        <v>0.38449423321545761</v>
      </c>
      <c r="AR55" s="5">
        <v>90</v>
      </c>
      <c r="AS55" s="7">
        <f>VLOOKUP(AI55,'Life table'!I53:N153,6,)</f>
        <v>0.61319047359581413</v>
      </c>
    </row>
    <row r="56" spans="2:45" ht="11.1" customHeight="1" x14ac:dyDescent="0.3">
      <c r="B56" s="5">
        <v>91</v>
      </c>
      <c r="C56" s="6">
        <f t="shared" si="0"/>
        <v>0.61664467702308046</v>
      </c>
      <c r="E56" s="5">
        <v>91</v>
      </c>
      <c r="F56" s="6">
        <f t="shared" si="1"/>
        <v>0.18419256586403701</v>
      </c>
      <c r="H56" s="5">
        <v>91</v>
      </c>
      <c r="I56" s="7">
        <f t="shared" si="2"/>
        <v>2.2180702397523705E-2</v>
      </c>
      <c r="K56" s="5">
        <v>91</v>
      </c>
      <c r="L56" s="7">
        <f t="shared" si="3"/>
        <v>0.42882691301879172</v>
      </c>
      <c r="N56" s="5">
        <v>91</v>
      </c>
      <c r="O56" s="7">
        <f t="shared" si="4"/>
        <v>0.25877486130444322</v>
      </c>
      <c r="Q56" s="5">
        <v>91</v>
      </c>
      <c r="R56" s="7">
        <f t="shared" si="5"/>
        <v>2.9574269863364942E-2</v>
      </c>
      <c r="T56" s="5">
        <v>91</v>
      </c>
      <c r="U56" s="7">
        <f t="shared" si="6"/>
        <v>1.738651037345865E-2</v>
      </c>
      <c r="W56" s="5">
        <v>91</v>
      </c>
      <c r="X56" s="7">
        <f t="shared" si="7"/>
        <v>0.54849274568054207</v>
      </c>
      <c r="Z56" s="5">
        <v>91</v>
      </c>
      <c r="AA56" s="7">
        <f t="shared" si="8"/>
        <v>0.24341114522842111</v>
      </c>
      <c r="AC56" s="5">
        <v>91</v>
      </c>
      <c r="AD56" s="7">
        <f t="shared" si="9"/>
        <v>6.8764702723143395E-3</v>
      </c>
      <c r="AF56" s="5">
        <v>91</v>
      </c>
      <c r="AG56" s="7">
        <f t="shared" si="10"/>
        <v>0.33694704334340259</v>
      </c>
      <c r="AI56" s="5">
        <v>91</v>
      </c>
      <c r="AJ56" s="7">
        <f>VLOOKUP(AI56,'Life table'!I54:N154,3,)</f>
        <v>0.19916275711288256</v>
      </c>
      <c r="AL56" s="5">
        <v>91</v>
      </c>
      <c r="AM56" s="7">
        <f>VLOOKUP(AI56,'Life table'!I54:N154,4,)</f>
        <v>0.26064325341587646</v>
      </c>
      <c r="AO56" s="5">
        <v>91</v>
      </c>
      <c r="AP56" s="7">
        <f>VLOOKUP(AI56,'Life table'!I54:N154,5,)</f>
        <v>0.42044965421804492</v>
      </c>
      <c r="AR56" s="5">
        <v>91</v>
      </c>
      <c r="AS56" s="7">
        <f>VLOOKUP(AI56,'Life table'!I54:N154,6,)</f>
        <v>0.65617648638428305</v>
      </c>
    </row>
    <row r="57" spans="2:45" ht="11.1" customHeight="1" x14ac:dyDescent="0.3">
      <c r="B57" s="5">
        <v>92</v>
      </c>
      <c r="C57" s="6">
        <f t="shared" si="0"/>
        <v>0.60039702022456931</v>
      </c>
      <c r="E57" s="5">
        <v>92</v>
      </c>
      <c r="F57" s="6">
        <f t="shared" si="1"/>
        <v>0.17933936967746877</v>
      </c>
      <c r="H57" s="5">
        <v>92</v>
      </c>
      <c r="I57" s="7">
        <f t="shared" si="2"/>
        <v>2.13898717117285E-2</v>
      </c>
      <c r="K57" s="5">
        <v>92</v>
      </c>
      <c r="L57" s="7">
        <f t="shared" si="3"/>
        <v>0.4135375197600844</v>
      </c>
      <c r="N57" s="5">
        <v>92</v>
      </c>
      <c r="O57" s="7">
        <f t="shared" si="4"/>
        <v>0.24954850330349915</v>
      </c>
      <c r="Q57" s="5">
        <v>92</v>
      </c>
      <c r="R57" s="7">
        <f t="shared" si="5"/>
        <v>2.8519828948971333E-2</v>
      </c>
      <c r="T57" s="5">
        <v>92</v>
      </c>
      <c r="U57" s="7">
        <f t="shared" si="6"/>
        <v>1.6282830187003584E-2</v>
      </c>
      <c r="W57" s="5">
        <v>92</v>
      </c>
      <c r="X57" s="7">
        <f t="shared" si="7"/>
        <v>0.54849274568054207</v>
      </c>
      <c r="Z57" s="5">
        <v>92</v>
      </c>
      <c r="AA57" s="7">
        <f t="shared" si="8"/>
        <v>0.22795962261805017</v>
      </c>
      <c r="AC57" s="5">
        <v>92</v>
      </c>
      <c r="AD57" s="7">
        <f t="shared" si="9"/>
        <v>6.0481309970063096E-3</v>
      </c>
      <c r="AF57" s="5">
        <v>92</v>
      </c>
      <c r="AG57" s="7">
        <f t="shared" si="10"/>
        <v>0.29635841885330916</v>
      </c>
      <c r="AI57" s="5">
        <v>92</v>
      </c>
      <c r="AJ57" s="7">
        <f>VLOOKUP(AI57,'Life table'!I55:N155,3,)</f>
        <v>0.22026361009796191</v>
      </c>
      <c r="AL57" s="5">
        <v>92</v>
      </c>
      <c r="AM57" s="7">
        <f>VLOOKUP(AI57,'Life table'!I55:N155,4,)</f>
        <v>0.28700427627571667</v>
      </c>
      <c r="AO57" s="5">
        <v>92</v>
      </c>
      <c r="AP57" s="7">
        <f>VLOOKUP(AI57,'Life table'!I55:N155,5,)</f>
        <v>0.4572389937665472</v>
      </c>
      <c r="AR57" s="5">
        <v>92</v>
      </c>
      <c r="AS57" s="7">
        <f>VLOOKUP(AI57,'Life table'!I55:N155,6,)</f>
        <v>0.69759345014968455</v>
      </c>
    </row>
    <row r="58" spans="2:45" ht="11.1" customHeight="1" x14ac:dyDescent="0.3">
      <c r="B58" s="5">
        <v>93</v>
      </c>
      <c r="C58" s="6">
        <f t="shared" si="0"/>
        <v>0.58325360542494942</v>
      </c>
      <c r="E58" s="5">
        <v>93</v>
      </c>
      <c r="F58" s="6">
        <f t="shared" si="1"/>
        <v>0.17421860941264725</v>
      </c>
      <c r="H58" s="5">
        <v>93</v>
      </c>
      <c r="I58" s="7">
        <f t="shared" si="2"/>
        <v>2.0563749443008875E-2</v>
      </c>
      <c r="K58" s="5">
        <v>93</v>
      </c>
      <c r="L58" s="7">
        <f t="shared" si="3"/>
        <v>0.3975658225648383</v>
      </c>
      <c r="N58" s="5">
        <v>93</v>
      </c>
      <c r="O58" s="7">
        <f t="shared" si="4"/>
        <v>0.23991041016843687</v>
      </c>
      <c r="Q58" s="5">
        <v>93</v>
      </c>
      <c r="R58" s="7">
        <f t="shared" si="5"/>
        <v>2.7418332590678499E-2</v>
      </c>
      <c r="T58" s="5">
        <v>93</v>
      </c>
      <c r="U58" s="7">
        <f t="shared" si="6"/>
        <v>1.5164530046648434E-2</v>
      </c>
      <c r="W58" s="5">
        <v>93</v>
      </c>
      <c r="X58" s="7">
        <f t="shared" si="7"/>
        <v>0.54849274568054207</v>
      </c>
      <c r="Z58" s="5">
        <v>93</v>
      </c>
      <c r="AA58" s="7">
        <f t="shared" si="8"/>
        <v>0.21230342065307808</v>
      </c>
      <c r="AC58" s="5">
        <v>93</v>
      </c>
      <c r="AD58" s="7">
        <f t="shared" si="9"/>
        <v>5.2619127123070351E-3</v>
      </c>
      <c r="AF58" s="5">
        <v>93</v>
      </c>
      <c r="AG58" s="7">
        <f t="shared" si="10"/>
        <v>0.25783372290304474</v>
      </c>
      <c r="AI58" s="5">
        <v>93</v>
      </c>
      <c r="AJ58" s="7">
        <f>VLOOKUP(AI58,'Life table'!I56:N156,3,)</f>
        <v>0.24252778516240336</v>
      </c>
      <c r="AL58" s="5">
        <v>93</v>
      </c>
      <c r="AM58" s="7">
        <f>VLOOKUP(AI58,'Life table'!I56:N156,4,)</f>
        <v>0.31454168523303749</v>
      </c>
      <c r="AO58" s="5">
        <v>93</v>
      </c>
      <c r="AP58" s="7">
        <f>VLOOKUP(AI58,'Life table'!I56:N156,5,)</f>
        <v>0.49451566511171885</v>
      </c>
      <c r="AR58" s="5">
        <v>93</v>
      </c>
      <c r="AS58" s="7">
        <f>VLOOKUP(AI58,'Life table'!I56:N156,6,)</f>
        <v>0.73690436438464824</v>
      </c>
    </row>
    <row r="59" spans="2:45" ht="11.1" customHeight="1" x14ac:dyDescent="0.3">
      <c r="B59" s="5">
        <v>94</v>
      </c>
      <c r="C59" s="6">
        <f t="shared" si="0"/>
        <v>0.56529353554424577</v>
      </c>
      <c r="E59" s="5">
        <v>94</v>
      </c>
      <c r="F59" s="6">
        <f t="shared" si="1"/>
        <v>0.16885391321451496</v>
      </c>
      <c r="H59" s="5">
        <v>94</v>
      </c>
      <c r="I59" s="7">
        <f t="shared" si="2"/>
        <v>1.9707594966938802E-2</v>
      </c>
      <c r="K59" s="5">
        <v>94</v>
      </c>
      <c r="L59" s="7">
        <f t="shared" si="3"/>
        <v>0.38101350269415024</v>
      </c>
      <c r="N59" s="5">
        <v>94</v>
      </c>
      <c r="O59" s="7">
        <f t="shared" si="4"/>
        <v>0.2299219412809527</v>
      </c>
      <c r="Q59" s="5">
        <v>94</v>
      </c>
      <c r="R59" s="7">
        <f t="shared" si="5"/>
        <v>2.627679328925174E-2</v>
      </c>
      <c r="T59" s="5">
        <v>94</v>
      </c>
      <c r="U59" s="7">
        <f t="shared" si="6"/>
        <v>1.4043203431352442E-2</v>
      </c>
      <c r="W59" s="5">
        <v>94</v>
      </c>
      <c r="X59" s="7">
        <f t="shared" si="7"/>
        <v>0.54849274568054207</v>
      </c>
      <c r="Z59" s="5">
        <v>94</v>
      </c>
      <c r="AA59" s="7">
        <f t="shared" si="8"/>
        <v>0.19660484803893419</v>
      </c>
      <c r="AC59" s="5">
        <v>94</v>
      </c>
      <c r="AD59" s="7">
        <f t="shared" si="9"/>
        <v>4.5273902872596363E-3</v>
      </c>
      <c r="AF59" s="5">
        <v>94</v>
      </c>
      <c r="AG59" s="7">
        <f t="shared" si="10"/>
        <v>0.22184212407572215</v>
      </c>
      <c r="AI59" s="5">
        <v>94</v>
      </c>
      <c r="AJ59" s="7">
        <f>VLOOKUP(AI59,'Life table'!I57:N157,3,)</f>
        <v>0.2658525512412393</v>
      </c>
      <c r="AL59" s="5">
        <v>94</v>
      </c>
      <c r="AM59" s="7">
        <f>VLOOKUP(AI59,'Life table'!I57:N157,4,)</f>
        <v>0.34308016776870653</v>
      </c>
      <c r="AO59" s="5">
        <v>94</v>
      </c>
      <c r="AP59" s="7">
        <f>VLOOKUP(AI59,'Life table'!I57:N157,5,)</f>
        <v>0.53189321895491859</v>
      </c>
      <c r="AR59" s="5">
        <v>94</v>
      </c>
      <c r="AS59" s="7">
        <f>VLOOKUP(AI59,'Life table'!I57:N157,6,)</f>
        <v>0.77363048563701819</v>
      </c>
    </row>
    <row r="60" spans="2:45" ht="11.1" customHeight="1" x14ac:dyDescent="0.3">
      <c r="B60" s="5">
        <v>95</v>
      </c>
      <c r="C60" s="6">
        <f t="shared" si="0"/>
        <v>0.54659558119995311</v>
      </c>
      <c r="E60" s="5">
        <v>95</v>
      </c>
      <c r="F60" s="6">
        <f t="shared" si="1"/>
        <v>0.16326880996881715</v>
      </c>
      <c r="H60" s="5">
        <v>95</v>
      </c>
      <c r="I60" s="7">
        <f t="shared" si="2"/>
        <v>1.8826604792329969E-2</v>
      </c>
      <c r="K60" s="5">
        <v>95</v>
      </c>
      <c r="L60" s="7">
        <f t="shared" si="3"/>
        <v>0.36398102598504611</v>
      </c>
      <c r="N60" s="5">
        <v>95</v>
      </c>
      <c r="O60" s="7">
        <f t="shared" si="4"/>
        <v>0.21964372257718295</v>
      </c>
      <c r="Q60" s="5">
        <v>95</v>
      </c>
      <c r="R60" s="7">
        <f t="shared" si="5"/>
        <v>2.5102139723106626E-2</v>
      </c>
      <c r="T60" s="5">
        <v>95</v>
      </c>
      <c r="U60" s="7">
        <f t="shared" si="6"/>
        <v>1.2929660691769481E-2</v>
      </c>
      <c r="W60" s="5">
        <v>95</v>
      </c>
      <c r="X60" s="7">
        <f t="shared" si="7"/>
        <v>0.54849274568054207</v>
      </c>
      <c r="Z60" s="5">
        <v>95</v>
      </c>
      <c r="AA60" s="7">
        <f t="shared" si="8"/>
        <v>0.18101524968477276</v>
      </c>
      <c r="AC60" s="5">
        <v>95</v>
      </c>
      <c r="AD60" s="7">
        <f t="shared" si="9"/>
        <v>3.85147861231093E-3</v>
      </c>
      <c r="AF60" s="5">
        <v>95</v>
      </c>
      <c r="AG60" s="7">
        <f t="shared" si="10"/>
        <v>0.18872245200323556</v>
      </c>
      <c r="AI60" s="5">
        <v>95</v>
      </c>
      <c r="AJ60" s="7">
        <f>VLOOKUP(AI60,'Life table'!I58:N158,3,)</f>
        <v>0.2901356088312298</v>
      </c>
      <c r="AL60" s="5">
        <v>95</v>
      </c>
      <c r="AM60" s="7">
        <f>VLOOKUP(AI60,'Life table'!I58:N158,4,)</f>
        <v>0.37244650692233439</v>
      </c>
      <c r="AO60" s="5">
        <v>95</v>
      </c>
      <c r="AP60" s="7">
        <f>VLOOKUP(AI60,'Life table'!I58:N158,5,)</f>
        <v>0.56901131027435059</v>
      </c>
      <c r="AR60" s="5">
        <v>95</v>
      </c>
      <c r="AS60" s="7">
        <f>VLOOKUP(AI60,'Life table'!I58:N158,6,)</f>
        <v>0.80742606938445349</v>
      </c>
    </row>
    <row r="61" spans="2:45" ht="11.1" customHeight="1" x14ac:dyDescent="0.3">
      <c r="B61" s="5">
        <v>96</v>
      </c>
      <c r="C61" s="6">
        <f t="shared" si="0"/>
        <v>0.52728134011958017</v>
      </c>
      <c r="E61" s="5">
        <v>96</v>
      </c>
      <c r="F61" s="6">
        <f t="shared" si="1"/>
        <v>0.1574996210746798</v>
      </c>
      <c r="H61" s="5">
        <v>96</v>
      </c>
      <c r="I61" s="7">
        <f t="shared" si="2"/>
        <v>1.792789239861315E-2</v>
      </c>
      <c r="K61" s="5">
        <v>96</v>
      </c>
      <c r="L61" s="7">
        <f t="shared" si="3"/>
        <v>0.34660591970652094</v>
      </c>
      <c r="N61" s="5">
        <v>96</v>
      </c>
      <c r="O61" s="7">
        <f t="shared" si="4"/>
        <v>0.20915874465048673</v>
      </c>
      <c r="Q61" s="5">
        <v>96</v>
      </c>
      <c r="R61" s="7">
        <f t="shared" si="5"/>
        <v>2.3903856531484202E-2</v>
      </c>
      <c r="T61" s="5">
        <v>96</v>
      </c>
      <c r="U61" s="7">
        <f t="shared" si="6"/>
        <v>1.1836221765342918E-2</v>
      </c>
      <c r="W61" s="5">
        <v>96</v>
      </c>
      <c r="X61" s="7">
        <f t="shared" si="7"/>
        <v>0.54849274568054207</v>
      </c>
      <c r="Z61" s="5">
        <v>96</v>
      </c>
      <c r="AA61" s="7">
        <f t="shared" si="8"/>
        <v>0.16570710471480085</v>
      </c>
      <c r="AC61" s="5">
        <v>96</v>
      </c>
      <c r="AD61" s="7">
        <f t="shared" si="9"/>
        <v>3.2398434323759086E-3</v>
      </c>
      <c r="AF61" s="5">
        <v>96</v>
      </c>
      <c r="AG61" s="7">
        <f t="shared" si="10"/>
        <v>0.15875232818641952</v>
      </c>
      <c r="AI61" s="5">
        <v>96</v>
      </c>
      <c r="AJ61" s="7">
        <f>VLOOKUP(AI61,'Life table'!I59:N159,3,)</f>
        <v>0.31521903880574009</v>
      </c>
      <c r="AL61" s="5">
        <v>96</v>
      </c>
      <c r="AM61" s="7">
        <f>VLOOKUP(AI61,'Life table'!I59:N159,4,)</f>
        <v>0.402403586712895</v>
      </c>
      <c r="AO61" s="5">
        <v>96</v>
      </c>
      <c r="AP61" s="7">
        <f>VLOOKUP(AI61,'Life table'!I59:N159,5,)</f>
        <v>0.6054592744885694</v>
      </c>
      <c r="AR61" s="5">
        <v>96</v>
      </c>
      <c r="AS61" s="7">
        <f>VLOOKUP(AI61,'Life table'!I59:N159,6,)</f>
        <v>0.83800782838120458</v>
      </c>
    </row>
    <row r="62" spans="2:45" ht="11.1" customHeight="1" x14ac:dyDescent="0.3">
      <c r="B62" s="5">
        <v>97</v>
      </c>
      <c r="C62" s="6">
        <f t="shared" si="0"/>
        <v>0.50746677676983409</v>
      </c>
      <c r="E62" s="5">
        <v>97</v>
      </c>
      <c r="F62" s="6">
        <f t="shared" si="1"/>
        <v>0.15158098526891151</v>
      </c>
      <c r="H62" s="5">
        <v>97</v>
      </c>
      <c r="I62" s="7">
        <f t="shared" si="2"/>
        <v>1.701812708683588E-2</v>
      </c>
      <c r="K62" s="5">
        <v>97</v>
      </c>
      <c r="L62" s="7">
        <f t="shared" si="3"/>
        <v>0.32901712367882702</v>
      </c>
      <c r="N62" s="5">
        <v>97</v>
      </c>
      <c r="O62" s="7">
        <f t="shared" si="4"/>
        <v>0.19854481601308524</v>
      </c>
      <c r="Q62" s="5">
        <v>97</v>
      </c>
      <c r="R62" s="7">
        <f t="shared" si="5"/>
        <v>2.2690836115781172E-2</v>
      </c>
      <c r="T62" s="5">
        <v>97</v>
      </c>
      <c r="U62" s="7">
        <f t="shared" si="6"/>
        <v>1.0773472822658338E-2</v>
      </c>
      <c r="W62" s="5">
        <v>97</v>
      </c>
      <c r="X62" s="7">
        <f t="shared" si="7"/>
        <v>0.54849274568054207</v>
      </c>
      <c r="Z62" s="5">
        <v>97</v>
      </c>
      <c r="AA62" s="7">
        <f t="shared" si="8"/>
        <v>0.15082861951721674</v>
      </c>
      <c r="AC62" s="5">
        <v>97</v>
      </c>
      <c r="AD62" s="7">
        <f t="shared" si="9"/>
        <v>2.6950095416632225E-3</v>
      </c>
      <c r="AF62" s="5">
        <v>97</v>
      </c>
      <c r="AG62" s="7">
        <f t="shared" si="10"/>
        <v>0.13205546754149791</v>
      </c>
      <c r="AI62" s="5">
        <v>97</v>
      </c>
      <c r="AJ62" s="7">
        <f>VLOOKUP(AI62,'Life table'!I60:N160,3,)</f>
        <v>0.3409522379612544</v>
      </c>
      <c r="AL62" s="5">
        <v>97</v>
      </c>
      <c r="AM62" s="7">
        <f>VLOOKUP(AI62,'Life table'!I60:N160,4,)</f>
        <v>0.43272909710547069</v>
      </c>
      <c r="AO62" s="5">
        <v>97</v>
      </c>
      <c r="AP62" s="7">
        <f>VLOOKUP(AI62,'Life table'!I60:N160,5,)</f>
        <v>0.64088423924472204</v>
      </c>
      <c r="AR62" s="5">
        <v>97</v>
      </c>
      <c r="AS62" s="7">
        <f>VLOOKUP(AI62,'Life table'!I60:N160,6,)</f>
        <v>0.86524952291683888</v>
      </c>
    </row>
    <row r="63" spans="2:45" ht="11.1" customHeight="1" x14ac:dyDescent="0.3">
      <c r="B63" s="5">
        <v>98</v>
      </c>
      <c r="C63" s="6">
        <f t="shared" si="0"/>
        <v>0.48730462888359177</v>
      </c>
      <c r="E63" s="5">
        <v>98</v>
      </c>
      <c r="F63" s="6">
        <f t="shared" si="1"/>
        <v>0.14555852551068324</v>
      </c>
      <c r="H63" s="5">
        <v>98</v>
      </c>
      <c r="I63" s="7">
        <f t="shared" si="2"/>
        <v>1.6105429619619992E-2</v>
      </c>
      <c r="K63" s="5">
        <v>98</v>
      </c>
      <c r="L63" s="7">
        <f t="shared" si="3"/>
        <v>0.31137163931265321</v>
      </c>
      <c r="N63" s="5">
        <v>98</v>
      </c>
      <c r="O63" s="7">
        <f t="shared" si="4"/>
        <v>0.18789667889556655</v>
      </c>
      <c r="Q63" s="5">
        <v>98</v>
      </c>
      <c r="R63" s="7">
        <f t="shared" si="5"/>
        <v>2.1473906159493322E-2</v>
      </c>
      <c r="T63" s="5">
        <v>98</v>
      </c>
      <c r="U63" s="7">
        <f t="shared" si="6"/>
        <v>9.7523721503446053E-3</v>
      </c>
      <c r="W63" s="5">
        <v>98</v>
      </c>
      <c r="X63" s="7">
        <f t="shared" si="7"/>
        <v>0.54849274568054207</v>
      </c>
      <c r="Z63" s="5">
        <v>98</v>
      </c>
      <c r="AA63" s="7">
        <f t="shared" si="8"/>
        <v>0.13653321010482447</v>
      </c>
      <c r="AC63" s="5">
        <v>98</v>
      </c>
      <c r="AD63" s="7">
        <f t="shared" si="9"/>
        <v>2.2178020169082882E-3</v>
      </c>
      <c r="AF63" s="5">
        <v>98</v>
      </c>
      <c r="AG63" s="7">
        <f t="shared" si="10"/>
        <v>0.10867229882850611</v>
      </c>
      <c r="AI63" s="5">
        <v>98</v>
      </c>
      <c r="AJ63" s="7">
        <f>VLOOKUP(AI63,'Life table'!I61:N161,3,)</f>
        <v>0.36713684560572502</v>
      </c>
      <c r="AL63" s="5">
        <v>98</v>
      </c>
      <c r="AM63" s="7">
        <f>VLOOKUP(AI63,'Life table'!I61:N161,4,)</f>
        <v>0.46315234601266697</v>
      </c>
      <c r="AO63" s="5">
        <v>98</v>
      </c>
      <c r="AP63" s="7">
        <f>VLOOKUP(AI63,'Life table'!I61:N161,5,)</f>
        <v>0.67492092832184647</v>
      </c>
      <c r="AR63" s="5">
        <v>98</v>
      </c>
      <c r="AS63" s="7">
        <f>VLOOKUP(AI63,'Life table'!I61:N161,6,)</f>
        <v>0.8891098991545856</v>
      </c>
    </row>
    <row r="64" spans="2:45" ht="11.1" customHeight="1" x14ac:dyDescent="0.3">
      <c r="B64" s="5">
        <v>99</v>
      </c>
      <c r="C64" s="6">
        <f t="shared" si="0"/>
        <v>0.46695813677829373</v>
      </c>
      <c r="E64" s="5">
        <v>99</v>
      </c>
      <c r="F64" s="6">
        <f t="shared" si="1"/>
        <v>0.13948100189481502</v>
      </c>
      <c r="H64" s="5">
        <v>99</v>
      </c>
      <c r="I64" s="7">
        <f t="shared" si="2"/>
        <v>1.5198057804557189E-2</v>
      </c>
      <c r="K64" s="5">
        <v>99</v>
      </c>
      <c r="L64" s="7">
        <f t="shared" si="3"/>
        <v>0.29382911755477237</v>
      </c>
      <c r="N64" s="5">
        <v>99</v>
      </c>
      <c r="O64" s="7">
        <f t="shared" si="4"/>
        <v>0.17731067438650053</v>
      </c>
      <c r="Q64" s="5">
        <v>99</v>
      </c>
      <c r="R64" s="7">
        <f t="shared" si="5"/>
        <v>2.0264077072742918E-2</v>
      </c>
      <c r="T64" s="5">
        <v>99</v>
      </c>
      <c r="U64" s="7">
        <f t="shared" si="6"/>
        <v>8.7824601230632824E-3</v>
      </c>
      <c r="W64" s="5">
        <v>99</v>
      </c>
      <c r="X64" s="7">
        <f t="shared" si="7"/>
        <v>0.54849274568054207</v>
      </c>
      <c r="Z64" s="5">
        <v>99</v>
      </c>
      <c r="AA64" s="7">
        <f t="shared" si="8"/>
        <v>0.12295444172288596</v>
      </c>
      <c r="AC64" s="5">
        <v>99</v>
      </c>
      <c r="AD64" s="7">
        <f t="shared" si="9"/>
        <v>1.8066930014257099E-3</v>
      </c>
      <c r="AF64" s="5">
        <v>99</v>
      </c>
      <c r="AG64" s="7">
        <f t="shared" si="10"/>
        <v>8.8527957069859789E-2</v>
      </c>
      <c r="AI64" s="5">
        <v>99</v>
      </c>
      <c r="AJ64" s="7">
        <f>VLOOKUP(AI64,'Life table'!I62:N162,3,)</f>
        <v>0.39356086132689128</v>
      </c>
      <c r="AL64" s="5">
        <v>99</v>
      </c>
      <c r="AM64" s="7">
        <f>VLOOKUP(AI64,'Life table'!I62:N162,4,)</f>
        <v>0.49339807318142703</v>
      </c>
      <c r="AO64" s="5">
        <v>99</v>
      </c>
      <c r="AP64" s="7">
        <f>VLOOKUP(AI64,'Life table'!I62:N162,5,)</f>
        <v>0.70725132923122391</v>
      </c>
      <c r="AR64" s="5">
        <v>99</v>
      </c>
      <c r="AS64" s="7">
        <f>VLOOKUP(AI64,'Life table'!I62:N162,6,)</f>
        <v>0.90966534992871451</v>
      </c>
    </row>
    <row r="65" spans="2:45" ht="11.1" customHeight="1" x14ac:dyDescent="0.3">
      <c r="B65" s="5">
        <v>100</v>
      </c>
      <c r="C65" s="6">
        <f t="shared" si="0"/>
        <v>0</v>
      </c>
      <c r="E65" s="5">
        <v>100</v>
      </c>
      <c r="F65" s="6">
        <f t="shared" si="1"/>
        <v>0</v>
      </c>
      <c r="H65" s="5">
        <v>100</v>
      </c>
      <c r="I65" s="7">
        <f t="shared" si="2"/>
        <v>0</v>
      </c>
      <c r="K65" s="5">
        <v>100</v>
      </c>
      <c r="L65" s="7">
        <f t="shared" si="3"/>
        <v>0</v>
      </c>
      <c r="N65" s="5">
        <v>100</v>
      </c>
      <c r="O65" s="7">
        <f t="shared" si="4"/>
        <v>0</v>
      </c>
      <c r="Q65" s="5">
        <v>100</v>
      </c>
      <c r="R65" s="7">
        <f t="shared" si="5"/>
        <v>0</v>
      </c>
      <c r="T65" s="5">
        <v>100</v>
      </c>
      <c r="U65" s="7">
        <f t="shared" si="6"/>
        <v>0</v>
      </c>
      <c r="W65" s="5">
        <v>100</v>
      </c>
      <c r="X65" s="7">
        <f t="shared" si="7"/>
        <v>0.54849274568054207</v>
      </c>
      <c r="Z65" s="5">
        <v>100</v>
      </c>
      <c r="AA65" s="7">
        <f t="shared" si="8"/>
        <v>0</v>
      </c>
      <c r="AC65" s="5">
        <v>100</v>
      </c>
      <c r="AD65" s="7">
        <f t="shared" si="9"/>
        <v>0</v>
      </c>
      <c r="AF65" s="5">
        <v>100</v>
      </c>
      <c r="AG65" s="7">
        <f t="shared" si="10"/>
        <v>0</v>
      </c>
      <c r="AI65" s="5">
        <v>100</v>
      </c>
      <c r="AJ65" s="7">
        <f>VLOOKUP(AI65,'Life table'!I63:N163,3,)</f>
        <v>1</v>
      </c>
      <c r="AL65" s="5">
        <v>100</v>
      </c>
      <c r="AM65" s="7">
        <f>VLOOKUP(AI65,'Life table'!I63:N163,4,)</f>
        <v>1</v>
      </c>
      <c r="AO65" s="5">
        <v>100</v>
      </c>
      <c r="AP65" s="7">
        <f>VLOOKUP(AI65,'Life table'!I63:N163,5,)</f>
        <v>1</v>
      </c>
      <c r="AR65" s="5">
        <v>100</v>
      </c>
      <c r="AS65" s="7">
        <f>VLOOKUP(AI65,'Life table'!I63:N163,6,)</f>
        <v>1</v>
      </c>
    </row>
    <row r="66" spans="2:45" ht="11.1" customHeight="1" x14ac:dyDescent="0.3">
      <c r="B66" s="5">
        <v>101</v>
      </c>
      <c r="C66" s="6">
        <f t="shared" si="0"/>
        <v>0</v>
      </c>
      <c r="E66" s="5">
        <v>101</v>
      </c>
      <c r="F66" s="6">
        <f t="shared" si="1"/>
        <v>0</v>
      </c>
      <c r="H66" s="5">
        <v>101</v>
      </c>
      <c r="I66" s="7">
        <f t="shared" si="2"/>
        <v>0</v>
      </c>
      <c r="K66" s="5">
        <v>101</v>
      </c>
      <c r="L66" s="7">
        <f t="shared" si="3"/>
        <v>0</v>
      </c>
      <c r="N66" s="5">
        <v>101</v>
      </c>
      <c r="O66" s="7">
        <f t="shared" si="4"/>
        <v>0</v>
      </c>
      <c r="Q66" s="5">
        <v>101</v>
      </c>
      <c r="R66" s="7">
        <f t="shared" si="5"/>
        <v>0</v>
      </c>
      <c r="T66" s="5">
        <v>101</v>
      </c>
      <c r="U66" s="7">
        <f t="shared" si="6"/>
        <v>0</v>
      </c>
      <c r="W66" s="5">
        <v>101</v>
      </c>
      <c r="X66" s="7">
        <f t="shared" si="7"/>
        <v>0.54849274568054207</v>
      </c>
      <c r="Z66" s="5">
        <v>101</v>
      </c>
      <c r="AA66" s="7">
        <f t="shared" si="8"/>
        <v>0</v>
      </c>
      <c r="AC66" s="5">
        <v>101</v>
      </c>
      <c r="AD66" s="7">
        <f t="shared" si="9"/>
        <v>0</v>
      </c>
      <c r="AF66" s="5">
        <v>101</v>
      </c>
      <c r="AG66" s="7">
        <f t="shared" si="10"/>
        <v>0</v>
      </c>
      <c r="AI66" s="5">
        <v>101</v>
      </c>
      <c r="AJ66" s="7">
        <v>1</v>
      </c>
      <c r="AL66" s="5">
        <v>101</v>
      </c>
      <c r="AM66" s="7">
        <v>1</v>
      </c>
      <c r="AO66" s="5">
        <v>101</v>
      </c>
      <c r="AP66" s="7">
        <v>1</v>
      </c>
      <c r="AR66" s="5">
        <v>101</v>
      </c>
      <c r="AS66" s="7">
        <v>1</v>
      </c>
    </row>
    <row r="67" spans="2:45" ht="11.1" customHeight="1" x14ac:dyDescent="0.3">
      <c r="B67" s="5">
        <v>102</v>
      </c>
      <c r="C67" s="6">
        <f t="shared" si="0"/>
        <v>0</v>
      </c>
      <c r="E67" s="5">
        <v>102</v>
      </c>
      <c r="F67" s="6">
        <f t="shared" si="1"/>
        <v>0</v>
      </c>
      <c r="H67" s="5">
        <v>102</v>
      </c>
      <c r="I67" s="7">
        <f t="shared" si="2"/>
        <v>0</v>
      </c>
      <c r="K67" s="5">
        <v>102</v>
      </c>
      <c r="L67" s="7">
        <f t="shared" si="3"/>
        <v>0</v>
      </c>
      <c r="N67" s="5">
        <v>102</v>
      </c>
      <c r="O67" s="7">
        <f t="shared" si="4"/>
        <v>0</v>
      </c>
      <c r="Q67" s="5">
        <v>102</v>
      </c>
      <c r="R67" s="7">
        <f t="shared" si="5"/>
        <v>0</v>
      </c>
      <c r="T67" s="5">
        <v>102</v>
      </c>
      <c r="U67" s="7">
        <f t="shared" si="6"/>
        <v>0</v>
      </c>
      <c r="W67" s="5">
        <v>102</v>
      </c>
      <c r="X67" s="7">
        <f t="shared" si="7"/>
        <v>0.54849274568054207</v>
      </c>
      <c r="Z67" s="5">
        <v>102</v>
      </c>
      <c r="AA67" s="7">
        <f t="shared" si="8"/>
        <v>0</v>
      </c>
      <c r="AC67" s="5">
        <v>102</v>
      </c>
      <c r="AD67" s="7">
        <f t="shared" si="9"/>
        <v>0</v>
      </c>
      <c r="AF67" s="5">
        <v>102</v>
      </c>
      <c r="AG67" s="7">
        <f t="shared" si="10"/>
        <v>0</v>
      </c>
      <c r="AI67" s="5">
        <v>102</v>
      </c>
      <c r="AJ67" s="7">
        <v>1</v>
      </c>
      <c r="AL67" s="5">
        <v>102</v>
      </c>
      <c r="AM67" s="7">
        <v>1</v>
      </c>
      <c r="AO67" s="5">
        <v>102</v>
      </c>
      <c r="AP67" s="7">
        <v>1</v>
      </c>
      <c r="AR67" s="5">
        <v>102</v>
      </c>
      <c r="AS67" s="7">
        <v>1</v>
      </c>
    </row>
    <row r="68" spans="2:45" ht="11.1" customHeight="1" x14ac:dyDescent="0.3">
      <c r="B68" s="5">
        <v>103</v>
      </c>
      <c r="C68" s="6">
        <f t="shared" si="0"/>
        <v>0</v>
      </c>
      <c r="E68" s="5">
        <v>103</v>
      </c>
      <c r="F68" s="6">
        <f t="shared" si="1"/>
        <v>0</v>
      </c>
      <c r="H68" s="5">
        <v>103</v>
      </c>
      <c r="I68" s="7">
        <f t="shared" si="2"/>
        <v>0</v>
      </c>
      <c r="K68" s="5">
        <v>103</v>
      </c>
      <c r="L68" s="7">
        <f t="shared" si="3"/>
        <v>0</v>
      </c>
      <c r="N68" s="5">
        <v>103</v>
      </c>
      <c r="O68" s="7">
        <f t="shared" si="4"/>
        <v>0</v>
      </c>
      <c r="Q68" s="5">
        <v>103</v>
      </c>
      <c r="R68" s="7">
        <f t="shared" si="5"/>
        <v>0</v>
      </c>
      <c r="T68" s="5">
        <v>103</v>
      </c>
      <c r="U68" s="7">
        <f t="shared" si="6"/>
        <v>0</v>
      </c>
      <c r="W68" s="5">
        <v>103</v>
      </c>
      <c r="X68" s="7">
        <f t="shared" si="7"/>
        <v>0.54849274568054207</v>
      </c>
      <c r="Z68" s="5">
        <v>103</v>
      </c>
      <c r="AA68" s="7">
        <f t="shared" si="8"/>
        <v>0</v>
      </c>
      <c r="AC68" s="5">
        <v>103</v>
      </c>
      <c r="AD68" s="7">
        <f t="shared" si="9"/>
        <v>0</v>
      </c>
      <c r="AF68" s="5">
        <v>103</v>
      </c>
      <c r="AG68" s="7">
        <f t="shared" si="10"/>
        <v>0</v>
      </c>
      <c r="AI68" s="5">
        <v>103</v>
      </c>
      <c r="AJ68" s="7">
        <v>1</v>
      </c>
      <c r="AL68" s="5">
        <v>103</v>
      </c>
      <c r="AM68" s="7">
        <v>1</v>
      </c>
      <c r="AO68" s="5">
        <v>103</v>
      </c>
      <c r="AP68" s="7">
        <v>1</v>
      </c>
      <c r="AR68" s="5">
        <v>103</v>
      </c>
      <c r="AS68" s="7">
        <v>1</v>
      </c>
    </row>
    <row r="69" spans="2:45" ht="11.1" customHeight="1" x14ac:dyDescent="0.3">
      <c r="B69" s="5">
        <v>104</v>
      </c>
      <c r="C69" s="6">
        <f t="shared" si="0"/>
        <v>0</v>
      </c>
      <c r="E69" s="5">
        <v>104</v>
      </c>
      <c r="F69" s="6">
        <f t="shared" si="1"/>
        <v>0</v>
      </c>
      <c r="H69" s="5">
        <v>104</v>
      </c>
      <c r="I69" s="7">
        <f t="shared" si="2"/>
        <v>0</v>
      </c>
      <c r="K69" s="5">
        <v>104</v>
      </c>
      <c r="L69" s="7">
        <f t="shared" si="3"/>
        <v>0</v>
      </c>
      <c r="N69" s="5">
        <v>104</v>
      </c>
      <c r="O69" s="7">
        <f t="shared" si="4"/>
        <v>0</v>
      </c>
      <c r="Q69" s="5">
        <v>104</v>
      </c>
      <c r="R69" s="7">
        <f t="shared" si="5"/>
        <v>0</v>
      </c>
      <c r="T69" s="5">
        <v>104</v>
      </c>
      <c r="U69" s="7">
        <f t="shared" si="6"/>
        <v>0</v>
      </c>
      <c r="W69" s="5">
        <v>104</v>
      </c>
      <c r="X69" s="7">
        <f t="shared" si="7"/>
        <v>0.54849274568054207</v>
      </c>
      <c r="Z69" s="5">
        <v>104</v>
      </c>
      <c r="AA69" s="7">
        <f t="shared" si="8"/>
        <v>0</v>
      </c>
      <c r="AC69" s="5">
        <v>104</v>
      </c>
      <c r="AD69" s="7">
        <f t="shared" si="9"/>
        <v>0</v>
      </c>
      <c r="AF69" s="5">
        <v>104</v>
      </c>
      <c r="AG69" s="7">
        <f t="shared" si="10"/>
        <v>0</v>
      </c>
      <c r="AI69" s="5">
        <v>104</v>
      </c>
      <c r="AJ69" s="7">
        <v>1</v>
      </c>
      <c r="AL69" s="5">
        <v>104</v>
      </c>
      <c r="AM69" s="7">
        <v>1</v>
      </c>
      <c r="AO69" s="5">
        <v>104</v>
      </c>
      <c r="AP69" s="7">
        <v>1</v>
      </c>
      <c r="AR69" s="5">
        <v>104</v>
      </c>
      <c r="AS69" s="7">
        <v>1</v>
      </c>
    </row>
    <row r="70" spans="2:45" ht="11.1" customHeight="1" x14ac:dyDescent="0.3">
      <c r="B70" s="5">
        <v>105</v>
      </c>
      <c r="C70" s="6">
        <f t="shared" ref="C70:C75" si="11">(1-AJ70)*(1-$F$3)</f>
        <v>0</v>
      </c>
      <c r="E70" s="5">
        <v>105</v>
      </c>
      <c r="F70" s="6">
        <f t="shared" ref="F70:F75" si="12">(1-AJ70)*($F$3)</f>
        <v>0</v>
      </c>
      <c r="H70" s="5">
        <v>105</v>
      </c>
      <c r="I70" s="7">
        <f t="shared" ref="I70:I75" si="13">(1-AM70)*($I$3)</f>
        <v>0</v>
      </c>
      <c r="K70" s="5">
        <v>105</v>
      </c>
      <c r="L70" s="7">
        <f t="shared" ref="L70:L75" si="14">(1-AM70)*(1-($I$3+$O$3+$R$3))</f>
        <v>0</v>
      </c>
      <c r="N70" s="5">
        <v>105</v>
      </c>
      <c r="O70" s="7">
        <f t="shared" ref="O70:O75" si="15">(1-AM70)*($O$3)</f>
        <v>0</v>
      </c>
      <c r="Q70" s="5">
        <v>105</v>
      </c>
      <c r="R70" s="7">
        <f t="shared" ref="R70:R75" si="16">(1-AM70)*($R$3)</f>
        <v>0</v>
      </c>
      <c r="T70" s="5">
        <v>105</v>
      </c>
      <c r="U70" s="7">
        <f t="shared" ref="U70:U75" si="17">+(1-AP70)*$U$3</f>
        <v>0</v>
      </c>
      <c r="W70" s="5">
        <v>105</v>
      </c>
      <c r="X70" s="7">
        <f t="shared" ref="X70:X75" si="18">(1-$AP$5)*(1-($U$3+$AA$3))</f>
        <v>0.54849274568054207</v>
      </c>
      <c r="Z70" s="5">
        <v>105</v>
      </c>
      <c r="AA70" s="7">
        <f t="shared" ref="AA70:AA75" si="19">(1-AP70)*($AA$3)</f>
        <v>0</v>
      </c>
      <c r="AC70" s="5">
        <v>105</v>
      </c>
      <c r="AD70" s="7">
        <f t="shared" ref="AD70:AD75" si="20">(1-AS70)*($AD$3)</f>
        <v>0</v>
      </c>
      <c r="AF70" s="5">
        <v>105</v>
      </c>
      <c r="AG70" s="7">
        <f t="shared" ref="AG70:AG75" si="21">(1-AS70)*(1-$AD$3)</f>
        <v>0</v>
      </c>
      <c r="AI70" s="5">
        <v>105</v>
      </c>
      <c r="AJ70" s="7">
        <v>1</v>
      </c>
      <c r="AL70" s="5">
        <v>105</v>
      </c>
      <c r="AM70" s="7">
        <v>1</v>
      </c>
      <c r="AO70" s="5">
        <v>105</v>
      </c>
      <c r="AP70" s="7">
        <v>1</v>
      </c>
      <c r="AR70" s="5">
        <v>105</v>
      </c>
      <c r="AS70" s="7">
        <v>1</v>
      </c>
    </row>
    <row r="71" spans="2:45" ht="11.1" customHeight="1" x14ac:dyDescent="0.3">
      <c r="B71" s="5">
        <v>106</v>
      </c>
      <c r="C71" s="6">
        <f t="shared" si="11"/>
        <v>0</v>
      </c>
      <c r="E71" s="5">
        <v>106</v>
      </c>
      <c r="F71" s="6">
        <f t="shared" si="12"/>
        <v>0</v>
      </c>
      <c r="H71" s="5">
        <v>106</v>
      </c>
      <c r="I71" s="7">
        <f t="shared" si="13"/>
        <v>0</v>
      </c>
      <c r="K71" s="5">
        <v>106</v>
      </c>
      <c r="L71" s="7">
        <f t="shared" si="14"/>
        <v>0</v>
      </c>
      <c r="N71" s="5">
        <v>106</v>
      </c>
      <c r="O71" s="7">
        <f t="shared" si="15"/>
        <v>0</v>
      </c>
      <c r="Q71" s="5">
        <v>106</v>
      </c>
      <c r="R71" s="7">
        <f t="shared" si="16"/>
        <v>0</v>
      </c>
      <c r="T71" s="5">
        <v>106</v>
      </c>
      <c r="U71" s="7">
        <f t="shared" si="17"/>
        <v>0</v>
      </c>
      <c r="W71" s="5">
        <v>106</v>
      </c>
      <c r="X71" s="7">
        <f t="shared" si="18"/>
        <v>0.54849274568054207</v>
      </c>
      <c r="Z71" s="5">
        <v>106</v>
      </c>
      <c r="AA71" s="7">
        <f t="shared" si="19"/>
        <v>0</v>
      </c>
      <c r="AC71" s="5">
        <v>106</v>
      </c>
      <c r="AD71" s="7">
        <f t="shared" si="20"/>
        <v>0</v>
      </c>
      <c r="AF71" s="5">
        <v>106</v>
      </c>
      <c r="AG71" s="7">
        <f t="shared" si="21"/>
        <v>0</v>
      </c>
      <c r="AI71" s="5">
        <v>106</v>
      </c>
      <c r="AJ71" s="7">
        <v>1</v>
      </c>
      <c r="AL71" s="5">
        <v>106</v>
      </c>
      <c r="AM71" s="7">
        <v>1</v>
      </c>
      <c r="AO71" s="5">
        <v>106</v>
      </c>
      <c r="AP71" s="7">
        <v>1</v>
      </c>
      <c r="AR71" s="5">
        <v>106</v>
      </c>
      <c r="AS71" s="7">
        <v>1</v>
      </c>
    </row>
    <row r="72" spans="2:45" ht="11.1" customHeight="1" x14ac:dyDescent="0.3">
      <c r="B72" s="5">
        <v>107</v>
      </c>
      <c r="C72" s="6">
        <f t="shared" si="11"/>
        <v>0</v>
      </c>
      <c r="E72" s="5">
        <v>107</v>
      </c>
      <c r="F72" s="6">
        <f t="shared" si="12"/>
        <v>0</v>
      </c>
      <c r="H72" s="5">
        <v>107</v>
      </c>
      <c r="I72" s="7">
        <f t="shared" si="13"/>
        <v>0</v>
      </c>
      <c r="K72" s="5">
        <v>107</v>
      </c>
      <c r="L72" s="7">
        <f t="shared" si="14"/>
        <v>0</v>
      </c>
      <c r="N72" s="5">
        <v>107</v>
      </c>
      <c r="O72" s="7">
        <f t="shared" si="15"/>
        <v>0</v>
      </c>
      <c r="Q72" s="5">
        <v>107</v>
      </c>
      <c r="R72" s="7">
        <f t="shared" si="16"/>
        <v>0</v>
      </c>
      <c r="T72" s="5">
        <v>107</v>
      </c>
      <c r="U72" s="7">
        <f t="shared" si="17"/>
        <v>0</v>
      </c>
      <c r="W72" s="5">
        <v>107</v>
      </c>
      <c r="X72" s="7">
        <f t="shared" si="18"/>
        <v>0.54849274568054207</v>
      </c>
      <c r="Z72" s="5">
        <v>107</v>
      </c>
      <c r="AA72" s="7">
        <f t="shared" si="19"/>
        <v>0</v>
      </c>
      <c r="AC72" s="5">
        <v>107</v>
      </c>
      <c r="AD72" s="7">
        <f t="shared" si="20"/>
        <v>0</v>
      </c>
      <c r="AF72" s="5">
        <v>107</v>
      </c>
      <c r="AG72" s="7">
        <f t="shared" si="21"/>
        <v>0</v>
      </c>
      <c r="AI72" s="5">
        <v>107</v>
      </c>
      <c r="AJ72" s="7">
        <v>1</v>
      </c>
      <c r="AL72" s="5">
        <v>107</v>
      </c>
      <c r="AM72" s="7">
        <v>1</v>
      </c>
      <c r="AO72" s="5">
        <v>107</v>
      </c>
      <c r="AP72" s="7">
        <v>1</v>
      </c>
      <c r="AR72" s="5">
        <v>107</v>
      </c>
      <c r="AS72" s="7">
        <v>1</v>
      </c>
    </row>
    <row r="73" spans="2:45" ht="11.1" customHeight="1" x14ac:dyDescent="0.3">
      <c r="B73" s="5">
        <v>108</v>
      </c>
      <c r="C73" s="6">
        <f t="shared" si="11"/>
        <v>0</v>
      </c>
      <c r="E73" s="5">
        <v>108</v>
      </c>
      <c r="F73" s="6">
        <f t="shared" si="12"/>
        <v>0</v>
      </c>
      <c r="H73" s="5">
        <v>108</v>
      </c>
      <c r="I73" s="7">
        <f t="shared" si="13"/>
        <v>0</v>
      </c>
      <c r="K73" s="5">
        <v>108</v>
      </c>
      <c r="L73" s="7">
        <f t="shared" si="14"/>
        <v>0</v>
      </c>
      <c r="N73" s="5">
        <v>108</v>
      </c>
      <c r="O73" s="7">
        <f t="shared" si="15"/>
        <v>0</v>
      </c>
      <c r="Q73" s="5">
        <v>108</v>
      </c>
      <c r="R73" s="7">
        <f t="shared" si="16"/>
        <v>0</v>
      </c>
      <c r="T73" s="5">
        <v>108</v>
      </c>
      <c r="U73" s="7">
        <f t="shared" si="17"/>
        <v>0</v>
      </c>
      <c r="W73" s="5">
        <v>108</v>
      </c>
      <c r="X73" s="7">
        <f t="shared" si="18"/>
        <v>0.54849274568054207</v>
      </c>
      <c r="Z73" s="5">
        <v>108</v>
      </c>
      <c r="AA73" s="7">
        <f t="shared" si="19"/>
        <v>0</v>
      </c>
      <c r="AC73" s="5">
        <v>108</v>
      </c>
      <c r="AD73" s="7">
        <f t="shared" si="20"/>
        <v>0</v>
      </c>
      <c r="AF73" s="5">
        <v>108</v>
      </c>
      <c r="AG73" s="7">
        <f t="shared" si="21"/>
        <v>0</v>
      </c>
      <c r="AI73" s="5">
        <v>108</v>
      </c>
      <c r="AJ73" s="7">
        <v>1</v>
      </c>
      <c r="AL73" s="5">
        <v>108</v>
      </c>
      <c r="AM73" s="7">
        <v>1</v>
      </c>
      <c r="AO73" s="5">
        <v>108</v>
      </c>
      <c r="AP73" s="7">
        <v>1</v>
      </c>
      <c r="AR73" s="5">
        <v>108</v>
      </c>
      <c r="AS73" s="7">
        <v>1</v>
      </c>
    </row>
    <row r="74" spans="2:45" ht="11.1" customHeight="1" x14ac:dyDescent="0.3">
      <c r="B74" s="5">
        <v>109</v>
      </c>
      <c r="C74" s="6">
        <f t="shared" si="11"/>
        <v>0</v>
      </c>
      <c r="E74" s="5">
        <v>109</v>
      </c>
      <c r="F74" s="6">
        <f t="shared" si="12"/>
        <v>0</v>
      </c>
      <c r="H74" s="5">
        <v>109</v>
      </c>
      <c r="I74" s="7">
        <f t="shared" si="13"/>
        <v>0</v>
      </c>
      <c r="K74" s="5">
        <v>109</v>
      </c>
      <c r="L74" s="7">
        <f t="shared" si="14"/>
        <v>0</v>
      </c>
      <c r="N74" s="5">
        <v>109</v>
      </c>
      <c r="O74" s="7">
        <f t="shared" si="15"/>
        <v>0</v>
      </c>
      <c r="Q74" s="5">
        <v>109</v>
      </c>
      <c r="R74" s="7">
        <f t="shared" si="16"/>
        <v>0</v>
      </c>
      <c r="T74" s="5">
        <v>109</v>
      </c>
      <c r="U74" s="7">
        <f t="shared" si="17"/>
        <v>0</v>
      </c>
      <c r="W74" s="5">
        <v>109</v>
      </c>
      <c r="X74" s="7">
        <f t="shared" si="18"/>
        <v>0.54849274568054207</v>
      </c>
      <c r="Z74" s="5">
        <v>109</v>
      </c>
      <c r="AA74" s="7">
        <f t="shared" si="19"/>
        <v>0</v>
      </c>
      <c r="AC74" s="5">
        <v>109</v>
      </c>
      <c r="AD74" s="7">
        <f t="shared" si="20"/>
        <v>0</v>
      </c>
      <c r="AF74" s="5">
        <v>109</v>
      </c>
      <c r="AG74" s="7">
        <f t="shared" si="21"/>
        <v>0</v>
      </c>
      <c r="AI74" s="5">
        <v>109</v>
      </c>
      <c r="AJ74" s="7">
        <v>1</v>
      </c>
      <c r="AL74" s="5">
        <v>109</v>
      </c>
      <c r="AM74" s="7">
        <v>1</v>
      </c>
      <c r="AO74" s="5">
        <v>109</v>
      </c>
      <c r="AP74" s="7">
        <v>1</v>
      </c>
      <c r="AR74" s="5">
        <v>109</v>
      </c>
      <c r="AS74" s="7">
        <v>1</v>
      </c>
    </row>
    <row r="75" spans="2:45" ht="11.1" customHeight="1" x14ac:dyDescent="0.3">
      <c r="B75" s="5">
        <v>110</v>
      </c>
      <c r="C75" s="6">
        <f t="shared" si="11"/>
        <v>0</v>
      </c>
      <c r="E75" s="5">
        <v>110</v>
      </c>
      <c r="F75" s="6">
        <f t="shared" si="12"/>
        <v>0</v>
      </c>
      <c r="H75" s="5">
        <v>110</v>
      </c>
      <c r="I75" s="7">
        <f t="shared" si="13"/>
        <v>0</v>
      </c>
      <c r="K75" s="5">
        <v>110</v>
      </c>
      <c r="L75" s="7">
        <f t="shared" si="14"/>
        <v>0</v>
      </c>
      <c r="N75" s="5">
        <v>110</v>
      </c>
      <c r="O75" s="7">
        <f t="shared" si="15"/>
        <v>0</v>
      </c>
      <c r="Q75" s="5">
        <v>110</v>
      </c>
      <c r="R75" s="7">
        <f t="shared" si="16"/>
        <v>0</v>
      </c>
      <c r="T75" s="5">
        <v>110</v>
      </c>
      <c r="U75" s="7">
        <f t="shared" si="17"/>
        <v>0</v>
      </c>
      <c r="W75" s="5">
        <v>110</v>
      </c>
      <c r="X75" s="7">
        <f t="shared" si="18"/>
        <v>0.54849274568054207</v>
      </c>
      <c r="Z75" s="5">
        <v>110</v>
      </c>
      <c r="AA75" s="7">
        <f t="shared" si="19"/>
        <v>0</v>
      </c>
      <c r="AC75" s="5">
        <v>110</v>
      </c>
      <c r="AD75" s="7">
        <f t="shared" si="20"/>
        <v>0</v>
      </c>
      <c r="AF75" s="5">
        <v>110</v>
      </c>
      <c r="AG75" s="7">
        <f t="shared" si="21"/>
        <v>0</v>
      </c>
      <c r="AI75" s="5">
        <v>110</v>
      </c>
      <c r="AJ75" s="7">
        <v>1</v>
      </c>
      <c r="AL75" s="5">
        <v>110</v>
      </c>
      <c r="AM75" s="7">
        <v>1</v>
      </c>
      <c r="AO75" s="5">
        <v>110</v>
      </c>
      <c r="AP75" s="7">
        <v>1</v>
      </c>
      <c r="AR75" s="5">
        <v>110</v>
      </c>
      <c r="AS75" s="7">
        <v>1</v>
      </c>
    </row>
  </sheetData>
  <mergeCells count="15">
    <mergeCell ref="AO2:AP2"/>
    <mergeCell ref="AR2:AS2"/>
    <mergeCell ref="B2:C2"/>
    <mergeCell ref="K2:L2"/>
    <mergeCell ref="W2:X2"/>
    <mergeCell ref="AF2:AG2"/>
    <mergeCell ref="E2:F2"/>
    <mergeCell ref="AI2:AJ2"/>
    <mergeCell ref="AL2:AM2"/>
    <mergeCell ref="T2:U2"/>
    <mergeCell ref="AC2:AD2"/>
    <mergeCell ref="Z2:AA2"/>
    <mergeCell ref="Q2:R2"/>
    <mergeCell ref="N2:O2"/>
    <mergeCell ref="H2:I2"/>
  </mergeCells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0"/>
  <dimension ref="A1:X103"/>
  <sheetViews>
    <sheetView zoomScale="70" zoomScaleNormal="70" workbookViewId="0">
      <selection activeCell="AD20" sqref="AD20"/>
    </sheetView>
  </sheetViews>
  <sheetFormatPr defaultRowHeight="17.399999999999999" x14ac:dyDescent="0.4"/>
  <cols>
    <col min="2" max="4" width="14.09765625" bestFit="1" customWidth="1"/>
    <col min="6" max="6" width="12.59765625" bestFit="1" customWidth="1"/>
    <col min="10" max="10" width="19" customWidth="1"/>
    <col min="21" max="21" width="12.59765625" bestFit="1" customWidth="1"/>
  </cols>
  <sheetData>
    <row r="1" spans="1:24" x14ac:dyDescent="0.4">
      <c r="A1" s="296" t="s">
        <v>283</v>
      </c>
      <c r="B1" s="297" t="s">
        <v>434</v>
      </c>
      <c r="C1" s="297" t="s">
        <v>87</v>
      </c>
      <c r="D1" s="297" t="s">
        <v>87</v>
      </c>
    </row>
    <row r="2" spans="1:24" x14ac:dyDescent="0.4">
      <c r="A2" s="297" t="s">
        <v>86</v>
      </c>
      <c r="B2" s="155" t="s">
        <v>435</v>
      </c>
      <c r="C2" s="155" t="s">
        <v>436</v>
      </c>
      <c r="D2" s="155" t="s">
        <v>437</v>
      </c>
      <c r="F2" s="79"/>
      <c r="G2" s="80" t="s">
        <v>21</v>
      </c>
      <c r="H2" s="9"/>
      <c r="J2" s="81" t="s">
        <v>16</v>
      </c>
      <c r="K2" s="81" t="s">
        <v>22</v>
      </c>
      <c r="L2" s="81" t="s">
        <v>23</v>
      </c>
      <c r="M2" s="81" t="s">
        <v>24</v>
      </c>
      <c r="N2" s="81" t="s">
        <v>25</v>
      </c>
      <c r="P2" s="8"/>
      <c r="T2" s="8" t="s">
        <v>382</v>
      </c>
      <c r="U2" s="8" t="s">
        <v>22</v>
      </c>
      <c r="V2" s="8" t="s">
        <v>23</v>
      </c>
      <c r="W2" s="8" t="s">
        <v>24</v>
      </c>
      <c r="X2" s="8" t="s">
        <v>25</v>
      </c>
    </row>
    <row r="3" spans="1:24" x14ac:dyDescent="0.4">
      <c r="A3" s="75" t="s">
        <v>88</v>
      </c>
      <c r="B3" s="76">
        <f>0.48*C3+0.52*D3</f>
        <v>2.2344000000000001E-3</v>
      </c>
      <c r="C3" s="76">
        <v>2.5100000000000001E-3</v>
      </c>
      <c r="D3" s="76">
        <v>1.98E-3</v>
      </c>
      <c r="F3" s="80" t="s">
        <v>17</v>
      </c>
      <c r="G3" s="79">
        <f>Mort_HR_MCI</f>
        <v>1.1399999999999999</v>
      </c>
      <c r="I3" s="75">
        <v>0</v>
      </c>
      <c r="J3" s="78">
        <f>1-EXP(-T3)</f>
        <v>2.2343999999999697E-3</v>
      </c>
      <c r="K3" s="78">
        <f t="shared" ref="K3:N3" si="0">1-EXP(-U3)</f>
        <v>2.5468173395848392E-3</v>
      </c>
      <c r="L3" s="78">
        <f t="shared" si="0"/>
        <v>3.461191214569892E-3</v>
      </c>
      <c r="M3" s="78">
        <f t="shared" si="0"/>
        <v>6.2437462879584293E-3</v>
      </c>
      <c r="N3" s="78">
        <f t="shared" si="0"/>
        <v>1.218338615530079E-2</v>
      </c>
      <c r="T3">
        <f>-LN(1-B3)</f>
        <v>2.2368999963687962E-3</v>
      </c>
      <c r="U3">
        <f>T3*$G$3</f>
        <v>2.5500659958604273E-3</v>
      </c>
      <c r="V3">
        <f>T3*$G$4</f>
        <v>3.4671949943716343E-3</v>
      </c>
      <c r="W3">
        <f>T3*$G$5</f>
        <v>6.2633199898326289E-3</v>
      </c>
      <c r="X3">
        <f>T3*$G$6</f>
        <v>1.2258211980101004E-2</v>
      </c>
    </row>
    <row r="4" spans="1:24" x14ac:dyDescent="0.4">
      <c r="A4" s="75" t="s">
        <v>89</v>
      </c>
      <c r="B4" s="76">
        <f t="shared" ref="B4:B67" si="1">0.48*C4+0.52*D4</f>
        <v>2.2400000000000002E-4</v>
      </c>
      <c r="C4" s="76">
        <v>2.5000000000000001E-4</v>
      </c>
      <c r="D4" s="76">
        <v>2.0000000000000001E-4</v>
      </c>
      <c r="F4" s="80" t="s">
        <v>18</v>
      </c>
      <c r="G4" s="79">
        <f>Mort_HR_Mild</f>
        <v>1.55</v>
      </c>
      <c r="I4" s="75">
        <v>1</v>
      </c>
      <c r="J4" s="78">
        <f t="shared" ref="J4:J67" si="2">1-EXP(-T4)</f>
        <v>2.2400000000000198E-4</v>
      </c>
      <c r="K4" s="78">
        <f t="shared" ref="K4:K67" si="3">1-EXP(-U4)</f>
        <v>2.5535599569803669E-4</v>
      </c>
      <c r="L4" s="78">
        <f t="shared" ref="L4:L67" si="4">1-EXP(-V4)</f>
        <v>3.4717861176136733E-4</v>
      </c>
      <c r="M4" s="78">
        <f t="shared" ref="M4:M67" si="5">1-EXP(-W4)</f>
        <v>6.270735640330205E-4</v>
      </c>
      <c r="N4" s="78">
        <f t="shared" ref="N4:N67" si="6">1-EXP(-X4)</f>
        <v>1.2269042395833818E-3</v>
      </c>
      <c r="T4">
        <f t="shared" ref="T4:T67" si="7">-LN(1-B4)</f>
        <v>2.2402509174710615E-4</v>
      </c>
      <c r="U4">
        <f t="shared" ref="U4:U67" si="8">T4*$G$3</f>
        <v>2.5538860459170098E-4</v>
      </c>
      <c r="V4">
        <f t="shared" ref="V4:V67" si="9">T4*$G$4</f>
        <v>3.4723889220801454E-4</v>
      </c>
      <c r="W4">
        <f t="shared" ref="W4:W67" si="10">T4*$G$5</f>
        <v>6.2727025689189716E-4</v>
      </c>
      <c r="X4">
        <f t="shared" ref="X4:X67" si="11">T4*$G$6</f>
        <v>1.2276575027741418E-3</v>
      </c>
    </row>
    <row r="5" spans="1:24" x14ac:dyDescent="0.4">
      <c r="A5" s="75" t="s">
        <v>90</v>
      </c>
      <c r="B5" s="76">
        <f t="shared" si="1"/>
        <v>1.7960000000000003E-4</v>
      </c>
      <c r="C5" s="76">
        <v>1.9000000000000001E-4</v>
      </c>
      <c r="D5" s="76">
        <v>1.7000000000000001E-4</v>
      </c>
      <c r="F5" s="80" t="s">
        <v>19</v>
      </c>
      <c r="G5" s="79">
        <f>Mort_HR_Moderate</f>
        <v>2.8</v>
      </c>
      <c r="I5" s="75">
        <v>2</v>
      </c>
      <c r="J5" s="78">
        <f t="shared" si="2"/>
        <v>1.7959999999994647E-4</v>
      </c>
      <c r="K5" s="78">
        <f t="shared" si="3"/>
        <v>2.0474142582582733E-4</v>
      </c>
      <c r="L5" s="78">
        <f t="shared" si="4"/>
        <v>2.7836625044130869E-4</v>
      </c>
      <c r="M5" s="78">
        <f t="shared" si="5"/>
        <v>5.0279871836966805E-4</v>
      </c>
      <c r="N5" s="78">
        <f t="shared" si="6"/>
        <v>9.8381213166609527E-4</v>
      </c>
      <c r="T5">
        <f t="shared" si="7"/>
        <v>1.7961613001127538E-4</v>
      </c>
      <c r="U5">
        <f t="shared" si="8"/>
        <v>2.0476238821285391E-4</v>
      </c>
      <c r="V5">
        <f t="shared" si="9"/>
        <v>2.7840500151747686E-4</v>
      </c>
      <c r="W5">
        <f t="shared" si="10"/>
        <v>5.0292516403157108E-4</v>
      </c>
      <c r="X5">
        <f t="shared" si="11"/>
        <v>9.8429639246178915E-4</v>
      </c>
    </row>
    <row r="6" spans="1:24" x14ac:dyDescent="0.4">
      <c r="A6" s="75" t="s">
        <v>91</v>
      </c>
      <c r="B6" s="76">
        <f t="shared" si="1"/>
        <v>1.448E-4</v>
      </c>
      <c r="C6" s="76">
        <v>1.4999999999999999E-4</v>
      </c>
      <c r="D6" s="76">
        <v>1.3999999999999999E-4</v>
      </c>
      <c r="F6" s="80" t="s">
        <v>20</v>
      </c>
      <c r="G6" s="79">
        <f>Mort_HR_Severe</f>
        <v>5.48</v>
      </c>
      <c r="H6" s="82"/>
      <c r="I6" s="75">
        <v>3</v>
      </c>
      <c r="J6" s="78">
        <f t="shared" si="2"/>
        <v>1.4479999999994497E-4</v>
      </c>
      <c r="K6" s="78">
        <f t="shared" si="3"/>
        <v>1.6507032676071898E-4</v>
      </c>
      <c r="L6" s="78">
        <f t="shared" si="4"/>
        <v>2.2443106260494616E-4</v>
      </c>
      <c r="M6" s="78">
        <f t="shared" si="5"/>
        <v>4.0538716509930239E-4</v>
      </c>
      <c r="N6" s="78">
        <f t="shared" si="6"/>
        <v>7.9324666861713133E-4</v>
      </c>
      <c r="T6">
        <f t="shared" si="7"/>
        <v>1.4481048453206401E-4</v>
      </c>
      <c r="U6">
        <f t="shared" si="8"/>
        <v>1.6508395236655295E-4</v>
      </c>
      <c r="V6">
        <f t="shared" si="9"/>
        <v>2.2445625102469923E-4</v>
      </c>
      <c r="W6">
        <f t="shared" si="10"/>
        <v>4.0546935668977921E-4</v>
      </c>
      <c r="X6">
        <f t="shared" si="11"/>
        <v>7.9356145523571081E-4</v>
      </c>
    </row>
    <row r="7" spans="1:24" x14ac:dyDescent="0.4">
      <c r="A7" s="75" t="s">
        <v>92</v>
      </c>
      <c r="B7" s="76">
        <f t="shared" si="1"/>
        <v>1.1999999999999999E-4</v>
      </c>
      <c r="C7" s="76">
        <v>1.2E-4</v>
      </c>
      <c r="D7" s="76">
        <v>1.2E-4</v>
      </c>
      <c r="I7" s="75">
        <v>4</v>
      </c>
      <c r="J7" s="78">
        <f t="shared" si="2"/>
        <v>1.2000000000000899E-4</v>
      </c>
      <c r="K7" s="78">
        <f t="shared" si="3"/>
        <v>1.3679885084050269E-4</v>
      </c>
      <c r="L7" s="78">
        <f t="shared" si="4"/>
        <v>1.8599386188955513E-4</v>
      </c>
      <c r="M7" s="78">
        <f t="shared" si="5"/>
        <v>3.3596371316124696E-4</v>
      </c>
      <c r="N7" s="78">
        <f t="shared" si="6"/>
        <v>6.5742326172357757E-4</v>
      </c>
      <c r="T7">
        <f t="shared" si="7"/>
        <v>1.2000720057606084E-4</v>
      </c>
      <c r="U7">
        <f t="shared" si="8"/>
        <v>1.3680820865670935E-4</v>
      </c>
      <c r="V7">
        <f t="shared" si="9"/>
        <v>1.8601116089289431E-4</v>
      </c>
      <c r="W7">
        <f t="shared" si="10"/>
        <v>3.3602016161297032E-4</v>
      </c>
      <c r="X7">
        <f t="shared" si="11"/>
        <v>6.5763945915681349E-4</v>
      </c>
    </row>
    <row r="8" spans="1:24" x14ac:dyDescent="0.4">
      <c r="A8" s="75" t="s">
        <v>93</v>
      </c>
      <c r="B8" s="76">
        <f t="shared" si="1"/>
        <v>1.048E-4</v>
      </c>
      <c r="C8" s="76">
        <v>1.1E-4</v>
      </c>
      <c r="D8" s="76">
        <v>1E-4</v>
      </c>
      <c r="I8" s="75">
        <v>5</v>
      </c>
      <c r="J8" s="78">
        <f t="shared" si="2"/>
        <v>1.0480000000001599E-4</v>
      </c>
      <c r="K8" s="78">
        <f t="shared" si="3"/>
        <v>1.1947112352705958E-4</v>
      </c>
      <c r="L8" s="78">
        <f t="shared" si="4"/>
        <v>1.6243531840565151E-4</v>
      </c>
      <c r="M8" s="78">
        <f t="shared" si="5"/>
        <v>2.9341232351276503E-4</v>
      </c>
      <c r="N8" s="78">
        <f t="shared" si="6"/>
        <v>5.7416919737607319E-4</v>
      </c>
      <c r="T8">
        <f t="shared" si="7"/>
        <v>1.0480549190372035E-4</v>
      </c>
      <c r="U8">
        <f t="shared" si="8"/>
        <v>1.1947826077024119E-4</v>
      </c>
      <c r="V8">
        <f t="shared" si="9"/>
        <v>1.6244851245076654E-4</v>
      </c>
      <c r="W8">
        <f t="shared" si="10"/>
        <v>2.9345537733041694E-4</v>
      </c>
      <c r="X8">
        <f t="shared" si="11"/>
        <v>5.7433409563238755E-4</v>
      </c>
    </row>
    <row r="9" spans="1:24" x14ac:dyDescent="0.4">
      <c r="A9" s="75" t="s">
        <v>94</v>
      </c>
      <c r="B9" s="76">
        <f t="shared" si="1"/>
        <v>8.9600000000000009E-5</v>
      </c>
      <c r="C9" s="76">
        <v>1E-4</v>
      </c>
      <c r="D9" s="76">
        <v>8.0000000000000007E-5</v>
      </c>
      <c r="I9" s="75">
        <v>6</v>
      </c>
      <c r="J9" s="78">
        <f t="shared" si="2"/>
        <v>8.9600000000022995E-5</v>
      </c>
      <c r="K9" s="78">
        <f t="shared" si="3"/>
        <v>1.0214335933644847E-4</v>
      </c>
      <c r="L9" s="78">
        <f t="shared" si="4"/>
        <v>1.3887657795086383E-4</v>
      </c>
      <c r="M9" s="78">
        <f t="shared" si="5"/>
        <v>2.5085976952021749E-4</v>
      </c>
      <c r="N9" s="78">
        <f t="shared" si="6"/>
        <v>4.9090946297258853E-4</v>
      </c>
      <c r="T9">
        <f t="shared" si="7"/>
        <v>8.9604014319813487E-5</v>
      </c>
      <c r="U9">
        <f t="shared" si="8"/>
        <v>1.0214857632458736E-4</v>
      </c>
      <c r="V9">
        <f t="shared" si="9"/>
        <v>1.388862221957109E-4</v>
      </c>
      <c r="W9">
        <f t="shared" si="10"/>
        <v>2.5089124009547773E-4</v>
      </c>
      <c r="X9">
        <f t="shared" si="11"/>
        <v>4.9102999847257798E-4</v>
      </c>
    </row>
    <row r="10" spans="1:24" x14ac:dyDescent="0.4">
      <c r="A10" s="75" t="s">
        <v>95</v>
      </c>
      <c r="B10" s="76">
        <f t="shared" si="1"/>
        <v>7.9599999999999997E-5</v>
      </c>
      <c r="C10" s="76">
        <v>9.0000000000000006E-5</v>
      </c>
      <c r="D10" s="76">
        <v>6.9999999999999994E-5</v>
      </c>
      <c r="I10" s="75">
        <v>7</v>
      </c>
      <c r="J10" s="78">
        <f t="shared" si="2"/>
        <v>7.9599999999957483E-5</v>
      </c>
      <c r="K10" s="78">
        <f t="shared" si="3"/>
        <v>9.07434943628882E-5</v>
      </c>
      <c r="L10" s="78">
        <f t="shared" si="4"/>
        <v>1.2337729917943907E-4</v>
      </c>
      <c r="M10" s="78">
        <f t="shared" si="5"/>
        <v>2.2286403321558623E-4</v>
      </c>
      <c r="N10" s="78">
        <f t="shared" si="6"/>
        <v>4.3613022954980263E-4</v>
      </c>
      <c r="T10">
        <f t="shared" si="7"/>
        <v>7.9603168248086961E-5</v>
      </c>
      <c r="U10">
        <f t="shared" si="8"/>
        <v>9.074761180281913E-5</v>
      </c>
      <c r="V10">
        <f t="shared" si="9"/>
        <v>1.233849107845348E-4</v>
      </c>
      <c r="W10">
        <f t="shared" si="10"/>
        <v>2.2288887109464346E-4</v>
      </c>
      <c r="X10">
        <f t="shared" si="11"/>
        <v>4.3622536199951656E-4</v>
      </c>
    </row>
    <row r="11" spans="1:24" x14ac:dyDescent="0.4">
      <c r="A11" s="75" t="s">
        <v>96</v>
      </c>
      <c r="B11" s="76">
        <f t="shared" si="1"/>
        <v>7.4399999999999992E-5</v>
      </c>
      <c r="C11" s="76">
        <v>9.0000000000000006E-5</v>
      </c>
      <c r="D11" s="76">
        <v>6.0000000000000002E-5</v>
      </c>
      <c r="I11" s="75">
        <v>8</v>
      </c>
      <c r="J11" s="78">
        <f t="shared" si="2"/>
        <v>7.4400000000029998E-5</v>
      </c>
      <c r="K11" s="78">
        <f t="shared" si="3"/>
        <v>8.4815558268891422E-5</v>
      </c>
      <c r="L11" s="78">
        <f t="shared" si="4"/>
        <v>1.1531764052652438E-4</v>
      </c>
      <c r="M11" s="78">
        <f t="shared" si="5"/>
        <v>2.0830605116961554E-4</v>
      </c>
      <c r="N11" s="78">
        <f t="shared" si="6"/>
        <v>4.0764405821303029E-4</v>
      </c>
      <c r="T11">
        <f t="shared" si="7"/>
        <v>7.4402767817314595E-5</v>
      </c>
      <c r="U11">
        <f t="shared" si="8"/>
        <v>8.4819155311738624E-5</v>
      </c>
      <c r="V11">
        <f t="shared" si="9"/>
        <v>1.1532429011683763E-4</v>
      </c>
      <c r="W11">
        <f t="shared" si="10"/>
        <v>2.0832774988848086E-4</v>
      </c>
      <c r="X11">
        <f t="shared" si="11"/>
        <v>4.0772716763888398E-4</v>
      </c>
    </row>
    <row r="12" spans="1:24" x14ac:dyDescent="0.4">
      <c r="A12" s="75" t="s">
        <v>97</v>
      </c>
      <c r="B12" s="76">
        <f t="shared" si="1"/>
        <v>7.4399999999999992E-5</v>
      </c>
      <c r="C12" s="76">
        <v>9.0000000000000006E-5</v>
      </c>
      <c r="D12" s="76">
        <v>6.0000000000000002E-5</v>
      </c>
      <c r="I12" s="75">
        <v>9</v>
      </c>
      <c r="J12" s="78">
        <f t="shared" si="2"/>
        <v>7.4400000000029998E-5</v>
      </c>
      <c r="K12" s="78">
        <f t="shared" si="3"/>
        <v>8.4815558268891422E-5</v>
      </c>
      <c r="L12" s="78">
        <f t="shared" si="4"/>
        <v>1.1531764052652438E-4</v>
      </c>
      <c r="M12" s="78">
        <f t="shared" si="5"/>
        <v>2.0830605116961554E-4</v>
      </c>
      <c r="N12" s="78">
        <f t="shared" si="6"/>
        <v>4.0764405821303029E-4</v>
      </c>
      <c r="T12">
        <f t="shared" si="7"/>
        <v>7.4402767817314595E-5</v>
      </c>
      <c r="U12">
        <f t="shared" si="8"/>
        <v>8.4819155311738624E-5</v>
      </c>
      <c r="V12">
        <f t="shared" si="9"/>
        <v>1.1532429011683763E-4</v>
      </c>
      <c r="W12">
        <f t="shared" si="10"/>
        <v>2.0832774988848086E-4</v>
      </c>
      <c r="X12">
        <f t="shared" si="11"/>
        <v>4.0772716763888398E-4</v>
      </c>
    </row>
    <row r="13" spans="1:24" x14ac:dyDescent="0.4">
      <c r="A13" s="75" t="s">
        <v>98</v>
      </c>
      <c r="B13" s="76">
        <f t="shared" si="1"/>
        <v>7.9599999999999997E-5</v>
      </c>
      <c r="C13" s="76">
        <v>9.0000000000000006E-5</v>
      </c>
      <c r="D13" s="76">
        <v>6.9999999999999994E-5</v>
      </c>
      <c r="I13" s="75">
        <v>10</v>
      </c>
      <c r="J13" s="78">
        <f t="shared" si="2"/>
        <v>7.9599999999957483E-5</v>
      </c>
      <c r="K13" s="78">
        <f t="shared" si="3"/>
        <v>9.07434943628882E-5</v>
      </c>
      <c r="L13" s="78">
        <f t="shared" si="4"/>
        <v>1.2337729917943907E-4</v>
      </c>
      <c r="M13" s="78">
        <f t="shared" si="5"/>
        <v>2.2286403321558623E-4</v>
      </c>
      <c r="N13" s="78">
        <f t="shared" si="6"/>
        <v>4.3613022954980263E-4</v>
      </c>
      <c r="T13">
        <f t="shared" si="7"/>
        <v>7.9603168248086961E-5</v>
      </c>
      <c r="U13">
        <f t="shared" si="8"/>
        <v>9.074761180281913E-5</v>
      </c>
      <c r="V13">
        <f t="shared" si="9"/>
        <v>1.233849107845348E-4</v>
      </c>
      <c r="W13">
        <f t="shared" si="10"/>
        <v>2.2288887109464346E-4</v>
      </c>
      <c r="X13">
        <f t="shared" si="11"/>
        <v>4.3622536199951656E-4</v>
      </c>
    </row>
    <row r="14" spans="1:24" x14ac:dyDescent="0.4">
      <c r="A14" s="75" t="s">
        <v>99</v>
      </c>
      <c r="B14" s="76">
        <f t="shared" si="1"/>
        <v>7.9599999999999997E-5</v>
      </c>
      <c r="C14" s="76">
        <v>9.0000000000000006E-5</v>
      </c>
      <c r="D14" s="76">
        <v>6.9999999999999994E-5</v>
      </c>
      <c r="I14" s="75">
        <v>11</v>
      </c>
      <c r="J14" s="78">
        <f t="shared" si="2"/>
        <v>7.9599999999957483E-5</v>
      </c>
      <c r="K14" s="78">
        <f t="shared" si="3"/>
        <v>9.07434943628882E-5</v>
      </c>
      <c r="L14" s="78">
        <f t="shared" si="4"/>
        <v>1.2337729917943907E-4</v>
      </c>
      <c r="M14" s="78">
        <f t="shared" si="5"/>
        <v>2.2286403321558623E-4</v>
      </c>
      <c r="N14" s="78">
        <f t="shared" si="6"/>
        <v>4.3613022954980263E-4</v>
      </c>
      <c r="T14">
        <f t="shared" si="7"/>
        <v>7.9603168248086961E-5</v>
      </c>
      <c r="U14">
        <f t="shared" si="8"/>
        <v>9.074761180281913E-5</v>
      </c>
      <c r="V14">
        <f t="shared" si="9"/>
        <v>1.233849107845348E-4</v>
      </c>
      <c r="W14">
        <f t="shared" si="10"/>
        <v>2.2288887109464346E-4</v>
      </c>
      <c r="X14">
        <f t="shared" si="11"/>
        <v>4.3622536199951656E-4</v>
      </c>
    </row>
    <row r="15" spans="1:24" x14ac:dyDescent="0.4">
      <c r="A15" s="75" t="s">
        <v>100</v>
      </c>
      <c r="B15" s="76">
        <f t="shared" si="1"/>
        <v>9.4400000000000004E-5</v>
      </c>
      <c r="C15" s="76">
        <v>1.1E-4</v>
      </c>
      <c r="D15" s="76">
        <v>8.0000000000000007E-5</v>
      </c>
      <c r="I15" s="75">
        <v>12</v>
      </c>
      <c r="J15" s="78">
        <f t="shared" si="2"/>
        <v>9.4400000000049999E-5</v>
      </c>
      <c r="K15" s="78">
        <f t="shared" si="3"/>
        <v>1.0761528885427918E-4</v>
      </c>
      <c r="L15" s="78">
        <f t="shared" si="4"/>
        <v>1.4631620147909086E-4</v>
      </c>
      <c r="M15" s="78">
        <f t="shared" si="5"/>
        <v>2.6429754393819671E-4</v>
      </c>
      <c r="N15" s="78">
        <f t="shared" si="6"/>
        <v>5.1720262325183342E-4</v>
      </c>
      <c r="T15">
        <f t="shared" si="7"/>
        <v>9.4404455960480648E-5</v>
      </c>
      <c r="U15">
        <f t="shared" si="8"/>
        <v>1.0762107979494793E-4</v>
      </c>
      <c r="V15">
        <f t="shared" si="9"/>
        <v>1.46326906738745E-4</v>
      </c>
      <c r="W15">
        <f t="shared" si="10"/>
        <v>2.6433247668934581E-4</v>
      </c>
      <c r="X15">
        <f t="shared" si="11"/>
        <v>5.1733641866343397E-4</v>
      </c>
    </row>
    <row r="16" spans="1:24" x14ac:dyDescent="0.4">
      <c r="A16" s="75" t="s">
        <v>101</v>
      </c>
      <c r="B16" s="76">
        <f t="shared" si="1"/>
        <v>1.192E-4</v>
      </c>
      <c r="C16" s="76">
        <v>1.3999999999999999E-4</v>
      </c>
      <c r="D16" s="76">
        <v>1E-4</v>
      </c>
      <c r="I16" s="75">
        <v>13</v>
      </c>
      <c r="J16" s="78">
        <f t="shared" si="2"/>
        <v>1.1919999999998598E-4</v>
      </c>
      <c r="K16" s="78">
        <f t="shared" si="3"/>
        <v>1.3588686611176737E-4</v>
      </c>
      <c r="L16" s="78">
        <f t="shared" si="4"/>
        <v>1.8475394345884855E-4</v>
      </c>
      <c r="M16" s="78">
        <f t="shared" si="5"/>
        <v>3.3372419536525921E-4</v>
      </c>
      <c r="N16" s="78">
        <f t="shared" si="6"/>
        <v>6.5304161021695339E-4</v>
      </c>
      <c r="T16">
        <f t="shared" si="7"/>
        <v>1.1920710488459309E-4</v>
      </c>
      <c r="U16">
        <f t="shared" si="8"/>
        <v>1.3589609956843611E-4</v>
      </c>
      <c r="V16">
        <f t="shared" si="9"/>
        <v>1.847710125711193E-4</v>
      </c>
      <c r="W16">
        <f t="shared" si="10"/>
        <v>3.3377989367686063E-4</v>
      </c>
      <c r="X16">
        <f t="shared" si="11"/>
        <v>6.5325493476757013E-4</v>
      </c>
    </row>
    <row r="17" spans="1:24" x14ac:dyDescent="0.4">
      <c r="A17" s="75" t="s">
        <v>102</v>
      </c>
      <c r="B17" s="76">
        <f t="shared" si="1"/>
        <v>1.44E-4</v>
      </c>
      <c r="C17" s="76">
        <v>1.7000000000000001E-4</v>
      </c>
      <c r="D17" s="76">
        <v>1.2E-4</v>
      </c>
      <c r="I17" s="75">
        <v>14</v>
      </c>
      <c r="J17" s="78">
        <f t="shared" si="2"/>
        <v>1.4400000000003299E-4</v>
      </c>
      <c r="K17" s="78">
        <f t="shared" si="3"/>
        <v>1.6415834519889483E-4</v>
      </c>
      <c r="L17" s="78">
        <f t="shared" si="4"/>
        <v>2.2319116108915349E-4</v>
      </c>
      <c r="M17" s="78">
        <f t="shared" si="5"/>
        <v>4.0314774728666958E-4</v>
      </c>
      <c r="N17" s="78">
        <f t="shared" si="6"/>
        <v>7.8886550396728428E-4</v>
      </c>
      <c r="T17">
        <f t="shared" si="7"/>
        <v>1.4401036899546851E-4</v>
      </c>
      <c r="U17">
        <f t="shared" si="8"/>
        <v>1.6417182065483408E-4</v>
      </c>
      <c r="V17">
        <f t="shared" si="9"/>
        <v>2.2321607194297619E-4</v>
      </c>
      <c r="W17">
        <f t="shared" si="10"/>
        <v>4.032290331873118E-4</v>
      </c>
      <c r="X17">
        <f t="shared" si="11"/>
        <v>7.8917682209516749E-4</v>
      </c>
    </row>
    <row r="18" spans="1:24" x14ac:dyDescent="0.4">
      <c r="A18" s="75" t="s">
        <v>103</v>
      </c>
      <c r="B18" s="76">
        <f t="shared" si="1"/>
        <v>1.8360000000000002E-4</v>
      </c>
      <c r="C18" s="76">
        <v>2.2000000000000001E-4</v>
      </c>
      <c r="D18" s="76">
        <v>1.4999999999999999E-4</v>
      </c>
      <c r="I18" s="75">
        <v>15</v>
      </c>
      <c r="J18" s="78">
        <f t="shared" si="2"/>
        <v>1.8359999999995047E-4</v>
      </c>
      <c r="K18" s="78">
        <f t="shared" si="3"/>
        <v>2.093013098833918E-4</v>
      </c>
      <c r="L18" s="78">
        <f t="shared" si="4"/>
        <v>2.8456563115997202E-4</v>
      </c>
      <c r="M18" s="78">
        <f t="shared" si="5"/>
        <v>5.1399505757965258E-4</v>
      </c>
      <c r="N18" s="78">
        <f t="shared" si="6"/>
        <v>1.0057143038899596E-3</v>
      </c>
      <c r="T18">
        <f t="shared" si="7"/>
        <v>1.8361685654322293E-4</v>
      </c>
      <c r="U18">
        <f t="shared" si="8"/>
        <v>2.0932321645927412E-4</v>
      </c>
      <c r="V18">
        <f t="shared" si="9"/>
        <v>2.8460612764199557E-4</v>
      </c>
      <c r="W18">
        <f t="shared" si="10"/>
        <v>5.1412719832102417E-4</v>
      </c>
      <c r="X18">
        <f t="shared" si="11"/>
        <v>1.0062203738568616E-3</v>
      </c>
    </row>
    <row r="19" spans="1:24" x14ac:dyDescent="0.4">
      <c r="A19" s="75" t="s">
        <v>104</v>
      </c>
      <c r="B19" s="76">
        <f t="shared" si="1"/>
        <v>2.232E-4</v>
      </c>
      <c r="C19" s="76">
        <v>2.7E-4</v>
      </c>
      <c r="D19" s="76">
        <v>1.8000000000000001E-4</v>
      </c>
      <c r="I19" s="75">
        <v>16</v>
      </c>
      <c r="J19" s="78">
        <f t="shared" si="2"/>
        <v>2.2319999999997897E-4</v>
      </c>
      <c r="K19" s="78">
        <f t="shared" si="3"/>
        <v>2.5444402425001122E-4</v>
      </c>
      <c r="L19" s="78">
        <f t="shared" si="4"/>
        <v>3.4593876426414205E-4</v>
      </c>
      <c r="M19" s="78">
        <f t="shared" si="5"/>
        <v>6.2483446550742894E-4</v>
      </c>
      <c r="N19" s="78">
        <f t="shared" si="6"/>
        <v>1.2225246294504943E-3</v>
      </c>
      <c r="T19">
        <f t="shared" si="7"/>
        <v>2.232249128270766E-4</v>
      </c>
      <c r="U19">
        <f t="shared" si="8"/>
        <v>2.544764006228673E-4</v>
      </c>
      <c r="V19">
        <f t="shared" si="9"/>
        <v>3.4599861488196872E-4</v>
      </c>
      <c r="W19">
        <f t="shared" si="10"/>
        <v>6.2502975591581446E-4</v>
      </c>
      <c r="X19">
        <f t="shared" si="11"/>
        <v>1.2232725222923798E-3</v>
      </c>
    </row>
    <row r="20" spans="1:24" x14ac:dyDescent="0.4">
      <c r="A20" s="75" t="s">
        <v>105</v>
      </c>
      <c r="B20" s="76">
        <f t="shared" si="1"/>
        <v>2.432E-4</v>
      </c>
      <c r="C20" s="76">
        <v>2.9E-4</v>
      </c>
      <c r="D20" s="76">
        <v>2.0000000000000001E-4</v>
      </c>
      <c r="I20" s="75">
        <v>17</v>
      </c>
      <c r="J20" s="78">
        <f t="shared" si="2"/>
        <v>2.4319999999999897E-4</v>
      </c>
      <c r="K20" s="78">
        <f t="shared" si="3"/>
        <v>2.7724327980094277E-4</v>
      </c>
      <c r="L20" s="78">
        <f t="shared" si="4"/>
        <v>3.769347879953866E-4</v>
      </c>
      <c r="M20" s="78">
        <f t="shared" si="5"/>
        <v>6.808109611415869E-4</v>
      </c>
      <c r="N20" s="78">
        <f t="shared" si="6"/>
        <v>1.3320101728662159E-3</v>
      </c>
      <c r="T20">
        <f t="shared" si="7"/>
        <v>2.4322957791566224E-4</v>
      </c>
      <c r="U20">
        <f t="shared" si="8"/>
        <v>2.7728171882385492E-4</v>
      </c>
      <c r="V20">
        <f t="shared" si="9"/>
        <v>3.7700584576927647E-4</v>
      </c>
      <c r="W20">
        <f t="shared" si="10"/>
        <v>6.8104281816385424E-4</v>
      </c>
      <c r="X20">
        <f t="shared" si="11"/>
        <v>1.3328980869778291E-3</v>
      </c>
    </row>
    <row r="21" spans="1:24" x14ac:dyDescent="0.4">
      <c r="A21" s="75" t="s">
        <v>106</v>
      </c>
      <c r="B21" s="76">
        <f t="shared" si="1"/>
        <v>2.5839999999999999E-4</v>
      </c>
      <c r="C21" s="76">
        <v>2.9999999999999997E-4</v>
      </c>
      <c r="D21" s="76">
        <v>2.2000000000000001E-4</v>
      </c>
      <c r="I21" s="75">
        <v>18</v>
      </c>
      <c r="J21" s="78">
        <f t="shared" si="2"/>
        <v>2.5839999999999197E-4</v>
      </c>
      <c r="K21" s="78">
        <f t="shared" si="3"/>
        <v>2.945706713145535E-4</v>
      </c>
      <c r="L21" s="78">
        <f t="shared" si="4"/>
        <v>4.0049153794552428E-4</v>
      </c>
      <c r="M21" s="78">
        <f t="shared" si="5"/>
        <v>7.2335174978332972E-4</v>
      </c>
      <c r="N21" s="78">
        <f t="shared" si="6"/>
        <v>1.4152126236592899E-3</v>
      </c>
      <c r="T21">
        <f t="shared" si="7"/>
        <v>2.5843339103227765E-4</v>
      </c>
      <c r="U21">
        <f t="shared" si="8"/>
        <v>2.9461406577679651E-4</v>
      </c>
      <c r="V21">
        <f t="shared" si="9"/>
        <v>4.0057175610003036E-4</v>
      </c>
      <c r="W21">
        <f t="shared" si="10"/>
        <v>7.2361349489037739E-4</v>
      </c>
      <c r="X21">
        <f t="shared" si="11"/>
        <v>1.4162149828568817E-3</v>
      </c>
    </row>
    <row r="22" spans="1:24" x14ac:dyDescent="0.4">
      <c r="A22" s="75" t="s">
        <v>107</v>
      </c>
      <c r="B22" s="76">
        <f t="shared" si="1"/>
        <v>2.6879999999999997E-4</v>
      </c>
      <c r="C22" s="76">
        <v>2.9999999999999997E-4</v>
      </c>
      <c r="D22" s="76">
        <v>2.4000000000000001E-4</v>
      </c>
      <c r="I22" s="75">
        <v>19</v>
      </c>
      <c r="J22" s="78">
        <f t="shared" si="2"/>
        <v>2.6879999999995796E-4</v>
      </c>
      <c r="K22" s="78">
        <f t="shared" si="3"/>
        <v>3.0642623373111633E-4</v>
      </c>
      <c r="L22" s="78">
        <f t="shared" si="4"/>
        <v>4.1660920072927876E-4</v>
      </c>
      <c r="M22" s="78">
        <f t="shared" si="5"/>
        <v>7.5245793438261099E-4</v>
      </c>
      <c r="N22" s="78">
        <f t="shared" si="6"/>
        <v>1.4721373510774294E-3</v>
      </c>
      <c r="T22">
        <f t="shared" si="7"/>
        <v>2.6883613319517158E-4</v>
      </c>
      <c r="U22">
        <f t="shared" si="8"/>
        <v>3.0647319184249559E-4</v>
      </c>
      <c r="V22">
        <f t="shared" si="9"/>
        <v>4.1669600645251597E-4</v>
      </c>
      <c r="W22">
        <f t="shared" si="10"/>
        <v>7.527411729464804E-4</v>
      </c>
      <c r="X22">
        <f t="shared" si="11"/>
        <v>1.4732220099095404E-3</v>
      </c>
    </row>
    <row r="23" spans="1:24" x14ac:dyDescent="0.4">
      <c r="A23" s="75" t="s">
        <v>108</v>
      </c>
      <c r="B23" s="76">
        <f t="shared" si="1"/>
        <v>2.8439999999999997E-4</v>
      </c>
      <c r="C23" s="76">
        <v>2.9999999999999997E-4</v>
      </c>
      <c r="D23" s="76">
        <v>2.7E-4</v>
      </c>
      <c r="I23" s="75">
        <v>20</v>
      </c>
      <c r="J23" s="78">
        <f t="shared" si="2"/>
        <v>2.8439999999996246E-4</v>
      </c>
      <c r="K23" s="78">
        <f t="shared" si="3"/>
        <v>3.2420954498157961E-4</v>
      </c>
      <c r="L23" s="78">
        <f t="shared" si="4"/>
        <v>4.4078552199677823E-4</v>
      </c>
      <c r="M23" s="78">
        <f t="shared" si="5"/>
        <v>7.9611618939112727E-4</v>
      </c>
      <c r="N23" s="78">
        <f t="shared" si="6"/>
        <v>1.5575194680697013E-3</v>
      </c>
      <c r="T23">
        <f t="shared" si="7"/>
        <v>2.8444044934934089E-4</v>
      </c>
      <c r="U23">
        <f t="shared" si="8"/>
        <v>3.2426211225824862E-4</v>
      </c>
      <c r="V23">
        <f t="shared" si="9"/>
        <v>4.4088269649147839E-4</v>
      </c>
      <c r="W23">
        <f t="shared" si="10"/>
        <v>7.9643325817815446E-4</v>
      </c>
      <c r="X23">
        <f t="shared" si="11"/>
        <v>1.5587336624343882E-3</v>
      </c>
    </row>
    <row r="24" spans="1:24" x14ac:dyDescent="0.4">
      <c r="A24" s="75" t="s">
        <v>109</v>
      </c>
      <c r="B24" s="76">
        <f t="shared" si="1"/>
        <v>3.144E-4</v>
      </c>
      <c r="C24" s="76">
        <v>3.3E-4</v>
      </c>
      <c r="D24" s="76">
        <v>2.9999999999999997E-4</v>
      </c>
      <c r="I24" s="75">
        <v>21</v>
      </c>
      <c r="J24" s="78">
        <f t="shared" si="2"/>
        <v>3.1440000000004797E-4</v>
      </c>
      <c r="K24" s="78">
        <f t="shared" si="3"/>
        <v>3.584081112696369E-4</v>
      </c>
      <c r="L24" s="78">
        <f t="shared" si="4"/>
        <v>4.8727786432567477E-4</v>
      </c>
      <c r="M24" s="78">
        <f t="shared" si="5"/>
        <v>8.8007092553743504E-4</v>
      </c>
      <c r="N24" s="78">
        <f t="shared" si="6"/>
        <v>1.7216990713218028E-3</v>
      </c>
      <c r="T24">
        <f t="shared" si="7"/>
        <v>3.1444943404169463E-4</v>
      </c>
      <c r="U24">
        <f t="shared" si="8"/>
        <v>3.5847235480753186E-4</v>
      </c>
      <c r="V24">
        <f t="shared" si="9"/>
        <v>4.8739662276462667E-4</v>
      </c>
      <c r="W24">
        <f t="shared" si="10"/>
        <v>8.8045841531674495E-4</v>
      </c>
      <c r="X24">
        <f t="shared" si="11"/>
        <v>1.7231828985484867E-3</v>
      </c>
    </row>
    <row r="25" spans="1:24" x14ac:dyDescent="0.4">
      <c r="A25" s="75" t="s">
        <v>110</v>
      </c>
      <c r="B25" s="76">
        <f t="shared" si="1"/>
        <v>3.5360000000000003E-4</v>
      </c>
      <c r="C25" s="76">
        <v>3.8999999999999999E-4</v>
      </c>
      <c r="D25" s="76">
        <v>3.2000000000000003E-4</v>
      </c>
      <c r="I25" s="75">
        <v>22</v>
      </c>
      <c r="J25" s="78">
        <f t="shared" si="2"/>
        <v>3.5359999999995395E-4</v>
      </c>
      <c r="K25" s="78">
        <f t="shared" si="3"/>
        <v>4.0309402135818573E-4</v>
      </c>
      <c r="L25" s="78">
        <f t="shared" si="4"/>
        <v>5.4802670187359404E-4</v>
      </c>
      <c r="M25" s="78">
        <f t="shared" si="5"/>
        <v>9.8976494665148351E-4</v>
      </c>
      <c r="N25" s="78">
        <f t="shared" si="6"/>
        <v>1.9361938248111388E-3</v>
      </c>
      <c r="T25">
        <f t="shared" si="7"/>
        <v>3.5366253122108158E-4</v>
      </c>
      <c r="U25">
        <f t="shared" si="8"/>
        <v>4.0317528559203296E-4</v>
      </c>
      <c r="V25">
        <f t="shared" si="9"/>
        <v>5.4817692339267649E-4</v>
      </c>
      <c r="W25">
        <f t="shared" si="10"/>
        <v>9.9025508741902839E-4</v>
      </c>
      <c r="X25">
        <f t="shared" si="11"/>
        <v>1.9380706710915273E-3</v>
      </c>
    </row>
    <row r="26" spans="1:24" x14ac:dyDescent="0.4">
      <c r="A26" s="75" t="s">
        <v>111</v>
      </c>
      <c r="B26" s="76">
        <f t="shared" si="1"/>
        <v>3.7760000000000002E-4</v>
      </c>
      <c r="C26" s="76">
        <v>4.4000000000000002E-4</v>
      </c>
      <c r="D26" s="76">
        <v>3.2000000000000003E-4</v>
      </c>
      <c r="I26" s="75">
        <v>23</v>
      </c>
      <c r="J26" s="78">
        <f t="shared" si="2"/>
        <v>3.7759999999997795E-4</v>
      </c>
      <c r="K26" s="78">
        <f t="shared" si="3"/>
        <v>4.3045262074370427E-4</v>
      </c>
      <c r="L26" s="78">
        <f t="shared" si="4"/>
        <v>5.8521922108201174E-4</v>
      </c>
      <c r="M26" s="78">
        <f t="shared" si="5"/>
        <v>1.0569207301451833E-3</v>
      </c>
      <c r="N26" s="78">
        <f t="shared" si="6"/>
        <v>2.067498546824309E-3</v>
      </c>
      <c r="T26">
        <f t="shared" si="7"/>
        <v>3.7767130883135274E-4</v>
      </c>
      <c r="U26">
        <f t="shared" si="8"/>
        <v>4.3054529206774207E-4</v>
      </c>
      <c r="V26">
        <f t="shared" si="9"/>
        <v>5.8539052868859678E-4</v>
      </c>
      <c r="W26">
        <f t="shared" si="10"/>
        <v>1.0574796647277876E-3</v>
      </c>
      <c r="X26">
        <f t="shared" si="11"/>
        <v>2.0696387723958131E-3</v>
      </c>
    </row>
    <row r="27" spans="1:24" x14ac:dyDescent="0.4">
      <c r="A27" s="75" t="s">
        <v>112</v>
      </c>
      <c r="B27" s="76">
        <f t="shared" si="1"/>
        <v>4.0679999999999997E-4</v>
      </c>
      <c r="C27" s="76">
        <v>4.8999999999999998E-4</v>
      </c>
      <c r="D27" s="76">
        <v>3.3E-4</v>
      </c>
      <c r="I27" s="75">
        <v>24</v>
      </c>
      <c r="J27" s="78">
        <f t="shared" si="2"/>
        <v>4.0680000000004046E-4</v>
      </c>
      <c r="K27" s="78">
        <f t="shared" si="3"/>
        <v>4.6373879265781959E-4</v>
      </c>
      <c r="L27" s="78">
        <f t="shared" si="4"/>
        <v>6.3046945718536751E-4</v>
      </c>
      <c r="M27" s="78">
        <f t="shared" si="5"/>
        <v>1.1386230199151859E-3</v>
      </c>
      <c r="N27" s="78">
        <f t="shared" si="6"/>
        <v>2.2272335816475586E-3</v>
      </c>
      <c r="T27">
        <f t="shared" si="7"/>
        <v>4.0688276556682327E-4</v>
      </c>
      <c r="U27">
        <f t="shared" si="8"/>
        <v>4.6384635274617848E-4</v>
      </c>
      <c r="V27">
        <f t="shared" si="9"/>
        <v>6.3066828662857604E-4</v>
      </c>
      <c r="W27">
        <f t="shared" si="10"/>
        <v>1.1392717435871052E-3</v>
      </c>
      <c r="X27">
        <f t="shared" si="11"/>
        <v>2.2297175553061916E-3</v>
      </c>
    </row>
    <row r="28" spans="1:24" x14ac:dyDescent="0.4">
      <c r="A28" s="75" t="s">
        <v>113</v>
      </c>
      <c r="B28" s="76">
        <f t="shared" si="1"/>
        <v>4.26E-4</v>
      </c>
      <c r="C28" s="76">
        <v>5.2999999999999998E-4</v>
      </c>
      <c r="D28" s="76">
        <v>3.3E-4</v>
      </c>
      <c r="I28" s="75">
        <v>25</v>
      </c>
      <c r="J28" s="78">
        <f t="shared" si="2"/>
        <v>4.2600000000003746E-4</v>
      </c>
      <c r="K28" s="78">
        <f t="shared" si="3"/>
        <v>4.8562551644637519E-4</v>
      </c>
      <c r="L28" s="78">
        <f t="shared" si="4"/>
        <v>6.6022264091136762E-4</v>
      </c>
      <c r="M28" s="78">
        <f t="shared" si="5"/>
        <v>1.1923427324327385E-3</v>
      </c>
      <c r="N28" s="78">
        <f t="shared" si="6"/>
        <v>2.3322534463319222E-3</v>
      </c>
      <c r="T28">
        <f t="shared" si="7"/>
        <v>4.2609076377786567E-4</v>
      </c>
      <c r="U28">
        <f t="shared" si="8"/>
        <v>4.8574347070676682E-4</v>
      </c>
      <c r="V28">
        <f t="shared" si="9"/>
        <v>6.6044068385569179E-4</v>
      </c>
      <c r="W28">
        <f t="shared" si="10"/>
        <v>1.1930541385780239E-3</v>
      </c>
      <c r="X28">
        <f t="shared" si="11"/>
        <v>2.3349773855027042E-3</v>
      </c>
    </row>
    <row r="29" spans="1:24" x14ac:dyDescent="0.4">
      <c r="A29" s="75" t="s">
        <v>114</v>
      </c>
      <c r="B29" s="76">
        <f t="shared" si="1"/>
        <v>4.4559999999999999E-4</v>
      </c>
      <c r="C29" s="76">
        <v>5.5999999999999995E-4</v>
      </c>
      <c r="D29" s="76">
        <v>3.4000000000000002E-4</v>
      </c>
      <c r="I29" s="75">
        <v>26</v>
      </c>
      <c r="J29" s="78">
        <f t="shared" si="2"/>
        <v>4.4560000000004596E-4</v>
      </c>
      <c r="K29" s="78">
        <f t="shared" si="3"/>
        <v>5.0796815293863151E-4</v>
      </c>
      <c r="L29" s="78">
        <f t="shared" si="4"/>
        <v>6.9059535841486941E-4</v>
      </c>
      <c r="M29" s="78">
        <f t="shared" si="5"/>
        <v>1.2471796898715359E-3</v>
      </c>
      <c r="N29" s="78">
        <f t="shared" si="6"/>
        <v>2.4394519036559092E-3</v>
      </c>
      <c r="T29">
        <f t="shared" si="7"/>
        <v>4.4569930918258955E-4</v>
      </c>
      <c r="U29">
        <f t="shared" si="8"/>
        <v>5.0809721246815201E-4</v>
      </c>
      <c r="V29">
        <f t="shared" si="9"/>
        <v>6.9083392923301385E-4</v>
      </c>
      <c r="W29">
        <f t="shared" si="10"/>
        <v>1.2479580657112506E-3</v>
      </c>
      <c r="X29">
        <f t="shared" si="11"/>
        <v>2.4424322143205908E-3</v>
      </c>
    </row>
    <row r="30" spans="1:24" x14ac:dyDescent="0.4">
      <c r="A30" s="75" t="s">
        <v>115</v>
      </c>
      <c r="B30" s="76">
        <f t="shared" si="1"/>
        <v>4.7519999999999995E-4</v>
      </c>
      <c r="C30" s="76">
        <v>5.9999999999999995E-4</v>
      </c>
      <c r="D30" s="76">
        <v>3.6000000000000002E-4</v>
      </c>
      <c r="I30" s="75">
        <v>27</v>
      </c>
      <c r="J30" s="78">
        <f t="shared" si="2"/>
        <v>4.7520000000000895E-4</v>
      </c>
      <c r="K30" s="78">
        <f t="shared" si="3"/>
        <v>5.4170997750446759E-4</v>
      </c>
      <c r="L30" s="78">
        <f t="shared" si="4"/>
        <v>7.3646373947711119E-4</v>
      </c>
      <c r="M30" s="78">
        <f t="shared" si="5"/>
        <v>1.3299910182114072E-3</v>
      </c>
      <c r="N30" s="78">
        <f t="shared" si="6"/>
        <v>2.6013256027446197E-3</v>
      </c>
      <c r="T30">
        <f t="shared" si="7"/>
        <v>4.7531294330186422E-4</v>
      </c>
      <c r="U30">
        <f t="shared" si="8"/>
        <v>5.4185675536412516E-4</v>
      </c>
      <c r="V30">
        <f t="shared" si="9"/>
        <v>7.3673506211788958E-4</v>
      </c>
      <c r="W30">
        <f t="shared" si="10"/>
        <v>1.3308762412452197E-3</v>
      </c>
      <c r="X30">
        <f t="shared" si="11"/>
        <v>2.604714929294216E-3</v>
      </c>
    </row>
    <row r="31" spans="1:24" x14ac:dyDescent="0.4">
      <c r="A31" s="75" t="s">
        <v>116</v>
      </c>
      <c r="B31" s="76">
        <f t="shared" si="1"/>
        <v>4.9440000000000009E-4</v>
      </c>
      <c r="C31" s="76">
        <v>6.4000000000000005E-4</v>
      </c>
      <c r="D31" s="76">
        <v>3.6000000000000002E-4</v>
      </c>
      <c r="I31" s="75">
        <v>28</v>
      </c>
      <c r="J31" s="78">
        <f t="shared" si="2"/>
        <v>4.9440000000000595E-4</v>
      </c>
      <c r="K31" s="78">
        <f t="shared" si="3"/>
        <v>5.6359649161230596E-4</v>
      </c>
      <c r="L31" s="78">
        <f t="shared" si="4"/>
        <v>7.6621580340474615E-4</v>
      </c>
      <c r="M31" s="78">
        <f t="shared" si="5"/>
        <v>1.3837041141838702E-3</v>
      </c>
      <c r="N31" s="78">
        <f t="shared" si="6"/>
        <v>2.7063132764089115E-3</v>
      </c>
      <c r="T31">
        <f t="shared" si="7"/>
        <v>4.9452225597723665E-4</v>
      </c>
      <c r="U31">
        <f t="shared" si="8"/>
        <v>5.6375537181404969E-4</v>
      </c>
      <c r="V31">
        <f t="shared" si="9"/>
        <v>7.6650949676471678E-4</v>
      </c>
      <c r="W31">
        <f t="shared" si="10"/>
        <v>1.3846623167362625E-3</v>
      </c>
      <c r="X31">
        <f t="shared" si="11"/>
        <v>2.7099819627552572E-3</v>
      </c>
    </row>
    <row r="32" spans="1:24" x14ac:dyDescent="0.4">
      <c r="A32" s="75" t="s">
        <v>117</v>
      </c>
      <c r="B32" s="76">
        <f t="shared" si="1"/>
        <v>5.0440000000000001E-4</v>
      </c>
      <c r="C32" s="76">
        <v>6.4999999999999997E-4</v>
      </c>
      <c r="D32" s="76">
        <v>3.6999999999999999E-4</v>
      </c>
      <c r="I32" s="75">
        <v>29</v>
      </c>
      <c r="J32" s="78">
        <f t="shared" si="2"/>
        <v>5.0439999999996044E-4</v>
      </c>
      <c r="K32" s="78">
        <f t="shared" si="3"/>
        <v>5.7499569439867226E-4</v>
      </c>
      <c r="L32" s="78">
        <f t="shared" si="4"/>
        <v>7.8171154554118605E-4</v>
      </c>
      <c r="M32" s="78">
        <f t="shared" si="5"/>
        <v>1.4116789494520443E-3</v>
      </c>
      <c r="N32" s="78">
        <f t="shared" si="6"/>
        <v>2.7609907782086829E-3</v>
      </c>
      <c r="T32">
        <f t="shared" si="7"/>
        <v>5.0452725247252428E-4</v>
      </c>
      <c r="U32">
        <f t="shared" si="8"/>
        <v>5.7516106781867768E-4</v>
      </c>
      <c r="V32">
        <f t="shared" si="9"/>
        <v>7.8201724133241269E-4</v>
      </c>
      <c r="W32">
        <f t="shared" si="10"/>
        <v>1.412676306923068E-3</v>
      </c>
      <c r="X32">
        <f t="shared" si="11"/>
        <v>2.7648093435494333E-3</v>
      </c>
    </row>
    <row r="33" spans="1:24" x14ac:dyDescent="0.4">
      <c r="A33" s="75" t="s">
        <v>118</v>
      </c>
      <c r="B33" s="76">
        <f t="shared" si="1"/>
        <v>5.1440000000000004E-4</v>
      </c>
      <c r="C33" s="76">
        <v>6.6E-4</v>
      </c>
      <c r="D33" s="76">
        <v>3.8000000000000002E-4</v>
      </c>
      <c r="I33" s="75">
        <v>30</v>
      </c>
      <c r="J33" s="78">
        <f t="shared" si="2"/>
        <v>5.1440000000002595E-4</v>
      </c>
      <c r="K33" s="78">
        <f t="shared" si="3"/>
        <v>5.8639488121825512E-4</v>
      </c>
      <c r="L33" s="78">
        <f t="shared" si="4"/>
        <v>7.9720720240838983E-4</v>
      </c>
      <c r="M33" s="78">
        <f t="shared" si="5"/>
        <v>1.4396532809238805E-3</v>
      </c>
      <c r="N33" s="78">
        <f t="shared" si="6"/>
        <v>2.8156658292758374E-3</v>
      </c>
      <c r="T33">
        <f t="shared" si="7"/>
        <v>5.1453234906887943E-4</v>
      </c>
      <c r="U33">
        <f t="shared" si="8"/>
        <v>5.8656687793852251E-4</v>
      </c>
      <c r="V33">
        <f t="shared" si="9"/>
        <v>7.9752514105676316E-4</v>
      </c>
      <c r="W33">
        <f t="shared" si="10"/>
        <v>1.4406905773928624E-3</v>
      </c>
      <c r="X33">
        <f t="shared" si="11"/>
        <v>2.8196372728974597E-3</v>
      </c>
    </row>
    <row r="34" spans="1:24" x14ac:dyDescent="0.4">
      <c r="A34" s="75" t="s">
        <v>119</v>
      </c>
      <c r="B34" s="76">
        <f t="shared" si="1"/>
        <v>5.2920000000000007E-4</v>
      </c>
      <c r="C34" s="76">
        <v>6.8000000000000005E-4</v>
      </c>
      <c r="D34" s="76">
        <v>3.8999999999999999E-4</v>
      </c>
      <c r="I34" s="75">
        <v>31</v>
      </c>
      <c r="J34" s="78">
        <f t="shared" si="2"/>
        <v>5.2920000000000744E-4</v>
      </c>
      <c r="K34" s="78">
        <f t="shared" si="3"/>
        <v>6.0326564840817998E-4</v>
      </c>
      <c r="L34" s="78">
        <f t="shared" si="4"/>
        <v>8.2014061808466376E-4</v>
      </c>
      <c r="M34" s="78">
        <f t="shared" si="5"/>
        <v>1.4810543669429022E-3</v>
      </c>
      <c r="N34" s="78">
        <f t="shared" si="6"/>
        <v>2.8965804074503332E-3</v>
      </c>
      <c r="T34">
        <f t="shared" si="7"/>
        <v>5.2934007574090877E-4</v>
      </c>
      <c r="U34">
        <f t="shared" si="8"/>
        <v>6.0344768634463598E-4</v>
      </c>
      <c r="V34">
        <f t="shared" si="9"/>
        <v>8.2047711739840861E-4</v>
      </c>
      <c r="W34">
        <f t="shared" si="10"/>
        <v>1.4821522120745444E-3</v>
      </c>
      <c r="X34">
        <f t="shared" si="11"/>
        <v>2.9007836150601804E-3</v>
      </c>
    </row>
    <row r="35" spans="1:24" x14ac:dyDescent="0.4">
      <c r="A35" s="75" t="s">
        <v>120</v>
      </c>
      <c r="B35" s="76">
        <f t="shared" si="1"/>
        <v>5.488E-4</v>
      </c>
      <c r="C35" s="76">
        <v>7.1000000000000002E-4</v>
      </c>
      <c r="D35" s="76">
        <v>4.0000000000000002E-4</v>
      </c>
      <c r="I35" s="75">
        <v>32</v>
      </c>
      <c r="J35" s="78">
        <f t="shared" si="2"/>
        <v>5.4880000000001594E-4</v>
      </c>
      <c r="K35" s="78">
        <f t="shared" si="3"/>
        <v>6.2560796193900092E-4</v>
      </c>
      <c r="L35" s="78">
        <f t="shared" si="4"/>
        <v>8.5051161084104265E-4</v>
      </c>
      <c r="M35" s="78">
        <f t="shared" si="5"/>
        <v>1.5358811338480605E-3</v>
      </c>
      <c r="N35" s="78">
        <f t="shared" si="6"/>
        <v>3.0037292903666302E-3</v>
      </c>
      <c r="T35">
        <f t="shared" si="7"/>
        <v>5.4895064583882825E-4</v>
      </c>
      <c r="U35">
        <f t="shared" si="8"/>
        <v>6.2580373625626415E-4</v>
      </c>
      <c r="V35">
        <f t="shared" si="9"/>
        <v>8.508735010501838E-4</v>
      </c>
      <c r="W35">
        <f t="shared" si="10"/>
        <v>1.5370618083487191E-3</v>
      </c>
      <c r="X35">
        <f t="shared" si="11"/>
        <v>3.008249539196779E-3</v>
      </c>
    </row>
    <row r="36" spans="1:24" x14ac:dyDescent="0.4">
      <c r="A36" s="75" t="s">
        <v>121</v>
      </c>
      <c r="B36" s="76">
        <f t="shared" si="1"/>
        <v>5.7839999999999996E-4</v>
      </c>
      <c r="C36" s="76">
        <v>7.5000000000000002E-4</v>
      </c>
      <c r="D36" s="76">
        <v>4.2000000000000002E-4</v>
      </c>
      <c r="I36" s="75">
        <v>33</v>
      </c>
      <c r="J36" s="78">
        <f t="shared" si="2"/>
        <v>5.7839999999997893E-4</v>
      </c>
      <c r="K36" s="78">
        <f t="shared" si="3"/>
        <v>6.5934929875677284E-4</v>
      </c>
      <c r="L36" s="78">
        <f t="shared" si="4"/>
        <v>8.9637738715420134E-4</v>
      </c>
      <c r="M36" s="78">
        <f t="shared" si="5"/>
        <v>1.6186770727056876E-3</v>
      </c>
      <c r="N36" s="78">
        <f t="shared" si="6"/>
        <v>3.1655281283946568E-3</v>
      </c>
      <c r="T36">
        <f t="shared" si="7"/>
        <v>5.7856733780854903E-4</v>
      </c>
      <c r="U36">
        <f t="shared" si="8"/>
        <v>6.5956676510174584E-4</v>
      </c>
      <c r="V36">
        <f t="shared" si="9"/>
        <v>8.9677937360325098E-4</v>
      </c>
      <c r="W36">
        <f t="shared" si="10"/>
        <v>1.6199885458639371E-3</v>
      </c>
      <c r="X36">
        <f t="shared" si="11"/>
        <v>3.170549011190849E-3</v>
      </c>
    </row>
    <row r="37" spans="1:24" x14ac:dyDescent="0.4">
      <c r="A37" s="75" t="s">
        <v>122</v>
      </c>
      <c r="B37" s="76">
        <f t="shared" si="1"/>
        <v>6.1800000000000006E-4</v>
      </c>
      <c r="C37" s="76">
        <v>8.0000000000000004E-4</v>
      </c>
      <c r="D37" s="76">
        <v>4.4999999999999999E-4</v>
      </c>
      <c r="I37" s="75">
        <v>34</v>
      </c>
      <c r="J37" s="78">
        <f t="shared" si="2"/>
        <v>6.1800000000000743E-4</v>
      </c>
      <c r="K37" s="78">
        <f t="shared" si="3"/>
        <v>7.0448951706381102E-4</v>
      </c>
      <c r="L37" s="78">
        <f t="shared" si="4"/>
        <v>9.5773718980052269E-4</v>
      </c>
      <c r="M37" s="78">
        <f t="shared" si="5"/>
        <v>1.72943771013645E-3</v>
      </c>
      <c r="N37" s="78">
        <f t="shared" si="6"/>
        <v>3.3819551660998481E-3</v>
      </c>
      <c r="T37">
        <f t="shared" si="7"/>
        <v>6.1819104071283591E-4</v>
      </c>
      <c r="U37">
        <f t="shared" si="8"/>
        <v>7.0473778641263292E-4</v>
      </c>
      <c r="V37">
        <f t="shared" si="9"/>
        <v>9.581961131048957E-4</v>
      </c>
      <c r="W37">
        <f t="shared" si="10"/>
        <v>1.7309349139959405E-3</v>
      </c>
      <c r="X37">
        <f t="shared" si="11"/>
        <v>3.387686903106341E-3</v>
      </c>
    </row>
    <row r="38" spans="1:24" x14ac:dyDescent="0.4">
      <c r="A38" s="75" t="s">
        <v>123</v>
      </c>
      <c r="B38" s="76">
        <f t="shared" si="1"/>
        <v>6.4280000000000001E-4</v>
      </c>
      <c r="C38" s="76">
        <v>8.3000000000000001E-4</v>
      </c>
      <c r="D38" s="76">
        <v>4.6999999999999999E-4</v>
      </c>
      <c r="I38" s="75">
        <v>35</v>
      </c>
      <c r="J38" s="78">
        <f t="shared" si="2"/>
        <v>6.4280000000005444E-4</v>
      </c>
      <c r="K38" s="78">
        <f t="shared" si="3"/>
        <v>7.3275902121350267E-4</v>
      </c>
      <c r="L38" s="78">
        <f t="shared" si="4"/>
        <v>9.9616385999257151E-4</v>
      </c>
      <c r="M38" s="78">
        <f t="shared" si="5"/>
        <v>1.7987989350520817E-3</v>
      </c>
      <c r="N38" s="78">
        <f t="shared" si="6"/>
        <v>3.517475767954914E-3</v>
      </c>
      <c r="T38">
        <f t="shared" si="7"/>
        <v>6.4300668449599656E-4</v>
      </c>
      <c r="U38">
        <f t="shared" si="8"/>
        <v>7.3302762032543601E-4</v>
      </c>
      <c r="V38">
        <f t="shared" si="9"/>
        <v>9.9666036096879469E-4</v>
      </c>
      <c r="W38">
        <f t="shared" si="10"/>
        <v>1.8004187165887903E-3</v>
      </c>
      <c r="X38">
        <f t="shared" si="11"/>
        <v>3.5236766310380615E-3</v>
      </c>
    </row>
    <row r="39" spans="1:24" x14ac:dyDescent="0.4">
      <c r="A39" s="75" t="s">
        <v>124</v>
      </c>
      <c r="B39" s="76">
        <f t="shared" si="1"/>
        <v>6.78E-4</v>
      </c>
      <c r="C39" s="76">
        <v>8.5999999999999998E-4</v>
      </c>
      <c r="D39" s="76">
        <v>5.1000000000000004E-4</v>
      </c>
      <c r="I39" s="75">
        <v>36</v>
      </c>
      <c r="J39" s="78">
        <f t="shared" si="2"/>
        <v>6.7799999999995642E-4</v>
      </c>
      <c r="K39" s="78">
        <f t="shared" si="3"/>
        <v>7.7288331008484867E-4</v>
      </c>
      <c r="L39" s="78">
        <f t="shared" si="4"/>
        <v>1.0507040397629286E-3</v>
      </c>
      <c r="M39" s="78">
        <f t="shared" si="5"/>
        <v>1.8972418057663365E-3</v>
      </c>
      <c r="N39" s="78">
        <f t="shared" si="6"/>
        <v>3.709801722978745E-3</v>
      </c>
      <c r="T39">
        <f t="shared" si="7"/>
        <v>6.7822994594139642E-4</v>
      </c>
      <c r="U39">
        <f t="shared" si="8"/>
        <v>7.7318213837319189E-4</v>
      </c>
      <c r="V39">
        <f t="shared" si="9"/>
        <v>1.0512564162091646E-3</v>
      </c>
      <c r="W39">
        <f t="shared" si="10"/>
        <v>1.8990438486359098E-3</v>
      </c>
      <c r="X39">
        <f t="shared" si="11"/>
        <v>3.7167001037588525E-3</v>
      </c>
    </row>
    <row r="40" spans="1:24" x14ac:dyDescent="0.4">
      <c r="A40" s="75" t="s">
        <v>125</v>
      </c>
      <c r="B40" s="76">
        <f t="shared" si="1"/>
        <v>7.3280000000000003E-4</v>
      </c>
      <c r="C40" s="76">
        <v>9.2000000000000003E-4</v>
      </c>
      <c r="D40" s="76">
        <v>5.5999999999999995E-4</v>
      </c>
      <c r="I40" s="75">
        <v>37</v>
      </c>
      <c r="J40" s="78">
        <f t="shared" si="2"/>
        <v>7.3279999999997791E-4</v>
      </c>
      <c r="K40" s="78">
        <f t="shared" si="3"/>
        <v>8.3534913872695959E-4</v>
      </c>
      <c r="L40" s="78">
        <f t="shared" si="4"/>
        <v>1.1356110803564246E-3</v>
      </c>
      <c r="M40" s="78">
        <f t="shared" si="5"/>
        <v>2.050487034931936E-3</v>
      </c>
      <c r="N40" s="78">
        <f t="shared" si="6"/>
        <v>4.0091578694074759E-3</v>
      </c>
      <c r="T40">
        <f t="shared" si="7"/>
        <v>7.330686291622952E-4</v>
      </c>
      <c r="U40">
        <f t="shared" si="8"/>
        <v>8.3569823724501645E-4</v>
      </c>
      <c r="V40">
        <f t="shared" si="9"/>
        <v>1.1362563752015575E-3</v>
      </c>
      <c r="W40">
        <f t="shared" si="10"/>
        <v>2.0525921616544266E-3</v>
      </c>
      <c r="X40">
        <f t="shared" si="11"/>
        <v>4.0172160878093784E-3</v>
      </c>
    </row>
    <row r="41" spans="1:24" x14ac:dyDescent="0.4">
      <c r="A41" s="75" t="s">
        <v>126</v>
      </c>
      <c r="B41" s="76">
        <f t="shared" si="1"/>
        <v>8.0199999999999998E-4</v>
      </c>
      <c r="C41" s="76">
        <v>1.01E-3</v>
      </c>
      <c r="D41" s="76">
        <v>6.0999999999999997E-4</v>
      </c>
      <c r="I41" s="75">
        <v>38</v>
      </c>
      <c r="J41" s="78">
        <f t="shared" si="2"/>
        <v>8.019999999999694E-4</v>
      </c>
      <c r="K41" s="78">
        <f t="shared" si="3"/>
        <v>9.1422866051582563E-4</v>
      </c>
      <c r="L41" s="78">
        <f t="shared" si="4"/>
        <v>1.2428258013031934E-3</v>
      </c>
      <c r="M41" s="78">
        <f t="shared" si="5"/>
        <v>2.2439794725847007E-3</v>
      </c>
      <c r="N41" s="78">
        <f t="shared" si="6"/>
        <v>4.3870718839097433E-3</v>
      </c>
      <c r="T41">
        <f t="shared" si="7"/>
        <v>8.0232177405333298E-4</v>
      </c>
      <c r="U41">
        <f t="shared" si="8"/>
        <v>9.1464682242079951E-4</v>
      </c>
      <c r="V41">
        <f t="shared" si="9"/>
        <v>1.2435987497826661E-3</v>
      </c>
      <c r="W41">
        <f t="shared" si="10"/>
        <v>2.2465009673493324E-3</v>
      </c>
      <c r="X41">
        <f t="shared" si="11"/>
        <v>4.3967233218122652E-3</v>
      </c>
    </row>
    <row r="42" spans="1:24" x14ac:dyDescent="0.4">
      <c r="A42" s="75" t="s">
        <v>127</v>
      </c>
      <c r="B42" s="76">
        <f t="shared" si="1"/>
        <v>8.9079999999999997E-4</v>
      </c>
      <c r="C42" s="76">
        <v>1.1299999999999999E-3</v>
      </c>
      <c r="D42" s="76">
        <v>6.7000000000000002E-4</v>
      </c>
      <c r="I42" s="75">
        <v>39</v>
      </c>
      <c r="J42" s="78">
        <f t="shared" si="2"/>
        <v>8.9079999999996939E-4</v>
      </c>
      <c r="K42" s="78">
        <f t="shared" si="3"/>
        <v>1.0154486605565838E-3</v>
      </c>
      <c r="L42" s="78">
        <f t="shared" si="4"/>
        <v>1.3804017149119385E-3</v>
      </c>
      <c r="M42" s="78">
        <f t="shared" si="5"/>
        <v>2.4922407929460766E-3</v>
      </c>
      <c r="N42" s="78">
        <f t="shared" si="6"/>
        <v>4.8718533860921953E-3</v>
      </c>
      <c r="T42">
        <f t="shared" si="7"/>
        <v>8.9119699810141838E-4</v>
      </c>
      <c r="U42">
        <f t="shared" si="8"/>
        <v>1.0159645778356169E-3</v>
      </c>
      <c r="V42">
        <f t="shared" si="9"/>
        <v>1.3813553470571984E-3</v>
      </c>
      <c r="W42">
        <f t="shared" si="10"/>
        <v>2.4953515946839712E-3</v>
      </c>
      <c r="X42">
        <f t="shared" si="11"/>
        <v>4.8837595495957731E-3</v>
      </c>
    </row>
    <row r="43" spans="1:24" x14ac:dyDescent="0.4">
      <c r="A43" s="75" t="s">
        <v>128</v>
      </c>
      <c r="B43" s="76">
        <f t="shared" si="1"/>
        <v>9.7959999999999996E-4</v>
      </c>
      <c r="C43" s="76">
        <v>1.25E-3</v>
      </c>
      <c r="D43" s="76">
        <v>7.2999999999999996E-4</v>
      </c>
      <c r="I43" s="75">
        <v>40</v>
      </c>
      <c r="J43" s="78">
        <f t="shared" si="2"/>
        <v>9.7959999999996938E-4</v>
      </c>
      <c r="K43" s="78">
        <f t="shared" si="3"/>
        <v>1.1166674011162669E-3</v>
      </c>
      <c r="L43" s="78">
        <f t="shared" si="4"/>
        <v>1.5179709034865985E-3</v>
      </c>
      <c r="M43" s="78">
        <f t="shared" si="5"/>
        <v>2.7404623990144872E-3</v>
      </c>
      <c r="N43" s="78">
        <f t="shared" si="6"/>
        <v>5.356441897032771E-3</v>
      </c>
      <c r="T43">
        <f t="shared" si="7"/>
        <v>9.8008012165702921E-4</v>
      </c>
      <c r="U43">
        <f t="shared" si="8"/>
        <v>1.1172913386890131E-3</v>
      </c>
      <c r="V43">
        <f t="shared" si="9"/>
        <v>1.5191241885683952E-3</v>
      </c>
      <c r="W43">
        <f t="shared" si="10"/>
        <v>2.7442243406396818E-3</v>
      </c>
      <c r="X43">
        <f t="shared" si="11"/>
        <v>5.3708390666805201E-3</v>
      </c>
    </row>
    <row r="44" spans="1:24" x14ac:dyDescent="0.4">
      <c r="A44" s="75" t="s">
        <v>129</v>
      </c>
      <c r="B44" s="76">
        <f t="shared" si="1"/>
        <v>1.0584000000000001E-3</v>
      </c>
      <c r="C44" s="76">
        <v>1.3600000000000001E-3</v>
      </c>
      <c r="D44" s="76">
        <v>7.7999999999999999E-4</v>
      </c>
      <c r="I44" s="75">
        <v>41</v>
      </c>
      <c r="J44" s="78">
        <f t="shared" si="2"/>
        <v>1.0584000000000149E-3</v>
      </c>
      <c r="K44" s="78">
        <f t="shared" si="3"/>
        <v>1.2064865800615054E-3</v>
      </c>
      <c r="L44" s="78">
        <f t="shared" si="4"/>
        <v>1.6400424344134024E-3</v>
      </c>
      <c r="M44" s="78">
        <f t="shared" si="5"/>
        <v>2.9606978661749217E-3</v>
      </c>
      <c r="N44" s="78">
        <f t="shared" si="6"/>
        <v>5.7862980627318983E-3</v>
      </c>
      <c r="T44">
        <f t="shared" si="7"/>
        <v>1.0589605008042842E-3</v>
      </c>
      <c r="U44">
        <f t="shared" si="8"/>
        <v>1.2072149709168839E-3</v>
      </c>
      <c r="V44">
        <f t="shared" si="9"/>
        <v>1.6413887762466405E-3</v>
      </c>
      <c r="W44">
        <f t="shared" si="10"/>
        <v>2.9650894022519953E-3</v>
      </c>
      <c r="X44">
        <f t="shared" si="11"/>
        <v>5.8031035444074779E-3</v>
      </c>
    </row>
    <row r="45" spans="1:24" x14ac:dyDescent="0.4">
      <c r="A45" s="75" t="s">
        <v>130</v>
      </c>
      <c r="B45" s="76">
        <f t="shared" si="1"/>
        <v>1.1271999999999999E-3</v>
      </c>
      <c r="C45" s="76">
        <v>1.4599999999999999E-3</v>
      </c>
      <c r="D45" s="76">
        <v>8.1999999999999998E-4</v>
      </c>
      <c r="I45" s="75">
        <v>42</v>
      </c>
      <c r="J45" s="78">
        <f t="shared" si="2"/>
        <v>1.1271999999999949E-3</v>
      </c>
      <c r="K45" s="78">
        <f t="shared" si="3"/>
        <v>1.2849065749486188E-3</v>
      </c>
      <c r="L45" s="78">
        <f t="shared" si="4"/>
        <v>1.7466183237345723E-3</v>
      </c>
      <c r="M45" s="78">
        <f t="shared" si="5"/>
        <v>3.152959101294206E-3</v>
      </c>
      <c r="N45" s="78">
        <f t="shared" si="6"/>
        <v>6.1614797574943703E-3</v>
      </c>
      <c r="T45">
        <f t="shared" si="7"/>
        <v>1.1278357677231509E-3</v>
      </c>
      <c r="U45">
        <f t="shared" si="8"/>
        <v>1.2857327752043919E-3</v>
      </c>
      <c r="V45">
        <f t="shared" si="9"/>
        <v>1.7481454399708839E-3</v>
      </c>
      <c r="W45">
        <f t="shared" si="10"/>
        <v>3.1579401496248222E-3</v>
      </c>
      <c r="X45">
        <f t="shared" si="11"/>
        <v>6.1805400071228674E-3</v>
      </c>
    </row>
    <row r="46" spans="1:24" x14ac:dyDescent="0.4">
      <c r="A46" s="75" t="s">
        <v>131</v>
      </c>
      <c r="B46" s="76">
        <f t="shared" si="1"/>
        <v>1.206E-3</v>
      </c>
      <c r="C46" s="76">
        <v>1.57E-3</v>
      </c>
      <c r="D46" s="76">
        <v>8.7000000000000001E-4</v>
      </c>
      <c r="I46" s="75">
        <v>43</v>
      </c>
      <c r="J46" s="78">
        <f t="shared" si="2"/>
        <v>1.2060000000000404E-3</v>
      </c>
      <c r="K46" s="78">
        <f t="shared" si="3"/>
        <v>1.3747238958591312E-3</v>
      </c>
      <c r="L46" s="78">
        <f t="shared" si="4"/>
        <v>1.8686799344564964E-3</v>
      </c>
      <c r="M46" s="78">
        <f t="shared" si="5"/>
        <v>3.3731360000727184E-3</v>
      </c>
      <c r="N46" s="78">
        <f t="shared" si="6"/>
        <v>6.5910514648667151E-3</v>
      </c>
      <c r="T46">
        <f t="shared" si="7"/>
        <v>1.2067278032126692E-3</v>
      </c>
      <c r="U46">
        <f t="shared" si="8"/>
        <v>1.3756696956624427E-3</v>
      </c>
      <c r="V46">
        <f t="shared" si="9"/>
        <v>1.8704280949796374E-3</v>
      </c>
      <c r="W46">
        <f t="shared" si="10"/>
        <v>3.3788378489954737E-3</v>
      </c>
      <c r="X46">
        <f t="shared" si="11"/>
        <v>6.6128683616054279E-3</v>
      </c>
    </row>
    <row r="47" spans="1:24" x14ac:dyDescent="0.4">
      <c r="A47" s="75" t="s">
        <v>132</v>
      </c>
      <c r="B47" s="76">
        <f t="shared" si="1"/>
        <v>1.2899999999999999E-3</v>
      </c>
      <c r="C47" s="76">
        <v>1.6800000000000001E-3</v>
      </c>
      <c r="D47" s="76">
        <v>9.3000000000000005E-4</v>
      </c>
      <c r="I47" s="75">
        <v>44</v>
      </c>
      <c r="J47" s="78">
        <f t="shared" si="2"/>
        <v>1.2900000000000134E-3</v>
      </c>
      <c r="K47" s="78">
        <f t="shared" si="3"/>
        <v>1.4704671556828863E-3</v>
      </c>
      <c r="L47" s="78">
        <f t="shared" si="4"/>
        <v>1.9987905400569161E-3</v>
      </c>
      <c r="M47" s="78">
        <f t="shared" si="5"/>
        <v>3.6078079106681704E-3</v>
      </c>
      <c r="N47" s="78">
        <f t="shared" si="6"/>
        <v>7.0488033824445129E-3</v>
      </c>
      <c r="T47">
        <f t="shared" si="7"/>
        <v>1.2908327662560358E-3</v>
      </c>
      <c r="U47">
        <f t="shared" si="8"/>
        <v>1.4715493535318808E-3</v>
      </c>
      <c r="V47">
        <f t="shared" si="9"/>
        <v>2.0007907876968558E-3</v>
      </c>
      <c r="W47">
        <f t="shared" si="10"/>
        <v>3.6143317455169001E-3</v>
      </c>
      <c r="X47">
        <f t="shared" si="11"/>
        <v>7.073763559083077E-3</v>
      </c>
    </row>
    <row r="48" spans="1:24" x14ac:dyDescent="0.4">
      <c r="A48" s="75" t="s">
        <v>133</v>
      </c>
      <c r="B48" s="76">
        <f t="shared" si="1"/>
        <v>1.3892000000000002E-3</v>
      </c>
      <c r="C48" s="76">
        <v>1.8E-3</v>
      </c>
      <c r="D48" s="76">
        <v>1.01E-3</v>
      </c>
      <c r="I48" s="75">
        <v>45</v>
      </c>
      <c r="J48" s="78">
        <f t="shared" si="2"/>
        <v>1.3891999999999793E-3</v>
      </c>
      <c r="K48" s="78">
        <f t="shared" si="3"/>
        <v>1.5835339344743016E-3</v>
      </c>
      <c r="L48" s="78">
        <f t="shared" si="4"/>
        <v>2.1524372185803831E-3</v>
      </c>
      <c r="M48" s="78">
        <f t="shared" si="5"/>
        <v>3.8848985126139768E-3</v>
      </c>
      <c r="N48" s="78">
        <f t="shared" si="6"/>
        <v>7.5891645205637959E-3</v>
      </c>
      <c r="T48">
        <f t="shared" si="7"/>
        <v>1.3901658329136641E-3</v>
      </c>
      <c r="U48">
        <f t="shared" si="8"/>
        <v>1.584789049521577E-3</v>
      </c>
      <c r="V48">
        <f t="shared" si="9"/>
        <v>2.1547570410161794E-3</v>
      </c>
      <c r="W48">
        <f t="shared" si="10"/>
        <v>3.8924643321582592E-3</v>
      </c>
      <c r="X48">
        <f t="shared" si="11"/>
        <v>7.6181087643668799E-3</v>
      </c>
    </row>
    <row r="49" spans="1:24" x14ac:dyDescent="0.4">
      <c r="A49" s="75" t="s">
        <v>134</v>
      </c>
      <c r="B49" s="76">
        <f t="shared" si="1"/>
        <v>1.5176E-3</v>
      </c>
      <c r="C49" s="76">
        <v>1.97E-3</v>
      </c>
      <c r="D49" s="76">
        <v>1.1000000000000001E-3</v>
      </c>
      <c r="I49" s="75">
        <v>46</v>
      </c>
      <c r="J49" s="78">
        <f t="shared" si="2"/>
        <v>1.5176000000000078E-3</v>
      </c>
      <c r="K49" s="78">
        <f t="shared" si="3"/>
        <v>1.7298801318285095E-3</v>
      </c>
      <c r="L49" s="78">
        <f t="shared" si="4"/>
        <v>2.3512980758674251E-3</v>
      </c>
      <c r="M49" s="78">
        <f t="shared" si="5"/>
        <v>4.2434785123570684E-3</v>
      </c>
      <c r="N49" s="78">
        <f t="shared" si="6"/>
        <v>8.2882265892216811E-3</v>
      </c>
      <c r="T49">
        <f t="shared" si="7"/>
        <v>1.5187527212741558E-3</v>
      </c>
      <c r="U49">
        <f t="shared" si="8"/>
        <v>1.7313781022525374E-3</v>
      </c>
      <c r="V49">
        <f t="shared" si="9"/>
        <v>2.3540667179749414E-3</v>
      </c>
      <c r="W49">
        <f t="shared" si="10"/>
        <v>4.2525076195676359E-3</v>
      </c>
      <c r="X49">
        <f t="shared" si="11"/>
        <v>8.3227649125823741E-3</v>
      </c>
    </row>
    <row r="50" spans="1:24" x14ac:dyDescent="0.4">
      <c r="A50" s="75" t="s">
        <v>135</v>
      </c>
      <c r="B50" s="76">
        <f t="shared" si="1"/>
        <v>1.6648000000000001E-3</v>
      </c>
      <c r="C50" s="76">
        <v>2.1900000000000001E-3</v>
      </c>
      <c r="D50" s="76">
        <v>1.1800000000000001E-3</v>
      </c>
      <c r="I50" s="75">
        <v>47</v>
      </c>
      <c r="J50" s="78">
        <f t="shared" si="2"/>
        <v>1.6648000000000218E-3</v>
      </c>
      <c r="K50" s="78">
        <f t="shared" si="3"/>
        <v>1.897650723954869E-3</v>
      </c>
      <c r="L50" s="78">
        <f t="shared" si="4"/>
        <v>2.5792583277676195E-3</v>
      </c>
      <c r="M50" s="78">
        <f t="shared" si="5"/>
        <v>4.6544587721469854E-3</v>
      </c>
      <c r="N50" s="78">
        <f t="shared" si="6"/>
        <v>9.0891481918098371E-3</v>
      </c>
      <c r="T50">
        <f t="shared" si="7"/>
        <v>1.6661873194734646E-3</v>
      </c>
      <c r="U50">
        <f t="shared" si="8"/>
        <v>1.8994535441997494E-3</v>
      </c>
      <c r="V50">
        <f t="shared" si="9"/>
        <v>2.5825903451838703E-3</v>
      </c>
      <c r="W50">
        <f t="shared" si="10"/>
        <v>4.6653244945257001E-3</v>
      </c>
      <c r="X50">
        <f t="shared" si="11"/>
        <v>9.1307065107145858E-3</v>
      </c>
    </row>
    <row r="51" spans="1:24" x14ac:dyDescent="0.4">
      <c r="A51" s="75" t="s">
        <v>136</v>
      </c>
      <c r="B51" s="76">
        <f t="shared" si="1"/>
        <v>1.8116E-3</v>
      </c>
      <c r="C51" s="76">
        <v>2.4199999999999998E-3</v>
      </c>
      <c r="D51" s="76">
        <v>1.25E-3</v>
      </c>
      <c r="I51" s="75">
        <v>48</v>
      </c>
      <c r="J51" s="78">
        <f t="shared" si="2"/>
        <v>1.8116000000000243E-3</v>
      </c>
      <c r="K51" s="78">
        <f t="shared" si="3"/>
        <v>2.0649619686906595E-3</v>
      </c>
      <c r="L51" s="78">
        <f t="shared" si="4"/>
        <v>2.8065807120548625E-3</v>
      </c>
      <c r="M51" s="78">
        <f t="shared" si="5"/>
        <v>5.0642136214336109E-3</v>
      </c>
      <c r="N51" s="78">
        <f t="shared" si="6"/>
        <v>9.8873666519314618E-3</v>
      </c>
      <c r="T51">
        <f t="shared" si="7"/>
        <v>1.8132429318033689E-3</v>
      </c>
      <c r="U51">
        <f t="shared" si="8"/>
        <v>2.0670969422558402E-3</v>
      </c>
      <c r="V51">
        <f t="shared" si="9"/>
        <v>2.810526544295222E-3</v>
      </c>
      <c r="W51">
        <f t="shared" si="10"/>
        <v>5.0770802090494326E-3</v>
      </c>
      <c r="X51">
        <f t="shared" si="11"/>
        <v>9.936571266282463E-3</v>
      </c>
    </row>
    <row r="52" spans="1:24" x14ac:dyDescent="0.4">
      <c r="A52" s="75" t="s">
        <v>137</v>
      </c>
      <c r="B52" s="76">
        <f t="shared" si="1"/>
        <v>1.9532E-3</v>
      </c>
      <c r="C52" s="76">
        <v>2.65E-3</v>
      </c>
      <c r="D52" s="76">
        <v>1.31E-3</v>
      </c>
      <c r="I52" s="75">
        <v>49</v>
      </c>
      <c r="J52" s="78">
        <f t="shared" si="2"/>
        <v>1.9531999999999883E-3</v>
      </c>
      <c r="K52" s="78">
        <f t="shared" si="3"/>
        <v>2.2263433931647425E-3</v>
      </c>
      <c r="L52" s="78">
        <f t="shared" si="4"/>
        <v>3.0258333836461482E-3</v>
      </c>
      <c r="M52" s="78">
        <f t="shared" si="5"/>
        <v>5.4593512324513371E-3</v>
      </c>
      <c r="N52" s="78">
        <f t="shared" si="6"/>
        <v>1.0656812206159216E-2</v>
      </c>
      <c r="T52">
        <f t="shared" si="7"/>
        <v>1.9551099825771993E-3</v>
      </c>
      <c r="U52">
        <f t="shared" si="8"/>
        <v>2.2288253801380068E-3</v>
      </c>
      <c r="V52">
        <f t="shared" si="9"/>
        <v>3.0304204729946589E-3</v>
      </c>
      <c r="W52">
        <f t="shared" si="10"/>
        <v>5.4743079512161574E-3</v>
      </c>
      <c r="X52">
        <f t="shared" si="11"/>
        <v>1.0714002704523053E-2</v>
      </c>
    </row>
    <row r="53" spans="1:24" x14ac:dyDescent="0.4">
      <c r="A53" s="75" t="s">
        <v>138</v>
      </c>
      <c r="B53" s="76">
        <f t="shared" si="1"/>
        <v>2.0892000000000003E-3</v>
      </c>
      <c r="C53" s="76">
        <v>2.8900000000000002E-3</v>
      </c>
      <c r="D53" s="76">
        <v>1.3500000000000001E-3</v>
      </c>
      <c r="I53" s="75">
        <v>50</v>
      </c>
      <c r="J53" s="78">
        <f t="shared" si="2"/>
        <v>2.0892000000000133E-3</v>
      </c>
      <c r="K53" s="78">
        <f t="shared" si="3"/>
        <v>2.3813394836144086E-3</v>
      </c>
      <c r="L53" s="78">
        <f t="shared" si="4"/>
        <v>3.2363989390037373E-3</v>
      </c>
      <c r="M53" s="78">
        <f t="shared" si="5"/>
        <v>5.8387669417745425E-3</v>
      </c>
      <c r="N53" s="78">
        <f t="shared" si="6"/>
        <v>1.139536741662206E-2</v>
      </c>
      <c r="T53">
        <f t="shared" si="7"/>
        <v>2.0913854227072866E-3</v>
      </c>
      <c r="U53">
        <f t="shared" si="8"/>
        <v>2.3841793818863066E-3</v>
      </c>
      <c r="V53">
        <f t="shared" si="9"/>
        <v>3.2416474051962943E-3</v>
      </c>
      <c r="W53">
        <f t="shared" si="10"/>
        <v>5.8558791835804022E-3</v>
      </c>
      <c r="X53">
        <f t="shared" si="11"/>
        <v>1.1460792116435931E-2</v>
      </c>
    </row>
    <row r="54" spans="1:24" x14ac:dyDescent="0.4">
      <c r="A54" s="75" t="s">
        <v>139</v>
      </c>
      <c r="B54" s="76">
        <f t="shared" si="1"/>
        <v>2.2300000000000002E-3</v>
      </c>
      <c r="C54" s="76">
        <v>3.14E-3</v>
      </c>
      <c r="D54" s="76">
        <v>1.39E-3</v>
      </c>
      <c r="I54" s="75">
        <v>51</v>
      </c>
      <c r="J54" s="78">
        <f t="shared" si="2"/>
        <v>2.2299999999999542E-3</v>
      </c>
      <c r="K54" s="78">
        <f t="shared" si="3"/>
        <v>2.5418029086315963E-3</v>
      </c>
      <c r="L54" s="78">
        <f t="shared" si="4"/>
        <v>3.4543795917619802E-3</v>
      </c>
      <c r="M54" s="78">
        <f t="shared" si="5"/>
        <v>6.231475745020254E-3</v>
      </c>
      <c r="N54" s="78">
        <f t="shared" si="6"/>
        <v>1.2159514346659073E-2</v>
      </c>
      <c r="T54">
        <f t="shared" si="7"/>
        <v>2.2324901527157712E-3</v>
      </c>
      <c r="U54">
        <f t="shared" si="8"/>
        <v>2.5450387740959791E-3</v>
      </c>
      <c r="V54">
        <f t="shared" si="9"/>
        <v>3.4603597367094453E-3</v>
      </c>
      <c r="W54">
        <f t="shared" si="10"/>
        <v>6.2509724276041592E-3</v>
      </c>
      <c r="X54">
        <f t="shared" si="11"/>
        <v>1.2234046036882428E-2</v>
      </c>
    </row>
    <row r="55" spans="1:24" x14ac:dyDescent="0.4">
      <c r="A55" s="75" t="s">
        <v>140</v>
      </c>
      <c r="B55" s="76">
        <f t="shared" si="1"/>
        <v>2.4196E-3</v>
      </c>
      <c r="C55" s="76">
        <v>3.47E-3</v>
      </c>
      <c r="D55" s="76">
        <v>1.4499999999999999E-3</v>
      </c>
      <c r="I55" s="75">
        <v>52</v>
      </c>
      <c r="J55" s="78">
        <f t="shared" si="2"/>
        <v>2.4195999999999662E-3</v>
      </c>
      <c r="K55" s="78">
        <f t="shared" si="3"/>
        <v>2.7578764893457786E-3</v>
      </c>
      <c r="L55" s="78">
        <f t="shared" si="4"/>
        <v>3.7478836281522598E-3</v>
      </c>
      <c r="M55" s="78">
        <f t="shared" si="5"/>
        <v>6.7601362706590784E-3</v>
      </c>
      <c r="N55" s="78">
        <f t="shared" si="6"/>
        <v>1.3187744684463487E-2</v>
      </c>
      <c r="T55">
        <f t="shared" si="7"/>
        <v>2.4225319624857672E-3</v>
      </c>
      <c r="U55">
        <f t="shared" si="8"/>
        <v>2.7616864372337745E-3</v>
      </c>
      <c r="V55">
        <f t="shared" si="9"/>
        <v>3.7549245418529394E-3</v>
      </c>
      <c r="W55">
        <f t="shared" si="10"/>
        <v>6.7830894949601475E-3</v>
      </c>
      <c r="X55">
        <f t="shared" si="11"/>
        <v>1.3275475154422005E-2</v>
      </c>
    </row>
    <row r="56" spans="1:24" x14ac:dyDescent="0.4">
      <c r="A56" s="75" t="s">
        <v>141</v>
      </c>
      <c r="B56" s="76">
        <f t="shared" si="1"/>
        <v>2.6540000000000001E-3</v>
      </c>
      <c r="C56" s="76">
        <v>3.8500000000000001E-3</v>
      </c>
      <c r="D56" s="76">
        <v>1.5499999999999999E-3</v>
      </c>
      <c r="I56" s="75">
        <v>53</v>
      </c>
      <c r="J56" s="78">
        <f t="shared" si="2"/>
        <v>2.6540000000000452E-3</v>
      </c>
      <c r="K56" s="78">
        <f t="shared" si="3"/>
        <v>3.0249974832902149E-3</v>
      </c>
      <c r="L56" s="78">
        <f t="shared" si="4"/>
        <v>4.1106964196545581E-3</v>
      </c>
      <c r="M56" s="78">
        <f t="shared" si="5"/>
        <v>7.4134623997311744E-3</v>
      </c>
      <c r="N56" s="78">
        <f t="shared" si="6"/>
        <v>1.4457722728213218E-2</v>
      </c>
      <c r="T56">
        <f t="shared" si="7"/>
        <v>2.6575281017706771E-3</v>
      </c>
      <c r="U56">
        <f t="shared" si="8"/>
        <v>3.0295820360185717E-3</v>
      </c>
      <c r="V56">
        <f t="shared" si="9"/>
        <v>4.1191685577445496E-3</v>
      </c>
      <c r="W56">
        <f t="shared" si="10"/>
        <v>7.4410786849578954E-3</v>
      </c>
      <c r="X56">
        <f t="shared" si="11"/>
        <v>1.4563253997703312E-2</v>
      </c>
    </row>
    <row r="57" spans="1:24" x14ac:dyDescent="0.4">
      <c r="A57" s="75" t="s">
        <v>142</v>
      </c>
      <c r="B57" s="76">
        <f t="shared" si="1"/>
        <v>2.9183999999999998E-3</v>
      </c>
      <c r="C57" s="76">
        <v>4.2599999999999999E-3</v>
      </c>
      <c r="D57" s="76">
        <v>1.6800000000000001E-3</v>
      </c>
      <c r="I57" s="75">
        <v>54</v>
      </c>
      <c r="J57" s="78">
        <f t="shared" si="2"/>
        <v>2.9183999999999877E-3</v>
      </c>
      <c r="K57" s="78">
        <f t="shared" si="3"/>
        <v>3.3262957693439565E-3</v>
      </c>
      <c r="L57" s="78">
        <f t="shared" si="4"/>
        <v>4.5198880128628494E-3</v>
      </c>
      <c r="M57" s="78">
        <f t="shared" si="5"/>
        <v>8.1500737182232941E-3</v>
      </c>
      <c r="N57" s="78">
        <f t="shared" si="6"/>
        <v>1.5888636695874481E-2</v>
      </c>
      <c r="T57">
        <f t="shared" si="7"/>
        <v>2.9226668328520698E-3</v>
      </c>
      <c r="U57">
        <f t="shared" si="8"/>
        <v>3.3318401894513595E-3</v>
      </c>
      <c r="V57">
        <f t="shared" si="9"/>
        <v>4.5301335909207086E-3</v>
      </c>
      <c r="W57">
        <f t="shared" si="10"/>
        <v>8.1834671319857954E-3</v>
      </c>
      <c r="X57">
        <f t="shared" si="11"/>
        <v>1.6016214244029343E-2</v>
      </c>
    </row>
    <row r="58" spans="1:24" x14ac:dyDescent="0.4">
      <c r="A58" s="75" t="s">
        <v>143</v>
      </c>
      <c r="B58" s="76">
        <f t="shared" si="1"/>
        <v>3.1787999999999999E-3</v>
      </c>
      <c r="C58" s="76">
        <v>4.64E-3</v>
      </c>
      <c r="D58" s="76">
        <v>1.83E-3</v>
      </c>
      <c r="I58" s="75">
        <v>55</v>
      </c>
      <c r="J58" s="78">
        <f t="shared" si="2"/>
        <v>3.1788000000000372E-3</v>
      </c>
      <c r="K58" s="78">
        <f t="shared" si="3"/>
        <v>3.6230249035096307E-3</v>
      </c>
      <c r="L58" s="78">
        <f t="shared" si="4"/>
        <v>4.9228307859169318E-3</v>
      </c>
      <c r="M58" s="78">
        <f t="shared" si="5"/>
        <v>8.8751975697842767E-3</v>
      </c>
      <c r="N58" s="78">
        <f t="shared" si="6"/>
        <v>1.7296242412546459E-2</v>
      </c>
      <c r="T58">
        <f t="shared" si="7"/>
        <v>3.1838631173254149E-3</v>
      </c>
      <c r="U58">
        <f t="shared" si="8"/>
        <v>3.6296039537509726E-3</v>
      </c>
      <c r="V58">
        <f t="shared" si="9"/>
        <v>4.9349878318543936E-3</v>
      </c>
      <c r="W58">
        <f t="shared" si="10"/>
        <v>8.9148167285111619E-3</v>
      </c>
      <c r="X58">
        <f t="shared" si="11"/>
        <v>1.7447569882943274E-2</v>
      </c>
    </row>
    <row r="59" spans="1:24" x14ac:dyDescent="0.4">
      <c r="A59" s="75" t="s">
        <v>144</v>
      </c>
      <c r="B59" s="76">
        <f t="shared" si="1"/>
        <v>3.4191999999999998E-3</v>
      </c>
      <c r="C59" s="76">
        <v>5.0000000000000001E-3</v>
      </c>
      <c r="D59" s="76">
        <v>1.9599999999999999E-3</v>
      </c>
      <c r="I59" s="75">
        <v>56</v>
      </c>
      <c r="J59" s="78">
        <f t="shared" si="2"/>
        <v>3.4191999999999556E-3</v>
      </c>
      <c r="K59" s="78">
        <f t="shared" si="3"/>
        <v>3.8969541480011749E-3</v>
      </c>
      <c r="L59" s="78">
        <f t="shared" si="4"/>
        <v>5.2947741826804284E-3</v>
      </c>
      <c r="M59" s="78">
        <f t="shared" si="5"/>
        <v>9.5443257266980552E-3</v>
      </c>
      <c r="N59" s="78">
        <f t="shared" si="6"/>
        <v>1.8594275501037649E-2</v>
      </c>
      <c r="T59">
        <f t="shared" si="7"/>
        <v>3.4250588231242102E-3</v>
      </c>
      <c r="U59">
        <f t="shared" si="8"/>
        <v>3.9045670583615993E-3</v>
      </c>
      <c r="V59">
        <f t="shared" si="9"/>
        <v>5.3088411758425262E-3</v>
      </c>
      <c r="W59">
        <f t="shared" si="10"/>
        <v>9.5901647047477879E-3</v>
      </c>
      <c r="X59">
        <f t="shared" si="11"/>
        <v>1.8769322350720673E-2</v>
      </c>
    </row>
    <row r="60" spans="1:24" x14ac:dyDescent="0.4">
      <c r="A60" s="75" t="s">
        <v>145</v>
      </c>
      <c r="B60" s="76">
        <f t="shared" si="1"/>
        <v>3.6292E-3</v>
      </c>
      <c r="C60" s="76">
        <v>5.3400000000000001E-3</v>
      </c>
      <c r="D60" s="76">
        <v>2.0500000000000002E-3</v>
      </c>
      <c r="I60" s="75">
        <v>57</v>
      </c>
      <c r="J60" s="78">
        <f t="shared" si="2"/>
        <v>3.6291999999999991E-3</v>
      </c>
      <c r="K60" s="78">
        <f t="shared" si="3"/>
        <v>4.1362358514732689E-3</v>
      </c>
      <c r="L60" s="78">
        <f t="shared" si="4"/>
        <v>5.619642761487964E-3</v>
      </c>
      <c r="M60" s="78">
        <f t="shared" si="5"/>
        <v>1.0128600974336877E-2</v>
      </c>
      <c r="N60" s="78">
        <f t="shared" si="6"/>
        <v>1.9727017316580997E-2</v>
      </c>
      <c r="T60">
        <f t="shared" si="7"/>
        <v>3.6358015233255215E-3</v>
      </c>
      <c r="U60">
        <f t="shared" si="8"/>
        <v>4.1448137365910943E-3</v>
      </c>
      <c r="V60">
        <f t="shared" si="9"/>
        <v>5.6354923611545583E-3</v>
      </c>
      <c r="W60">
        <f t="shared" si="10"/>
        <v>1.018024426531146E-2</v>
      </c>
      <c r="X60">
        <f t="shared" si="11"/>
        <v>1.992419234782386E-2</v>
      </c>
    </row>
    <row r="61" spans="1:24" x14ac:dyDescent="0.4">
      <c r="A61" s="75" t="s">
        <v>146</v>
      </c>
      <c r="B61" s="76">
        <f t="shared" si="1"/>
        <v>3.8527999999999995E-3</v>
      </c>
      <c r="C61" s="76">
        <v>5.7299999999999999E-3</v>
      </c>
      <c r="D61" s="76">
        <v>2.1199999999999999E-3</v>
      </c>
      <c r="I61" s="75">
        <v>58</v>
      </c>
      <c r="J61" s="78">
        <f t="shared" si="2"/>
        <v>3.8527999999999896E-3</v>
      </c>
      <c r="K61" s="78">
        <f t="shared" si="3"/>
        <v>4.3910061327308014E-3</v>
      </c>
      <c r="L61" s="78">
        <f t="shared" si="4"/>
        <v>5.9655090543025979E-3</v>
      </c>
      <c r="M61" s="78">
        <f t="shared" si="5"/>
        <v>1.0750471388956573E-2</v>
      </c>
      <c r="N61" s="78">
        <f t="shared" si="6"/>
        <v>2.0931942514494262E-2</v>
      </c>
      <c r="T61">
        <f t="shared" si="7"/>
        <v>3.8602411529184387E-3</v>
      </c>
      <c r="U61">
        <f t="shared" si="8"/>
        <v>4.4006749143270197E-3</v>
      </c>
      <c r="V61">
        <f t="shared" si="9"/>
        <v>5.9833737870235802E-3</v>
      </c>
      <c r="W61">
        <f t="shared" si="10"/>
        <v>1.0808675228171628E-2</v>
      </c>
      <c r="X61">
        <f t="shared" si="11"/>
        <v>2.1154121517993046E-2</v>
      </c>
    </row>
    <row r="62" spans="1:24" x14ac:dyDescent="0.4">
      <c r="A62" s="75" t="s">
        <v>147</v>
      </c>
      <c r="B62" s="76">
        <f t="shared" si="1"/>
        <v>4.1456000000000002E-3</v>
      </c>
      <c r="C62" s="76">
        <v>6.2100000000000002E-3</v>
      </c>
      <c r="D62" s="76">
        <v>2.2399999999999998E-3</v>
      </c>
      <c r="I62" s="75">
        <v>59</v>
      </c>
      <c r="J62" s="78">
        <f t="shared" si="2"/>
        <v>4.1455999999999715E-3</v>
      </c>
      <c r="K62" s="78">
        <f t="shared" si="3"/>
        <v>4.7246109242718992E-3</v>
      </c>
      <c r="L62" s="78">
        <f t="shared" si="4"/>
        <v>6.4183499056041926E-3</v>
      </c>
      <c r="M62" s="78">
        <f t="shared" si="5"/>
        <v>1.1564419169046158E-2</v>
      </c>
      <c r="N62" s="78">
        <f t="shared" si="6"/>
        <v>2.2507938308628517E-2</v>
      </c>
      <c r="T62">
        <f t="shared" si="7"/>
        <v>4.1542168225250009E-3</v>
      </c>
      <c r="U62">
        <f t="shared" si="8"/>
        <v>4.7358071776785002E-3</v>
      </c>
      <c r="V62">
        <f t="shared" si="9"/>
        <v>6.4390360749137518E-3</v>
      </c>
      <c r="W62">
        <f t="shared" si="10"/>
        <v>1.1631807103070001E-2</v>
      </c>
      <c r="X62">
        <f t="shared" si="11"/>
        <v>2.2765108187437006E-2</v>
      </c>
    </row>
    <row r="63" spans="1:24" x14ac:dyDescent="0.4">
      <c r="A63" s="75" t="s">
        <v>148</v>
      </c>
      <c r="B63" s="76">
        <f t="shared" si="1"/>
        <v>4.5519999999999996E-3</v>
      </c>
      <c r="C63" s="76">
        <v>6.8399999999999997E-3</v>
      </c>
      <c r="D63" s="76">
        <v>2.4399999999999999E-3</v>
      </c>
      <c r="I63" s="75">
        <v>60</v>
      </c>
      <c r="J63" s="78">
        <f t="shared" si="2"/>
        <v>4.5520000000000005E-3</v>
      </c>
      <c r="K63" s="78">
        <f t="shared" si="3"/>
        <v>5.1876243255627452E-3</v>
      </c>
      <c r="L63" s="78">
        <f t="shared" si="4"/>
        <v>7.0467617593203968E-3</v>
      </c>
      <c r="M63" s="78">
        <f t="shared" si="5"/>
        <v>1.269344722383503E-2</v>
      </c>
      <c r="N63" s="78">
        <f t="shared" si="6"/>
        <v>2.4691948482486015E-2</v>
      </c>
      <c r="T63">
        <f t="shared" si="7"/>
        <v>4.5623918999441303E-3</v>
      </c>
      <c r="U63">
        <f t="shared" si="8"/>
        <v>5.2011267659363078E-3</v>
      </c>
      <c r="V63">
        <f t="shared" si="9"/>
        <v>7.0717074449134021E-3</v>
      </c>
      <c r="W63">
        <f t="shared" si="10"/>
        <v>1.2774697319843565E-2</v>
      </c>
      <c r="X63">
        <f t="shared" si="11"/>
        <v>2.5001907611693835E-2</v>
      </c>
    </row>
    <row r="64" spans="1:24" x14ac:dyDescent="0.4">
      <c r="A64" s="75" t="s">
        <v>149</v>
      </c>
      <c r="B64" s="76">
        <f t="shared" si="1"/>
        <v>5.0080000000000003E-3</v>
      </c>
      <c r="C64" s="76">
        <v>7.5300000000000002E-3</v>
      </c>
      <c r="D64" s="76">
        <v>2.6800000000000001E-3</v>
      </c>
      <c r="I64" s="75">
        <v>61</v>
      </c>
      <c r="J64" s="78">
        <f t="shared" si="2"/>
        <v>5.0080000000000124E-3</v>
      </c>
      <c r="K64" s="78">
        <f t="shared" si="3"/>
        <v>5.7071157309350751E-3</v>
      </c>
      <c r="L64" s="78">
        <f t="shared" si="4"/>
        <v>7.7517015774939413E-3</v>
      </c>
      <c r="M64" s="78">
        <f t="shared" si="5"/>
        <v>1.3959282663725703E-2</v>
      </c>
      <c r="N64" s="78">
        <f t="shared" si="6"/>
        <v>2.7137760114731346E-2</v>
      </c>
      <c r="T64">
        <f t="shared" si="7"/>
        <v>5.0205820568719091E-3</v>
      </c>
      <c r="U64">
        <f t="shared" si="8"/>
        <v>5.7234635448339755E-3</v>
      </c>
      <c r="V64">
        <f t="shared" si="9"/>
        <v>7.7819021881514591E-3</v>
      </c>
      <c r="W64">
        <f t="shared" si="10"/>
        <v>1.4057629759241344E-2</v>
      </c>
      <c r="X64">
        <f t="shared" si="11"/>
        <v>2.7512789671658065E-2</v>
      </c>
    </row>
    <row r="65" spans="1:24" x14ac:dyDescent="0.4">
      <c r="A65" s="75" t="s">
        <v>150</v>
      </c>
      <c r="B65" s="76">
        <f t="shared" si="1"/>
        <v>5.47E-3</v>
      </c>
      <c r="C65" s="76">
        <v>8.2000000000000007E-3</v>
      </c>
      <c r="D65" s="76">
        <v>2.9499999999999999E-3</v>
      </c>
      <c r="I65" s="75">
        <v>62</v>
      </c>
      <c r="J65" s="78">
        <f t="shared" si="2"/>
        <v>5.4699999999999749E-3</v>
      </c>
      <c r="K65" s="78">
        <f t="shared" si="3"/>
        <v>6.2334085585732391E-3</v>
      </c>
      <c r="L65" s="78">
        <f t="shared" si="4"/>
        <v>8.4657357310899961E-3</v>
      </c>
      <c r="M65" s="78">
        <f t="shared" si="5"/>
        <v>1.5240709346561299E-2</v>
      </c>
      <c r="N65" s="78">
        <f t="shared" si="6"/>
        <v>2.9610637574446819E-2</v>
      </c>
      <c r="T65">
        <f t="shared" si="7"/>
        <v>5.4850152305732725E-3</v>
      </c>
      <c r="U65">
        <f t="shared" si="8"/>
        <v>6.2529173628535304E-3</v>
      </c>
      <c r="V65">
        <f t="shared" si="9"/>
        <v>8.5017736073885724E-3</v>
      </c>
      <c r="W65">
        <f t="shared" si="10"/>
        <v>1.5358042645605162E-2</v>
      </c>
      <c r="X65">
        <f t="shared" si="11"/>
        <v>3.0057883463541536E-2</v>
      </c>
    </row>
    <row r="66" spans="1:24" x14ac:dyDescent="0.4">
      <c r="A66" s="75" t="s">
        <v>151</v>
      </c>
      <c r="B66" s="76">
        <f t="shared" si="1"/>
        <v>5.8823999999999994E-3</v>
      </c>
      <c r="C66" s="76">
        <v>8.8100000000000001E-3</v>
      </c>
      <c r="D66" s="76">
        <v>3.1800000000000001E-3</v>
      </c>
      <c r="I66" s="75">
        <v>63</v>
      </c>
      <c r="J66" s="78">
        <f t="shared" si="2"/>
        <v>5.8823999999999543E-3</v>
      </c>
      <c r="K66" s="78">
        <f t="shared" si="3"/>
        <v>6.7031700410355999E-3</v>
      </c>
      <c r="L66" s="78">
        <f t="shared" si="4"/>
        <v>9.1029575869783219E-3</v>
      </c>
      <c r="M66" s="78">
        <f t="shared" si="5"/>
        <v>1.6383658196546524E-2</v>
      </c>
      <c r="N66" s="78">
        <f t="shared" si="6"/>
        <v>3.1813685593012342E-2</v>
      </c>
      <c r="T66">
        <f t="shared" si="7"/>
        <v>5.8997694644674732E-3</v>
      </c>
      <c r="U66">
        <f t="shared" si="8"/>
        <v>6.7257371894929186E-3</v>
      </c>
      <c r="V66">
        <f t="shared" si="9"/>
        <v>9.1446426699245843E-3</v>
      </c>
      <c r="W66">
        <f t="shared" si="10"/>
        <v>1.6519354500508922E-2</v>
      </c>
      <c r="X66">
        <f t="shared" si="11"/>
        <v>3.2330736665281752E-2</v>
      </c>
    </row>
    <row r="67" spans="1:24" x14ac:dyDescent="0.4">
      <c r="A67" s="75" t="s">
        <v>152</v>
      </c>
      <c r="B67" s="76">
        <f t="shared" si="1"/>
        <v>6.3587999999999995E-3</v>
      </c>
      <c r="C67" s="76">
        <v>9.5099999999999994E-3</v>
      </c>
      <c r="D67" s="76">
        <v>3.4499999999999999E-3</v>
      </c>
      <c r="I67" s="75">
        <v>64</v>
      </c>
      <c r="J67" s="78">
        <f t="shared" si="2"/>
        <v>6.3587999999999978E-3</v>
      </c>
      <c r="K67" s="78">
        <f t="shared" si="3"/>
        <v>7.2457994406806003E-3</v>
      </c>
      <c r="L67" s="78">
        <f t="shared" si="4"/>
        <v>9.8388883864365395E-3</v>
      </c>
      <c r="M67" s="78">
        <f t="shared" si="5"/>
        <v>1.7702918305186333E-2</v>
      </c>
      <c r="N67" s="78">
        <f t="shared" si="6"/>
        <v>3.4353531118441527E-2</v>
      </c>
      <c r="T67">
        <f t="shared" si="7"/>
        <v>6.3791032841658711E-3</v>
      </c>
      <c r="U67">
        <f t="shared" si="8"/>
        <v>7.2721777439490928E-3</v>
      </c>
      <c r="V67">
        <f t="shared" si="9"/>
        <v>9.8876100904570999E-3</v>
      </c>
      <c r="W67">
        <f t="shared" si="10"/>
        <v>1.7861489195664437E-2</v>
      </c>
      <c r="X67">
        <f t="shared" si="11"/>
        <v>3.4957485997228976E-2</v>
      </c>
    </row>
    <row r="68" spans="1:24" x14ac:dyDescent="0.4">
      <c r="A68" s="75" t="s">
        <v>153</v>
      </c>
      <c r="B68" s="76">
        <f t="shared" ref="B68:B103" si="12">0.48*C68+0.52*D68</f>
        <v>6.9396000000000006E-3</v>
      </c>
      <c r="C68" s="76">
        <v>1.0330000000000001E-2</v>
      </c>
      <c r="D68" s="76">
        <v>3.81E-3</v>
      </c>
      <c r="I68" s="75">
        <v>65</v>
      </c>
      <c r="J68" s="78">
        <f t="shared" ref="J68:J102" si="13">1-EXP(-T68)</f>
        <v>6.9396000000000457E-3</v>
      </c>
      <c r="K68" s="78">
        <f t="shared" ref="K68:K102" si="14">1-EXP(-U68)</f>
        <v>7.9072933178843119E-3</v>
      </c>
      <c r="L68" s="78">
        <f t="shared" ref="L68:L102" si="15">1-EXP(-V68)</f>
        <v>1.0735831210276991E-2</v>
      </c>
      <c r="M68" s="78">
        <f t="shared" ref="M68:M102" si="16">1-EXP(-W68)</f>
        <v>1.9309746377473291E-2</v>
      </c>
      <c r="N68" s="78">
        <f t="shared" ref="N68:N102" si="17">1-EXP(-X68)</f>
        <v>3.744259661166538E-2</v>
      </c>
      <c r="T68">
        <f t="shared" ref="T68:T103" si="18">-LN(1-B68)</f>
        <v>6.9637910063140374E-3</v>
      </c>
      <c r="U68">
        <f t="shared" ref="U68:U103" si="19">T68*$G$3</f>
        <v>7.9387217471980024E-3</v>
      </c>
      <c r="V68">
        <f t="shared" ref="V68:V103" si="20">T68*$G$4</f>
        <v>1.0793876059786758E-2</v>
      </c>
      <c r="W68">
        <f t="shared" ref="W68:W103" si="21">T68*$G$5</f>
        <v>1.9498614817679304E-2</v>
      </c>
      <c r="X68">
        <f t="shared" ref="X68:X103" si="22">T68*$G$6</f>
        <v>3.8161574714600931E-2</v>
      </c>
    </row>
    <row r="69" spans="1:24" x14ac:dyDescent="0.4">
      <c r="A69" s="75" t="s">
        <v>154</v>
      </c>
      <c r="B69" s="76">
        <f t="shared" si="12"/>
        <v>7.6391999999999988E-3</v>
      </c>
      <c r="C69" s="76">
        <v>1.1299999999999999E-2</v>
      </c>
      <c r="D69" s="76">
        <v>4.2599999999999999E-3</v>
      </c>
      <c r="I69" s="75">
        <v>66</v>
      </c>
      <c r="J69" s="78">
        <f t="shared" si="13"/>
        <v>7.6391999999999571E-3</v>
      </c>
      <c r="K69" s="78">
        <f t="shared" si="14"/>
        <v>8.7040208467538127E-3</v>
      </c>
      <c r="L69" s="78">
        <f t="shared" si="15"/>
        <v>1.1815856585405737E-2</v>
      </c>
      <c r="M69" s="78">
        <f t="shared" si="16"/>
        <v>2.1242999105572369E-2</v>
      </c>
      <c r="N69" s="78">
        <f t="shared" si="17"/>
        <v>4.115278543452483E-2</v>
      </c>
      <c r="T69">
        <f t="shared" si="18"/>
        <v>7.6685281461762135E-3</v>
      </c>
      <c r="U69">
        <f t="shared" si="19"/>
        <v>8.7421220866408834E-3</v>
      </c>
      <c r="V69">
        <f t="shared" si="20"/>
        <v>1.1886218626573131E-2</v>
      </c>
      <c r="W69">
        <f t="shared" si="21"/>
        <v>2.1471878809293396E-2</v>
      </c>
      <c r="X69">
        <f t="shared" si="22"/>
        <v>4.202353424104565E-2</v>
      </c>
    </row>
    <row r="70" spans="1:24" x14ac:dyDescent="0.4">
      <c r="A70" s="75" t="s">
        <v>155</v>
      </c>
      <c r="B70" s="76">
        <f t="shared" si="12"/>
        <v>8.5100000000000002E-3</v>
      </c>
      <c r="C70" s="76">
        <v>1.2540000000000001E-2</v>
      </c>
      <c r="D70" s="76">
        <v>4.79E-3</v>
      </c>
      <c r="I70" s="75">
        <v>67</v>
      </c>
      <c r="J70" s="78">
        <f t="shared" si="13"/>
        <v>8.5100000000000176E-3</v>
      </c>
      <c r="K70" s="78">
        <f t="shared" si="14"/>
        <v>9.6956067215919761E-3</v>
      </c>
      <c r="L70" s="78">
        <f t="shared" si="15"/>
        <v>1.3159591405943249E-2</v>
      </c>
      <c r="M70" s="78">
        <f t="shared" si="16"/>
        <v>2.3645915674856299E-2</v>
      </c>
      <c r="N70" s="78">
        <f t="shared" si="17"/>
        <v>4.5754558171591242E-2</v>
      </c>
      <c r="T70">
        <f t="shared" si="18"/>
        <v>8.5464168018416029E-3</v>
      </c>
      <c r="U70">
        <f t="shared" si="19"/>
        <v>9.7429151540994272E-3</v>
      </c>
      <c r="V70">
        <f t="shared" si="20"/>
        <v>1.3246946042854485E-2</v>
      </c>
      <c r="W70">
        <f t="shared" si="21"/>
        <v>2.3929967045156486E-2</v>
      </c>
      <c r="X70">
        <f t="shared" si="22"/>
        <v>4.6834364074091986E-2</v>
      </c>
    </row>
    <row r="71" spans="1:24" x14ac:dyDescent="0.4">
      <c r="A71" s="75" t="s">
        <v>156</v>
      </c>
      <c r="B71" s="76">
        <f t="shared" si="12"/>
        <v>9.5180000000000004E-3</v>
      </c>
      <c r="C71" s="76">
        <v>1.3990000000000001E-2</v>
      </c>
      <c r="D71" s="76">
        <v>5.3899999999999998E-3</v>
      </c>
      <c r="I71" s="75">
        <v>68</v>
      </c>
      <c r="J71" s="78">
        <f t="shared" si="13"/>
        <v>9.5180000000000264E-3</v>
      </c>
      <c r="K71" s="78">
        <f t="shared" si="14"/>
        <v>1.084327091975823E-2</v>
      </c>
      <c r="L71" s="78">
        <f t="shared" si="15"/>
        <v>1.471422970018299E-2</v>
      </c>
      <c r="M71" s="78">
        <f t="shared" si="16"/>
        <v>2.6422687057107486E-2</v>
      </c>
      <c r="N71" s="78">
        <f t="shared" si="17"/>
        <v>5.1058806742625529E-2</v>
      </c>
      <c r="T71">
        <f t="shared" si="18"/>
        <v>9.5635856487366507E-3</v>
      </c>
      <c r="U71">
        <f t="shared" si="19"/>
        <v>1.0902487639559781E-2</v>
      </c>
      <c r="V71">
        <f t="shared" si="20"/>
        <v>1.4823557755541809E-2</v>
      </c>
      <c r="W71">
        <f t="shared" si="21"/>
        <v>2.677803981646262E-2</v>
      </c>
      <c r="X71">
        <f t="shared" si="22"/>
        <v>5.2408449355076853E-2</v>
      </c>
    </row>
    <row r="72" spans="1:24" x14ac:dyDescent="0.4">
      <c r="A72" s="75" t="s">
        <v>157</v>
      </c>
      <c r="B72" s="76">
        <f t="shared" si="12"/>
        <v>1.0645999999999999E-2</v>
      </c>
      <c r="C72" s="76">
        <v>1.5559999999999999E-2</v>
      </c>
      <c r="D72" s="76">
        <v>6.11E-3</v>
      </c>
      <c r="I72" s="75">
        <v>69</v>
      </c>
      <c r="J72" s="78">
        <f t="shared" si="13"/>
        <v>1.0646000000000044E-2</v>
      </c>
      <c r="K72" s="78">
        <f t="shared" si="14"/>
        <v>1.2127367942773581E-2</v>
      </c>
      <c r="L72" s="78">
        <f t="shared" si="15"/>
        <v>1.6452912523483021E-2</v>
      </c>
      <c r="M72" s="78">
        <f t="shared" si="16"/>
        <v>2.9524001224243368E-2</v>
      </c>
      <c r="N72" s="78">
        <f t="shared" si="17"/>
        <v>5.6965909634445921E-2</v>
      </c>
      <c r="T72">
        <f t="shared" si="18"/>
        <v>1.0703074093287414E-2</v>
      </c>
      <c r="U72">
        <f t="shared" si="19"/>
        <v>1.2201504466347652E-2</v>
      </c>
      <c r="V72">
        <f t="shared" si="20"/>
        <v>1.6589764844595494E-2</v>
      </c>
      <c r="W72">
        <f t="shared" si="21"/>
        <v>2.9968607461204756E-2</v>
      </c>
      <c r="X72">
        <f t="shared" si="22"/>
        <v>5.8652846031215032E-2</v>
      </c>
    </row>
    <row r="73" spans="1:24" x14ac:dyDescent="0.4">
      <c r="A73" s="75" t="s">
        <v>158</v>
      </c>
      <c r="B73" s="76">
        <f t="shared" si="12"/>
        <v>1.1907599999999999E-2</v>
      </c>
      <c r="C73" s="76">
        <v>1.7299999999999999E-2</v>
      </c>
      <c r="D73" s="76">
        <v>6.9300000000000004E-3</v>
      </c>
      <c r="I73" s="75">
        <v>70</v>
      </c>
      <c r="J73" s="78">
        <f t="shared" si="13"/>
        <v>1.1907600000000018E-2</v>
      </c>
      <c r="K73" s="78">
        <f t="shared" si="14"/>
        <v>1.3563310244234295E-2</v>
      </c>
      <c r="L73" s="78">
        <f t="shared" si="15"/>
        <v>1.8396233192648492E-2</v>
      </c>
      <c r="M73" s="78">
        <f t="shared" si="16"/>
        <v>3.2985102112226494E-2</v>
      </c>
      <c r="N73" s="78">
        <f t="shared" si="17"/>
        <v>6.3537000388914411E-2</v>
      </c>
      <c r="T73">
        <f t="shared" si="18"/>
        <v>1.1979063339997367E-2</v>
      </c>
      <c r="U73">
        <f t="shared" si="19"/>
        <v>1.3656132207596997E-2</v>
      </c>
      <c r="V73">
        <f t="shared" si="20"/>
        <v>1.8567548176995918E-2</v>
      </c>
      <c r="W73">
        <f t="shared" si="21"/>
        <v>3.3541377351992627E-2</v>
      </c>
      <c r="X73">
        <f t="shared" si="22"/>
        <v>6.5645267103185578E-2</v>
      </c>
    </row>
    <row r="74" spans="1:24" x14ac:dyDescent="0.4">
      <c r="A74" s="75" t="s">
        <v>159</v>
      </c>
      <c r="B74" s="76">
        <f t="shared" si="12"/>
        <v>1.3228E-2</v>
      </c>
      <c r="C74" s="76">
        <v>1.9130000000000001E-2</v>
      </c>
      <c r="D74" s="76">
        <v>7.7799999999999996E-3</v>
      </c>
      <c r="I74" s="75">
        <v>71</v>
      </c>
      <c r="J74" s="78">
        <f t="shared" si="13"/>
        <v>1.3228000000000018E-2</v>
      </c>
      <c r="K74" s="78">
        <f t="shared" si="14"/>
        <v>1.5065903319501861E-2</v>
      </c>
      <c r="L74" s="78">
        <f t="shared" si="15"/>
        <v>2.0428666075551383E-2</v>
      </c>
      <c r="M74" s="78">
        <f t="shared" si="16"/>
        <v>3.659900690724005E-2</v>
      </c>
      <c r="N74" s="78">
        <f t="shared" si="17"/>
        <v>7.037421508009889E-2</v>
      </c>
      <c r="T74">
        <f t="shared" si="18"/>
        <v>1.3316269273480967E-2</v>
      </c>
      <c r="U74">
        <f t="shared" si="19"/>
        <v>1.5180546971768301E-2</v>
      </c>
      <c r="V74">
        <f t="shared" si="20"/>
        <v>2.06402173738955E-2</v>
      </c>
      <c r="W74">
        <f t="shared" si="21"/>
        <v>3.7285553965746704E-2</v>
      </c>
      <c r="X74">
        <f t="shared" si="22"/>
        <v>7.2973155618675706E-2</v>
      </c>
    </row>
    <row r="75" spans="1:24" x14ac:dyDescent="0.4">
      <c r="A75" s="75" t="s">
        <v>160</v>
      </c>
      <c r="B75" s="76">
        <f t="shared" si="12"/>
        <v>1.48348E-2</v>
      </c>
      <c r="C75" s="76">
        <v>2.1340000000000001E-2</v>
      </c>
      <c r="D75" s="76">
        <v>8.8299999999999993E-3</v>
      </c>
      <c r="I75" s="75">
        <v>72</v>
      </c>
      <c r="J75" s="78">
        <f t="shared" si="13"/>
        <v>1.4834800000000037E-2</v>
      </c>
      <c r="K75" s="78">
        <f t="shared" si="14"/>
        <v>1.6894035107792305E-2</v>
      </c>
      <c r="L75" s="78">
        <f t="shared" si="15"/>
        <v>2.2899924743828737E-2</v>
      </c>
      <c r="M75" s="78">
        <f t="shared" si="16"/>
        <v>4.0985055867230225E-2</v>
      </c>
      <c r="N75" s="78">
        <f t="shared" si="17"/>
        <v>7.8639346209840366E-2</v>
      </c>
      <c r="T75">
        <f t="shared" si="18"/>
        <v>1.494593613671932E-2</v>
      </c>
      <c r="U75">
        <f t="shared" si="19"/>
        <v>1.7038367195860025E-2</v>
      </c>
      <c r="V75">
        <f t="shared" si="20"/>
        <v>2.3166201011914946E-2</v>
      </c>
      <c r="W75">
        <f t="shared" si="21"/>
        <v>4.1848621182814093E-2</v>
      </c>
      <c r="X75">
        <f t="shared" si="22"/>
        <v>8.1903730029221883E-2</v>
      </c>
    </row>
    <row r="76" spans="1:24" x14ac:dyDescent="0.4">
      <c r="A76" s="75" t="s">
        <v>161</v>
      </c>
      <c r="B76" s="76">
        <f t="shared" si="12"/>
        <v>1.6590400000000002E-2</v>
      </c>
      <c r="C76" s="76">
        <v>2.3730000000000001E-2</v>
      </c>
      <c r="D76" s="76">
        <v>0.01</v>
      </c>
      <c r="I76" s="75">
        <v>73</v>
      </c>
      <c r="J76" s="78">
        <f t="shared" si="13"/>
        <v>1.6590400000000005E-2</v>
      </c>
      <c r="K76" s="78">
        <f t="shared" si="14"/>
        <v>1.8890986464756621E-2</v>
      </c>
      <c r="L76" s="78">
        <f t="shared" si="15"/>
        <v>2.559750463291266E-2</v>
      </c>
      <c r="M76" s="78">
        <f t="shared" si="16"/>
        <v>4.5762582894734338E-2</v>
      </c>
      <c r="N76" s="78">
        <f t="shared" si="17"/>
        <v>8.7601105096929643E-2</v>
      </c>
      <c r="T76">
        <f t="shared" si="18"/>
        <v>1.6729562001916051E-2</v>
      </c>
      <c r="U76">
        <f t="shared" si="19"/>
        <v>1.9071700682184296E-2</v>
      </c>
      <c r="V76">
        <f t="shared" si="20"/>
        <v>2.5930821102969879E-2</v>
      </c>
      <c r="W76">
        <f t="shared" si="21"/>
        <v>4.6842773605364936E-2</v>
      </c>
      <c r="X76">
        <f t="shared" si="22"/>
        <v>9.1677999770499966E-2</v>
      </c>
    </row>
    <row r="77" spans="1:24" x14ac:dyDescent="0.4">
      <c r="A77" s="75" t="s">
        <v>162</v>
      </c>
      <c r="B77" s="76">
        <f t="shared" si="12"/>
        <v>1.8540399999999999E-2</v>
      </c>
      <c r="C77" s="76">
        <v>2.6329999999999999E-2</v>
      </c>
      <c r="D77" s="76">
        <v>1.1350000000000001E-2</v>
      </c>
      <c r="I77" s="75">
        <v>74</v>
      </c>
      <c r="J77" s="78">
        <f t="shared" si="13"/>
        <v>1.8540400000000012E-2</v>
      </c>
      <c r="K77" s="78">
        <f t="shared" si="14"/>
        <v>2.110847797105786E-2</v>
      </c>
      <c r="L77" s="78">
        <f t="shared" si="15"/>
        <v>2.8590687833229156E-2</v>
      </c>
      <c r="M77" s="78">
        <f t="shared" si="16"/>
        <v>5.1051165766922146E-2</v>
      </c>
      <c r="N77" s="78">
        <f t="shared" si="17"/>
        <v>9.7471547764780064E-2</v>
      </c>
      <c r="T77">
        <f t="shared" si="18"/>
        <v>1.8714427600297685E-2</v>
      </c>
      <c r="U77">
        <f t="shared" si="19"/>
        <v>2.1334447464339358E-2</v>
      </c>
      <c r="V77">
        <f t="shared" si="20"/>
        <v>2.9007362780461413E-2</v>
      </c>
      <c r="W77">
        <f t="shared" si="21"/>
        <v>5.2400397280833517E-2</v>
      </c>
      <c r="X77">
        <f t="shared" si="22"/>
        <v>0.10255506324963132</v>
      </c>
    </row>
    <row r="78" spans="1:24" x14ac:dyDescent="0.4">
      <c r="A78" s="75" t="s">
        <v>163</v>
      </c>
      <c r="B78" s="76">
        <f t="shared" si="12"/>
        <v>2.0772800000000001E-2</v>
      </c>
      <c r="C78" s="76">
        <v>2.9149999999999999E-2</v>
      </c>
      <c r="D78" s="76">
        <v>1.304E-2</v>
      </c>
      <c r="I78" s="75">
        <v>75</v>
      </c>
      <c r="J78" s="78">
        <f t="shared" si="13"/>
        <v>2.0772800000000036E-2</v>
      </c>
      <c r="K78" s="78">
        <f t="shared" si="14"/>
        <v>2.3646350507162905E-2</v>
      </c>
      <c r="L78" s="78">
        <f t="shared" si="15"/>
        <v>3.2013331721284177E-2</v>
      </c>
      <c r="M78" s="78">
        <f t="shared" si="16"/>
        <v>5.708246662973393E-2</v>
      </c>
      <c r="N78" s="78">
        <f t="shared" si="17"/>
        <v>0.10866408383875836</v>
      </c>
      <c r="T78">
        <f t="shared" si="18"/>
        <v>2.0991589832093E-2</v>
      </c>
      <c r="U78">
        <f t="shared" si="19"/>
        <v>2.3930412408586017E-2</v>
      </c>
      <c r="V78">
        <f t="shared" si="20"/>
        <v>3.253696423974415E-2</v>
      </c>
      <c r="W78">
        <f t="shared" si="21"/>
        <v>5.8776451529860399E-2</v>
      </c>
      <c r="X78">
        <f t="shared" si="22"/>
        <v>0.11503391227986964</v>
      </c>
    </row>
    <row r="79" spans="1:24" x14ac:dyDescent="0.4">
      <c r="A79" s="75" t="s">
        <v>164</v>
      </c>
      <c r="B79" s="76">
        <f t="shared" si="12"/>
        <v>2.3613999999999996E-2</v>
      </c>
      <c r="C79" s="76">
        <v>3.261E-2</v>
      </c>
      <c r="D79" s="76">
        <v>1.5310000000000001E-2</v>
      </c>
      <c r="I79" s="75">
        <v>76</v>
      </c>
      <c r="J79" s="78">
        <f t="shared" si="13"/>
        <v>2.3614000000000024E-2</v>
      </c>
      <c r="K79" s="78">
        <f t="shared" si="14"/>
        <v>2.6875157268125505E-2</v>
      </c>
      <c r="L79" s="78">
        <f t="shared" si="15"/>
        <v>3.6363164851724306E-2</v>
      </c>
      <c r="M79" s="78">
        <f t="shared" si="16"/>
        <v>6.4722854266430319E-2</v>
      </c>
      <c r="N79" s="78">
        <f t="shared" si="17"/>
        <v>0.12274458220862894</v>
      </c>
      <c r="T79">
        <f t="shared" si="18"/>
        <v>2.3897278952035125E-2</v>
      </c>
      <c r="U79">
        <f t="shared" si="19"/>
        <v>2.7242898005320041E-2</v>
      </c>
      <c r="V79">
        <f t="shared" si="20"/>
        <v>3.7040782375654446E-2</v>
      </c>
      <c r="W79">
        <f t="shared" si="21"/>
        <v>6.6912381065698343E-2</v>
      </c>
      <c r="X79">
        <f t="shared" si="22"/>
        <v>0.1309570886571525</v>
      </c>
    </row>
    <row r="80" spans="1:24" x14ac:dyDescent="0.4">
      <c r="A80" s="75" t="s">
        <v>165</v>
      </c>
      <c r="B80" s="76">
        <f t="shared" si="12"/>
        <v>2.7476399999999998E-2</v>
      </c>
      <c r="C80" s="76">
        <v>3.7319999999999999E-2</v>
      </c>
      <c r="D80" s="76">
        <v>1.839E-2</v>
      </c>
      <c r="I80" s="75">
        <v>77</v>
      </c>
      <c r="J80" s="78">
        <f t="shared" si="13"/>
        <v>2.7476399999999956E-2</v>
      </c>
      <c r="K80" s="78">
        <f t="shared" si="14"/>
        <v>3.1262370100638814E-2</v>
      </c>
      <c r="L80" s="78">
        <f t="shared" si="15"/>
        <v>4.2265281802119969E-2</v>
      </c>
      <c r="M80" s="78">
        <f t="shared" si="16"/>
        <v>7.5045398384775641E-2</v>
      </c>
      <c r="N80" s="78">
        <f t="shared" si="17"/>
        <v>0.14159385725097229</v>
      </c>
      <c r="T80">
        <f t="shared" si="18"/>
        <v>2.7860936431797986E-2</v>
      </c>
      <c r="U80">
        <f t="shared" si="19"/>
        <v>3.1761467532249704E-2</v>
      </c>
      <c r="V80">
        <f t="shared" si="20"/>
        <v>4.3184451469286879E-2</v>
      </c>
      <c r="W80">
        <f t="shared" si="21"/>
        <v>7.8010622009034358E-2</v>
      </c>
      <c r="X80">
        <f t="shared" si="22"/>
        <v>0.15267793164625298</v>
      </c>
    </row>
    <row r="81" spans="1:24" x14ac:dyDescent="0.4">
      <c r="A81" s="75" t="s">
        <v>166</v>
      </c>
      <c r="B81" s="76">
        <f t="shared" si="12"/>
        <v>3.2231200000000002E-2</v>
      </c>
      <c r="C81" s="76">
        <v>4.3249999999999997E-2</v>
      </c>
      <c r="D81" s="76">
        <v>2.206E-2</v>
      </c>
      <c r="I81" s="75">
        <v>78</v>
      </c>
      <c r="J81" s="78">
        <f t="shared" si="13"/>
        <v>3.2231200000000015E-2</v>
      </c>
      <c r="K81" s="78">
        <f t="shared" si="14"/>
        <v>3.6659890087681335E-2</v>
      </c>
      <c r="L81" s="78">
        <f t="shared" si="15"/>
        <v>4.9513383819471346E-2</v>
      </c>
      <c r="M81" s="78">
        <f t="shared" si="16"/>
        <v>8.7651994744920803E-2</v>
      </c>
      <c r="N81" s="78">
        <f t="shared" si="17"/>
        <v>0.16434222218004213</v>
      </c>
      <c r="T81">
        <f t="shared" si="18"/>
        <v>3.2762063208292558E-2</v>
      </c>
      <c r="U81">
        <f t="shared" si="19"/>
        <v>3.7348752057453513E-2</v>
      </c>
      <c r="V81">
        <f t="shared" si="20"/>
        <v>5.0781197972853465E-2</v>
      </c>
      <c r="W81">
        <f t="shared" si="21"/>
        <v>9.1733776983219162E-2</v>
      </c>
      <c r="X81">
        <f t="shared" si="22"/>
        <v>0.17953610638144324</v>
      </c>
    </row>
    <row r="82" spans="1:24" x14ac:dyDescent="0.4">
      <c r="A82" s="75" t="s">
        <v>167</v>
      </c>
      <c r="B82" s="76">
        <f t="shared" si="12"/>
        <v>3.7687600000000002E-2</v>
      </c>
      <c r="C82" s="76">
        <v>5.0099999999999999E-2</v>
      </c>
      <c r="D82" s="76">
        <v>2.623E-2</v>
      </c>
      <c r="I82" s="75">
        <v>79</v>
      </c>
      <c r="J82" s="78">
        <f t="shared" si="13"/>
        <v>3.7687600000000043E-2</v>
      </c>
      <c r="K82" s="78">
        <f t="shared" si="14"/>
        <v>4.2849273174327962E-2</v>
      </c>
      <c r="L82" s="78">
        <f t="shared" si="15"/>
        <v>5.7806883397622633E-2</v>
      </c>
      <c r="M82" s="78">
        <f t="shared" si="16"/>
        <v>0.10198202532948608</v>
      </c>
      <c r="N82" s="78">
        <f t="shared" si="17"/>
        <v>0.18983751460326992</v>
      </c>
      <c r="T82">
        <f t="shared" si="18"/>
        <v>3.8416140908352291E-2</v>
      </c>
      <c r="U82">
        <f t="shared" si="19"/>
        <v>4.3794400635521605E-2</v>
      </c>
      <c r="V82">
        <f t="shared" si="20"/>
        <v>5.954501840794605E-2</v>
      </c>
      <c r="W82">
        <f t="shared" si="21"/>
        <v>0.10756519454338641</v>
      </c>
      <c r="X82">
        <f t="shared" si="22"/>
        <v>0.21052045217777057</v>
      </c>
    </row>
    <row r="83" spans="1:24" x14ac:dyDescent="0.4">
      <c r="A83" s="75" t="s">
        <v>168</v>
      </c>
      <c r="B83" s="76">
        <f t="shared" si="12"/>
        <v>4.3757199999999996E-2</v>
      </c>
      <c r="C83" s="76">
        <v>5.7610000000000001E-2</v>
      </c>
      <c r="D83" s="76">
        <v>3.0970000000000001E-2</v>
      </c>
      <c r="I83" s="75">
        <v>80</v>
      </c>
      <c r="J83" s="78">
        <f t="shared" si="13"/>
        <v>4.3757199999999941E-2</v>
      </c>
      <c r="K83" s="78">
        <f t="shared" si="14"/>
        <v>4.972845894543243E-2</v>
      </c>
      <c r="L83" s="78">
        <f t="shared" si="15"/>
        <v>6.7002078676466792E-2</v>
      </c>
      <c r="M83" s="78">
        <f t="shared" si="16"/>
        <v>0.11775156048840807</v>
      </c>
      <c r="N83" s="78">
        <f t="shared" si="17"/>
        <v>0.21744726008184811</v>
      </c>
      <c r="T83">
        <f t="shared" si="18"/>
        <v>4.4743423281502263E-2</v>
      </c>
      <c r="U83">
        <f t="shared" si="19"/>
        <v>5.1007502540912575E-2</v>
      </c>
      <c r="V83">
        <f t="shared" si="20"/>
        <v>6.9352306086328516E-2</v>
      </c>
      <c r="W83">
        <f t="shared" si="21"/>
        <v>0.12528158518820634</v>
      </c>
      <c r="X83">
        <f t="shared" si="22"/>
        <v>0.24519395958263243</v>
      </c>
    </row>
    <row r="84" spans="1:24" x14ac:dyDescent="0.4">
      <c r="A84" s="75" t="s">
        <v>169</v>
      </c>
      <c r="B84" s="76">
        <f t="shared" si="12"/>
        <v>5.04012E-2</v>
      </c>
      <c r="C84" s="76">
        <v>6.5710000000000005E-2</v>
      </c>
      <c r="D84" s="76">
        <v>3.6269999999999997E-2</v>
      </c>
      <c r="I84" s="75">
        <v>81</v>
      </c>
      <c r="J84" s="78">
        <f t="shared" si="13"/>
        <v>5.0401200000000035E-2</v>
      </c>
      <c r="K84" s="78">
        <f t="shared" si="14"/>
        <v>5.7251654003104502E-2</v>
      </c>
      <c r="L84" s="78">
        <f t="shared" si="15"/>
        <v>7.7030725748545636E-2</v>
      </c>
      <c r="M84" s="78">
        <f t="shared" si="16"/>
        <v>0.13480810978755453</v>
      </c>
      <c r="N84" s="78">
        <f t="shared" si="17"/>
        <v>0.24678309076341653</v>
      </c>
      <c r="T84">
        <f t="shared" si="18"/>
        <v>5.171569937745199E-2</v>
      </c>
      <c r="U84">
        <f t="shared" si="19"/>
        <v>5.8955897290295267E-2</v>
      </c>
      <c r="V84">
        <f t="shared" si="20"/>
        <v>8.0159334035050586E-2</v>
      </c>
      <c r="W84">
        <f t="shared" si="21"/>
        <v>0.14480395825686557</v>
      </c>
      <c r="X84">
        <f t="shared" si="22"/>
        <v>0.28340203258843694</v>
      </c>
    </row>
    <row r="85" spans="1:24" x14ac:dyDescent="0.4">
      <c r="A85" s="75" t="s">
        <v>170</v>
      </c>
      <c r="B85" s="76">
        <f t="shared" si="12"/>
        <v>5.8167199999999995E-2</v>
      </c>
      <c r="C85" s="76">
        <v>7.5009999999999993E-2</v>
      </c>
      <c r="D85" s="76">
        <v>4.2619999999999998E-2</v>
      </c>
      <c r="I85" s="75">
        <v>82</v>
      </c>
      <c r="J85" s="78">
        <f t="shared" si="13"/>
        <v>5.8167199999999974E-2</v>
      </c>
      <c r="K85" s="78">
        <f t="shared" si="14"/>
        <v>6.6035982757058131E-2</v>
      </c>
      <c r="L85" s="78">
        <f t="shared" si="15"/>
        <v>8.8704119559237626E-2</v>
      </c>
      <c r="M85" s="78">
        <f t="shared" si="16"/>
        <v>0.15447457622922944</v>
      </c>
      <c r="N85" s="78">
        <f t="shared" si="17"/>
        <v>0.27992707068676714</v>
      </c>
      <c r="T85">
        <f t="shared" si="18"/>
        <v>5.9927514851965409E-2</v>
      </c>
      <c r="U85">
        <f t="shared" si="19"/>
        <v>6.8317366931240561E-2</v>
      </c>
      <c r="V85">
        <f t="shared" si="20"/>
        <v>9.2887648020546387E-2</v>
      </c>
      <c r="W85">
        <f t="shared" si="21"/>
        <v>0.16779704158550313</v>
      </c>
      <c r="X85">
        <f t="shared" si="22"/>
        <v>0.32840278138877049</v>
      </c>
    </row>
    <row r="86" spans="1:24" x14ac:dyDescent="0.4">
      <c r="A86" s="75" t="s">
        <v>171</v>
      </c>
      <c r="B86" s="76">
        <f t="shared" si="12"/>
        <v>6.70428E-2</v>
      </c>
      <c r="C86" s="76">
        <v>8.5430000000000006E-2</v>
      </c>
      <c r="D86" s="76">
        <v>5.0070000000000003E-2</v>
      </c>
      <c r="I86" s="75">
        <v>83</v>
      </c>
      <c r="J86" s="78">
        <f t="shared" si="13"/>
        <v>6.7042799999999958E-2</v>
      </c>
      <c r="K86" s="78">
        <f t="shared" si="14"/>
        <v>7.6062995019991475E-2</v>
      </c>
      <c r="L86" s="78">
        <f t="shared" si="15"/>
        <v>0.10198070718378116</v>
      </c>
      <c r="M86" s="78">
        <f t="shared" si="16"/>
        <v>0.17659629300437474</v>
      </c>
      <c r="N86" s="78">
        <f t="shared" si="17"/>
        <v>0.3163367593772809</v>
      </c>
      <c r="T86">
        <f t="shared" si="18"/>
        <v>6.939595271327495E-2</v>
      </c>
      <c r="U86">
        <f t="shared" si="19"/>
        <v>7.9111386093133437E-2</v>
      </c>
      <c r="V86">
        <f t="shared" si="20"/>
        <v>0.10756372670557618</v>
      </c>
      <c r="W86">
        <f t="shared" si="21"/>
        <v>0.19430866759716986</v>
      </c>
      <c r="X86">
        <f t="shared" si="22"/>
        <v>0.38028982086874674</v>
      </c>
    </row>
    <row r="87" spans="1:24" x14ac:dyDescent="0.4">
      <c r="A87" s="75" t="s">
        <v>172</v>
      </c>
      <c r="B87" s="76">
        <f t="shared" si="12"/>
        <v>7.6880400000000002E-2</v>
      </c>
      <c r="C87" s="76">
        <v>9.6629999999999994E-2</v>
      </c>
      <c r="D87" s="76">
        <v>5.8650000000000001E-2</v>
      </c>
      <c r="I87" s="75">
        <v>84</v>
      </c>
      <c r="J87" s="78">
        <f t="shared" si="13"/>
        <v>7.688039999999996E-2</v>
      </c>
      <c r="K87" s="78">
        <f t="shared" si="14"/>
        <v>8.7161206574002503E-2</v>
      </c>
      <c r="L87" s="78">
        <f t="shared" si="15"/>
        <v>0.1166153330973847</v>
      </c>
      <c r="M87" s="78">
        <f t="shared" si="16"/>
        <v>0.20067697726655465</v>
      </c>
      <c r="N87" s="78">
        <f t="shared" si="17"/>
        <v>0.35491983638905999</v>
      </c>
      <c r="T87">
        <f t="shared" si="18"/>
        <v>7.9996475408930665E-2</v>
      </c>
      <c r="U87">
        <f t="shared" si="19"/>
        <v>9.119598196618095E-2</v>
      </c>
      <c r="V87">
        <f t="shared" si="20"/>
        <v>0.12399453688384253</v>
      </c>
      <c r="W87">
        <f t="shared" si="21"/>
        <v>0.22399013114500585</v>
      </c>
      <c r="X87">
        <f t="shared" si="22"/>
        <v>0.43838068524094009</v>
      </c>
    </row>
    <row r="88" spans="1:24" x14ac:dyDescent="0.4">
      <c r="A88" s="75" t="s">
        <v>173</v>
      </c>
      <c r="B88" s="76">
        <f t="shared" si="12"/>
        <v>8.7699599999999989E-2</v>
      </c>
      <c r="C88" s="76">
        <v>0.1089</v>
      </c>
      <c r="D88" s="76">
        <v>6.8129999999999996E-2</v>
      </c>
      <c r="I88" s="75">
        <v>85</v>
      </c>
      <c r="J88" s="78">
        <f t="shared" si="13"/>
        <v>8.7699599999999989E-2</v>
      </c>
      <c r="K88" s="78">
        <f t="shared" si="14"/>
        <v>9.9347691695008566E-2</v>
      </c>
      <c r="L88" s="78">
        <f t="shared" si="15"/>
        <v>0.13261143750077753</v>
      </c>
      <c r="M88" s="78">
        <f t="shared" si="16"/>
        <v>0.22663231220202829</v>
      </c>
      <c r="N88" s="78">
        <f t="shared" si="17"/>
        <v>0.39527837169256685</v>
      </c>
      <c r="T88">
        <f t="shared" si="18"/>
        <v>9.1785957178541003E-2</v>
      </c>
      <c r="U88">
        <f t="shared" si="19"/>
        <v>0.10463599118353674</v>
      </c>
      <c r="V88">
        <f t="shared" si="20"/>
        <v>0.14226823362673857</v>
      </c>
      <c r="W88">
        <f t="shared" si="21"/>
        <v>0.25700068009991478</v>
      </c>
      <c r="X88">
        <f t="shared" si="22"/>
        <v>0.50298704533840477</v>
      </c>
    </row>
    <row r="89" spans="1:24" x14ac:dyDescent="0.4">
      <c r="A89" s="75" t="s">
        <v>174</v>
      </c>
      <c r="B89" s="76">
        <f t="shared" si="12"/>
        <v>9.9629999999999996E-2</v>
      </c>
      <c r="C89" s="76">
        <v>0.12225</v>
      </c>
      <c r="D89" s="76">
        <v>7.8750000000000001E-2</v>
      </c>
      <c r="I89" s="75">
        <v>86</v>
      </c>
      <c r="J89" s="78">
        <f t="shared" si="13"/>
        <v>9.9629999999999996E-2</v>
      </c>
      <c r="K89" s="78">
        <f t="shared" si="14"/>
        <v>0.11276235934045675</v>
      </c>
      <c r="L89" s="78">
        <f t="shared" si="15"/>
        <v>0.15012985180403171</v>
      </c>
      <c r="M89" s="78">
        <f t="shared" si="16"/>
        <v>0.25461809611425101</v>
      </c>
      <c r="N89" s="78">
        <f t="shared" si="17"/>
        <v>0.43736445209676178</v>
      </c>
      <c r="T89">
        <f t="shared" si="18"/>
        <v>0.10494948902973421</v>
      </c>
      <c r="U89">
        <f t="shared" si="19"/>
        <v>0.11964241749389699</v>
      </c>
      <c r="V89">
        <f t="shared" si="20"/>
        <v>0.16267170799608802</v>
      </c>
      <c r="W89">
        <f t="shared" si="21"/>
        <v>0.29385856928325577</v>
      </c>
      <c r="X89">
        <f t="shared" si="22"/>
        <v>0.57512319988294347</v>
      </c>
    </row>
    <row r="90" spans="1:24" x14ac:dyDescent="0.4">
      <c r="A90" s="75" t="s">
        <v>175</v>
      </c>
      <c r="B90" s="76">
        <f t="shared" si="12"/>
        <v>0.11271160000000001</v>
      </c>
      <c r="C90" s="76">
        <v>0.13672000000000001</v>
      </c>
      <c r="D90" s="76">
        <v>9.0550000000000005E-2</v>
      </c>
      <c r="I90" s="75">
        <v>87</v>
      </c>
      <c r="J90" s="78">
        <f t="shared" si="13"/>
        <v>0.11271160000000002</v>
      </c>
      <c r="K90" s="78">
        <f t="shared" si="14"/>
        <v>0.12744286062794341</v>
      </c>
      <c r="L90" s="78">
        <f t="shared" si="15"/>
        <v>0.16919242833842307</v>
      </c>
      <c r="M90" s="78">
        <f t="shared" si="16"/>
        <v>0.28454643736239738</v>
      </c>
      <c r="N90" s="78">
        <f t="shared" si="17"/>
        <v>0.48072773765230914</v>
      </c>
      <c r="T90">
        <f t="shared" si="18"/>
        <v>0.11958520859494867</v>
      </c>
      <c r="U90">
        <f t="shared" si="19"/>
        <v>0.13632713779824149</v>
      </c>
      <c r="V90">
        <f t="shared" si="20"/>
        <v>0.18535707332217044</v>
      </c>
      <c r="W90">
        <f t="shared" si="21"/>
        <v>0.33483858406585626</v>
      </c>
      <c r="X90">
        <f t="shared" si="22"/>
        <v>0.6553269431003188</v>
      </c>
    </row>
    <row r="91" spans="1:24" x14ac:dyDescent="0.4">
      <c r="A91" s="75" t="s">
        <v>176</v>
      </c>
      <c r="B91" s="76">
        <f t="shared" si="12"/>
        <v>0.12698000000000001</v>
      </c>
      <c r="C91" s="76">
        <v>0.15232999999999999</v>
      </c>
      <c r="D91" s="76">
        <v>0.10358000000000001</v>
      </c>
      <c r="I91" s="75">
        <v>88</v>
      </c>
      <c r="J91" s="78">
        <f t="shared" si="13"/>
        <v>0.12697999999999998</v>
      </c>
      <c r="K91" s="78">
        <f t="shared" si="14"/>
        <v>0.14342069010275205</v>
      </c>
      <c r="L91" s="78">
        <f t="shared" si="15"/>
        <v>0.18980884192976633</v>
      </c>
      <c r="M91" s="78">
        <f t="shared" si="16"/>
        <v>0.31629659848191671</v>
      </c>
      <c r="N91" s="78">
        <f t="shared" si="17"/>
        <v>0.52486986315146156</v>
      </c>
      <c r="T91">
        <f t="shared" si="18"/>
        <v>0.135796813897508</v>
      </c>
      <c r="U91">
        <f t="shared" si="19"/>
        <v>0.1548083678431591</v>
      </c>
      <c r="V91">
        <f t="shared" si="20"/>
        <v>0.21048506154113741</v>
      </c>
      <c r="W91">
        <f t="shared" si="21"/>
        <v>0.38023107891302238</v>
      </c>
      <c r="X91">
        <f t="shared" si="22"/>
        <v>0.74416654015834394</v>
      </c>
    </row>
    <row r="92" spans="1:24" x14ac:dyDescent="0.4">
      <c r="A92" s="75" t="s">
        <v>177</v>
      </c>
      <c r="B92" s="76">
        <f t="shared" si="12"/>
        <v>0.14245639999999998</v>
      </c>
      <c r="C92" s="76">
        <v>0.16907</v>
      </c>
      <c r="D92" s="76">
        <v>0.11788999999999999</v>
      </c>
      <c r="I92" s="75">
        <v>89</v>
      </c>
      <c r="J92" s="78">
        <f t="shared" si="13"/>
        <v>0.14245639999999993</v>
      </c>
      <c r="K92" s="78">
        <f t="shared" si="14"/>
        <v>0.16070994032977881</v>
      </c>
      <c r="L92" s="78">
        <f t="shared" si="15"/>
        <v>0.21196206263431105</v>
      </c>
      <c r="M92" s="78">
        <f t="shared" si="16"/>
        <v>0.34969455826877838</v>
      </c>
      <c r="N92" s="78">
        <f t="shared" si="17"/>
        <v>0.56923140754809931</v>
      </c>
      <c r="T92">
        <f t="shared" si="18"/>
        <v>0.15368325575358008</v>
      </c>
      <c r="U92">
        <f t="shared" si="19"/>
        <v>0.17519891155908127</v>
      </c>
      <c r="V92">
        <f t="shared" si="20"/>
        <v>0.23820904641804913</v>
      </c>
      <c r="W92">
        <f t="shared" si="21"/>
        <v>0.43031311611002421</v>
      </c>
      <c r="X92">
        <f t="shared" si="22"/>
        <v>0.8421842415296189</v>
      </c>
    </row>
    <row r="93" spans="1:24" x14ac:dyDescent="0.4">
      <c r="A93" s="75" t="s">
        <v>178</v>
      </c>
      <c r="B93" s="76">
        <f t="shared" si="12"/>
        <v>0.159136</v>
      </c>
      <c r="C93" s="76">
        <v>0.18693000000000001</v>
      </c>
      <c r="D93" s="76">
        <v>0.13347999999999999</v>
      </c>
      <c r="I93" s="75">
        <v>90</v>
      </c>
      <c r="J93" s="78">
        <f t="shared" si="13"/>
        <v>0.15913599999999994</v>
      </c>
      <c r="K93" s="78">
        <f t="shared" si="14"/>
        <v>0.17929445877373706</v>
      </c>
      <c r="L93" s="78">
        <f t="shared" si="15"/>
        <v>0.23559252191517477</v>
      </c>
      <c r="M93" s="78">
        <f t="shared" si="16"/>
        <v>0.38449423321545761</v>
      </c>
      <c r="N93" s="78">
        <f t="shared" si="17"/>
        <v>0.61319047359581413</v>
      </c>
      <c r="T93">
        <f t="shared" si="18"/>
        <v>0.17332534433334881</v>
      </c>
      <c r="U93">
        <f t="shared" si="19"/>
        <v>0.19759089254001763</v>
      </c>
      <c r="V93">
        <f t="shared" si="20"/>
        <v>0.26865428371669065</v>
      </c>
      <c r="W93">
        <f t="shared" si="21"/>
        <v>0.48531096413337665</v>
      </c>
      <c r="X93">
        <f t="shared" si="22"/>
        <v>0.94982288694675154</v>
      </c>
    </row>
    <row r="94" spans="1:24" x14ac:dyDescent="0.4">
      <c r="A94" s="75" t="s">
        <v>179</v>
      </c>
      <c r="B94" s="76">
        <f t="shared" si="12"/>
        <v>0.17701919999999999</v>
      </c>
      <c r="C94" s="76">
        <v>0.2059</v>
      </c>
      <c r="D94" s="76">
        <v>0.15035999999999999</v>
      </c>
      <c r="I94" s="75">
        <v>91</v>
      </c>
      <c r="J94" s="78">
        <f t="shared" si="13"/>
        <v>0.17701919999999993</v>
      </c>
      <c r="K94" s="78">
        <f t="shared" si="14"/>
        <v>0.19916275711288256</v>
      </c>
      <c r="L94" s="78">
        <f t="shared" si="15"/>
        <v>0.26064325341587646</v>
      </c>
      <c r="M94" s="78">
        <f t="shared" si="16"/>
        <v>0.42044965421804492</v>
      </c>
      <c r="N94" s="78">
        <f t="shared" si="17"/>
        <v>0.65617648638428305</v>
      </c>
      <c r="T94">
        <f t="shared" si="18"/>
        <v>0.19482240786030969</v>
      </c>
      <c r="U94">
        <f t="shared" si="19"/>
        <v>0.22209754496075301</v>
      </c>
      <c r="V94">
        <f t="shared" si="20"/>
        <v>0.30197473218348003</v>
      </c>
      <c r="W94">
        <f t="shared" si="21"/>
        <v>0.54550274200886706</v>
      </c>
      <c r="X94">
        <f t="shared" si="22"/>
        <v>1.0676267950744971</v>
      </c>
    </row>
    <row r="95" spans="1:24" x14ac:dyDescent="0.4">
      <c r="A95" s="75" t="s">
        <v>180</v>
      </c>
      <c r="B95" s="76">
        <f t="shared" si="12"/>
        <v>0.19607160000000001</v>
      </c>
      <c r="C95" s="76">
        <v>0.22592999999999999</v>
      </c>
      <c r="D95" s="76">
        <v>0.16850999999999999</v>
      </c>
      <c r="I95" s="75">
        <v>92</v>
      </c>
      <c r="J95" s="78">
        <f t="shared" si="13"/>
        <v>0.19607160000000001</v>
      </c>
      <c r="K95" s="78">
        <f t="shared" si="14"/>
        <v>0.22026361009796191</v>
      </c>
      <c r="L95" s="78">
        <f t="shared" si="15"/>
        <v>0.28700427627571667</v>
      </c>
      <c r="M95" s="78">
        <f t="shared" si="16"/>
        <v>0.4572389937665472</v>
      </c>
      <c r="N95" s="78">
        <f t="shared" si="17"/>
        <v>0.69759345014968455</v>
      </c>
      <c r="T95">
        <f t="shared" si="18"/>
        <v>0.21824506849514644</v>
      </c>
      <c r="U95">
        <f t="shared" si="19"/>
        <v>0.24879937808446692</v>
      </c>
      <c r="V95">
        <f t="shared" si="20"/>
        <v>0.33827985616747697</v>
      </c>
      <c r="W95">
        <f t="shared" si="21"/>
        <v>0.61108619178640999</v>
      </c>
      <c r="X95">
        <f t="shared" si="22"/>
        <v>1.1959829753534026</v>
      </c>
    </row>
    <row r="96" spans="1:24" x14ac:dyDescent="0.4">
      <c r="A96" s="75" t="s">
        <v>181</v>
      </c>
      <c r="B96" s="76">
        <f t="shared" si="12"/>
        <v>0.21624319999999997</v>
      </c>
      <c r="C96" s="76">
        <v>0.24697</v>
      </c>
      <c r="D96" s="76">
        <v>0.18787999999999999</v>
      </c>
      <c r="I96" s="75">
        <v>93</v>
      </c>
      <c r="J96" s="78">
        <f t="shared" si="13"/>
        <v>0.21624319999999997</v>
      </c>
      <c r="K96" s="78">
        <f t="shared" si="14"/>
        <v>0.24252778516240336</v>
      </c>
      <c r="L96" s="78">
        <f t="shared" si="15"/>
        <v>0.31454168523303749</v>
      </c>
      <c r="M96" s="78">
        <f t="shared" si="16"/>
        <v>0.49451566511171885</v>
      </c>
      <c r="N96" s="78">
        <f t="shared" si="17"/>
        <v>0.73690436438464824</v>
      </c>
      <c r="T96">
        <f t="shared" si="18"/>
        <v>0.24365651083660023</v>
      </c>
      <c r="U96">
        <f t="shared" si="19"/>
        <v>0.27776842235372423</v>
      </c>
      <c r="V96">
        <f t="shared" si="20"/>
        <v>0.37766759179673037</v>
      </c>
      <c r="W96">
        <f t="shared" si="21"/>
        <v>0.68223823034248054</v>
      </c>
      <c r="X96">
        <f t="shared" si="22"/>
        <v>1.3352376793845693</v>
      </c>
    </row>
    <row r="97" spans="1:24" x14ac:dyDescent="0.4">
      <c r="A97" s="75" t="s">
        <v>182</v>
      </c>
      <c r="B97" s="76">
        <f t="shared" si="12"/>
        <v>0.237454</v>
      </c>
      <c r="C97" s="76">
        <v>0.26894000000000001</v>
      </c>
      <c r="D97" s="76">
        <v>0.20838999999999999</v>
      </c>
      <c r="I97" s="75">
        <v>94</v>
      </c>
      <c r="J97" s="78">
        <f t="shared" si="13"/>
        <v>0.23745400000000005</v>
      </c>
      <c r="K97" s="78">
        <f t="shared" si="14"/>
        <v>0.2658525512412393</v>
      </c>
      <c r="L97" s="78">
        <f t="shared" si="15"/>
        <v>0.34308016776870653</v>
      </c>
      <c r="M97" s="78">
        <f t="shared" si="16"/>
        <v>0.53189321895491859</v>
      </c>
      <c r="N97" s="78">
        <f t="shared" si="17"/>
        <v>0.77363048563701819</v>
      </c>
      <c r="T97">
        <f t="shared" si="18"/>
        <v>0.27109244445137065</v>
      </c>
      <c r="U97">
        <f t="shared" si="19"/>
        <v>0.30904538667456249</v>
      </c>
      <c r="V97">
        <f t="shared" si="20"/>
        <v>0.42019328889962454</v>
      </c>
      <c r="W97">
        <f t="shared" si="21"/>
        <v>0.75905884446383776</v>
      </c>
      <c r="X97">
        <f t="shared" si="22"/>
        <v>1.4855865955935112</v>
      </c>
    </row>
    <row r="98" spans="1:24" x14ac:dyDescent="0.4">
      <c r="A98" s="75" t="s">
        <v>183</v>
      </c>
      <c r="B98" s="76">
        <f t="shared" si="12"/>
        <v>0.25962439999999998</v>
      </c>
      <c r="C98" s="76">
        <v>0.29175000000000001</v>
      </c>
      <c r="D98" s="76">
        <v>0.22997000000000001</v>
      </c>
      <c r="I98" s="75">
        <v>95</v>
      </c>
      <c r="J98" s="78">
        <f t="shared" si="13"/>
        <v>0.25962439999999998</v>
      </c>
      <c r="K98" s="78">
        <f t="shared" si="14"/>
        <v>0.2901356088312298</v>
      </c>
      <c r="L98" s="78">
        <f t="shared" si="15"/>
        <v>0.37244650692233439</v>
      </c>
      <c r="M98" s="78">
        <f t="shared" si="16"/>
        <v>0.56901131027435059</v>
      </c>
      <c r="N98" s="78">
        <f t="shared" si="17"/>
        <v>0.80742606938445349</v>
      </c>
      <c r="T98">
        <f t="shared" si="18"/>
        <v>0.30059765398520111</v>
      </c>
      <c r="U98">
        <f t="shared" si="19"/>
        <v>0.34268132554312924</v>
      </c>
      <c r="V98">
        <f t="shared" si="20"/>
        <v>0.46592636367706175</v>
      </c>
      <c r="W98">
        <f t="shared" si="21"/>
        <v>0.84167343115856308</v>
      </c>
      <c r="X98">
        <f t="shared" si="22"/>
        <v>1.6472751438389022</v>
      </c>
    </row>
    <row r="99" spans="1:24" x14ac:dyDescent="0.4">
      <c r="A99" s="75" t="s">
        <v>184</v>
      </c>
      <c r="B99" s="76">
        <f t="shared" si="12"/>
        <v>0.28262360000000003</v>
      </c>
      <c r="C99" s="76">
        <v>0.31529000000000001</v>
      </c>
      <c r="D99" s="76">
        <v>0.25247000000000003</v>
      </c>
      <c r="I99" s="75">
        <v>96</v>
      </c>
      <c r="J99" s="78">
        <f t="shared" si="13"/>
        <v>0.28262359999999997</v>
      </c>
      <c r="K99" s="78">
        <f t="shared" si="14"/>
        <v>0.31521903880574009</v>
      </c>
      <c r="L99" s="78">
        <f t="shared" si="15"/>
        <v>0.402403586712895</v>
      </c>
      <c r="M99" s="78">
        <f t="shared" si="16"/>
        <v>0.6054592744885694</v>
      </c>
      <c r="N99" s="78">
        <f t="shared" si="17"/>
        <v>0.83800782838120458</v>
      </c>
      <c r="T99">
        <f t="shared" si="18"/>
        <v>0.33215461099600951</v>
      </c>
      <c r="U99">
        <f t="shared" si="19"/>
        <v>0.37865625653545082</v>
      </c>
      <c r="V99">
        <f t="shared" si="20"/>
        <v>0.5148396470438148</v>
      </c>
      <c r="W99">
        <f t="shared" si="21"/>
        <v>0.93003291078882655</v>
      </c>
      <c r="X99">
        <f t="shared" si="22"/>
        <v>1.8202072682581323</v>
      </c>
    </row>
    <row r="100" spans="1:24" x14ac:dyDescent="0.4">
      <c r="A100" s="75" t="s">
        <v>185</v>
      </c>
      <c r="B100" s="76">
        <f t="shared" si="12"/>
        <v>0.3063264</v>
      </c>
      <c r="C100" s="76">
        <v>0.33944000000000002</v>
      </c>
      <c r="D100" s="76">
        <v>0.27576000000000001</v>
      </c>
      <c r="I100" s="75">
        <v>97</v>
      </c>
      <c r="J100" s="78">
        <f t="shared" si="13"/>
        <v>0.3063264</v>
      </c>
      <c r="K100" s="78">
        <f t="shared" si="14"/>
        <v>0.3409522379612544</v>
      </c>
      <c r="L100" s="78">
        <f t="shared" si="15"/>
        <v>0.43272909710547069</v>
      </c>
      <c r="M100" s="78">
        <f t="shared" si="16"/>
        <v>0.64088423924472204</v>
      </c>
      <c r="N100" s="78">
        <f t="shared" si="17"/>
        <v>0.86524952291683888</v>
      </c>
      <c r="T100">
        <f t="shared" si="18"/>
        <v>0.36575374611194594</v>
      </c>
      <c r="U100">
        <f t="shared" si="19"/>
        <v>0.41695927056761833</v>
      </c>
      <c r="V100">
        <f t="shared" si="20"/>
        <v>0.56691830647351626</v>
      </c>
      <c r="W100">
        <f t="shared" si="21"/>
        <v>1.0241104891134485</v>
      </c>
      <c r="X100">
        <f t="shared" si="22"/>
        <v>2.0043305286934641</v>
      </c>
    </row>
    <row r="101" spans="1:24" x14ac:dyDescent="0.4">
      <c r="A101" s="75" t="s">
        <v>186</v>
      </c>
      <c r="B101" s="76">
        <f t="shared" si="12"/>
        <v>0.33056200000000002</v>
      </c>
      <c r="C101" s="76">
        <v>0.36404999999999998</v>
      </c>
      <c r="D101" s="76">
        <v>0.29965000000000003</v>
      </c>
      <c r="I101" s="75">
        <v>98</v>
      </c>
      <c r="J101" s="78">
        <f t="shared" si="13"/>
        <v>0.33056200000000002</v>
      </c>
      <c r="K101" s="78">
        <f t="shared" si="14"/>
        <v>0.36713684560572502</v>
      </c>
      <c r="L101" s="78">
        <f t="shared" si="15"/>
        <v>0.46315234601266697</v>
      </c>
      <c r="M101" s="78">
        <f t="shared" si="16"/>
        <v>0.67492092832184647</v>
      </c>
      <c r="N101" s="78">
        <f t="shared" si="17"/>
        <v>0.8891098991545856</v>
      </c>
      <c r="T101">
        <f t="shared" si="18"/>
        <v>0.40131672456185291</v>
      </c>
      <c r="U101">
        <f t="shared" si="19"/>
        <v>0.45750106600051227</v>
      </c>
      <c r="V101">
        <f t="shared" si="20"/>
        <v>0.622040923070872</v>
      </c>
      <c r="W101">
        <f t="shared" si="21"/>
        <v>1.123686828773188</v>
      </c>
      <c r="X101">
        <f t="shared" si="22"/>
        <v>2.199215650598954</v>
      </c>
    </row>
    <row r="102" spans="1:24" x14ac:dyDescent="0.4">
      <c r="A102" s="75" t="s">
        <v>187</v>
      </c>
      <c r="B102" s="76">
        <f t="shared" si="12"/>
        <v>0.35514439999999997</v>
      </c>
      <c r="C102" s="76">
        <v>0.38895999999999997</v>
      </c>
      <c r="D102" s="76">
        <v>0.32393</v>
      </c>
      <c r="I102" s="75">
        <v>99</v>
      </c>
      <c r="J102" s="78">
        <f t="shared" si="13"/>
        <v>0.35514439999999992</v>
      </c>
      <c r="K102" s="78">
        <f t="shared" si="14"/>
        <v>0.39356086132689128</v>
      </c>
      <c r="L102" s="78">
        <f t="shared" si="15"/>
        <v>0.49339807318142703</v>
      </c>
      <c r="M102" s="78">
        <f t="shared" si="16"/>
        <v>0.70725132923122391</v>
      </c>
      <c r="N102" s="78">
        <f t="shared" si="17"/>
        <v>0.90966534992871451</v>
      </c>
      <c r="T102">
        <f t="shared" si="18"/>
        <v>0.43872886321932231</v>
      </c>
      <c r="U102">
        <f t="shared" si="19"/>
        <v>0.50015090407002738</v>
      </c>
      <c r="V102">
        <f t="shared" si="20"/>
        <v>0.68002973798994959</v>
      </c>
      <c r="W102">
        <f t="shared" si="21"/>
        <v>1.2284408170141023</v>
      </c>
      <c r="X102">
        <f t="shared" si="22"/>
        <v>2.4042341704418866</v>
      </c>
    </row>
    <row r="103" spans="1:24" x14ac:dyDescent="0.4">
      <c r="A103" s="77" t="s">
        <v>188</v>
      </c>
      <c r="B103" s="76">
        <f t="shared" si="12"/>
        <v>1</v>
      </c>
      <c r="C103" s="76">
        <v>1</v>
      </c>
      <c r="D103" s="76">
        <v>1</v>
      </c>
      <c r="I103" s="75">
        <v>100</v>
      </c>
      <c r="J103" s="78">
        <v>1</v>
      </c>
      <c r="K103" s="78">
        <v>1</v>
      </c>
      <c r="L103" s="78">
        <v>1</v>
      </c>
      <c r="M103" s="78">
        <v>1</v>
      </c>
      <c r="N103" s="78">
        <v>1</v>
      </c>
      <c r="T103" t="e">
        <f t="shared" si="18"/>
        <v>#NUM!</v>
      </c>
      <c r="U103" t="e">
        <f t="shared" si="19"/>
        <v>#NUM!</v>
      </c>
      <c r="V103" t="e">
        <f t="shared" si="20"/>
        <v>#NUM!</v>
      </c>
      <c r="W103" t="e">
        <f t="shared" si="21"/>
        <v>#NUM!</v>
      </c>
      <c r="X103" t="e">
        <f t="shared" si="22"/>
        <v>#NUM!</v>
      </c>
    </row>
  </sheetData>
  <mergeCells count="2">
    <mergeCell ref="A1:A2"/>
    <mergeCell ref="B1:D1"/>
  </mergeCells>
  <phoneticPr fontId="1" type="noConversion"/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7"/>
  <dimension ref="A1:I59"/>
  <sheetViews>
    <sheetView topLeftCell="B1" zoomScaleNormal="100" workbookViewId="0">
      <selection activeCell="G9" sqref="G9"/>
    </sheetView>
  </sheetViews>
  <sheetFormatPr defaultRowHeight="17.399999999999999" x14ac:dyDescent="0.4"/>
  <cols>
    <col min="2" max="2" width="40.3984375" bestFit="1" customWidth="1"/>
    <col min="3" max="3" width="21.8984375" style="136" bestFit="1" customWidth="1"/>
    <col min="4" max="4" width="22.59765625" style="136" bestFit="1" customWidth="1"/>
    <col min="5" max="5" width="16" style="136" bestFit="1" customWidth="1"/>
    <col min="6" max="6" width="37.59765625" style="136" bestFit="1" customWidth="1"/>
    <col min="7" max="7" width="21.8984375" style="136" bestFit="1" customWidth="1"/>
    <col min="8" max="8" width="22.59765625" style="136" bestFit="1" customWidth="1"/>
    <col min="9" max="9" width="16" style="136" bestFit="1" customWidth="1"/>
  </cols>
  <sheetData>
    <row r="1" spans="1:9" ht="18" thickBot="1" x14ac:dyDescent="0.45">
      <c r="A1" s="158"/>
      <c r="B1" s="158"/>
      <c r="C1" s="159"/>
      <c r="D1" s="159"/>
      <c r="E1" s="159"/>
      <c r="F1" s="159"/>
      <c r="G1" s="159"/>
      <c r="H1" s="159"/>
      <c r="I1" s="159"/>
    </row>
    <row r="2" spans="1:9" ht="18" thickBot="1" x14ac:dyDescent="0.45">
      <c r="A2" s="158"/>
      <c r="B2" s="160" t="s">
        <v>345</v>
      </c>
      <c r="C2" s="161" t="s">
        <v>346</v>
      </c>
      <c r="D2" s="161" t="s">
        <v>347</v>
      </c>
      <c r="E2" s="161" t="s">
        <v>348</v>
      </c>
      <c r="F2" s="161" t="s">
        <v>335</v>
      </c>
      <c r="G2" s="161" t="s">
        <v>346</v>
      </c>
      <c r="H2" s="161" t="s">
        <v>347</v>
      </c>
      <c r="I2" s="162" t="s">
        <v>348</v>
      </c>
    </row>
    <row r="3" spans="1:9" s="143" customFormat="1" x14ac:dyDescent="0.4">
      <c r="A3" s="158"/>
      <c r="B3" s="163" t="s">
        <v>411</v>
      </c>
      <c r="C3" s="164">
        <v>142023646</v>
      </c>
      <c r="D3" s="164">
        <v>198171819.56837419</v>
      </c>
      <c r="E3" s="164">
        <v>344712506</v>
      </c>
      <c r="F3" s="165" t="s">
        <v>410</v>
      </c>
      <c r="G3" s="164">
        <v>130142213</v>
      </c>
      <c r="H3" s="164">
        <v>181185820.48301852</v>
      </c>
      <c r="I3" s="166">
        <v>312205156</v>
      </c>
    </row>
    <row r="4" spans="1:9" x14ac:dyDescent="0.4">
      <c r="A4" s="158"/>
      <c r="B4" s="167" t="s">
        <v>359</v>
      </c>
      <c r="C4" s="168">
        <v>215540513</v>
      </c>
      <c r="D4" s="168">
        <v>198171819.56837419</v>
      </c>
      <c r="E4" s="168">
        <v>182079573</v>
      </c>
      <c r="F4" s="169" t="s">
        <v>359</v>
      </c>
      <c r="G4" s="168">
        <v>196364930</v>
      </c>
      <c r="H4" s="168">
        <v>181185820.48301852</v>
      </c>
      <c r="I4" s="170">
        <v>168185032</v>
      </c>
    </row>
    <row r="5" spans="1:9" x14ac:dyDescent="0.4">
      <c r="A5" s="158"/>
      <c r="B5" s="167" t="s">
        <v>360</v>
      </c>
      <c r="C5" s="168">
        <v>207695200</v>
      </c>
      <c r="D5" s="168">
        <v>198171819.56837419</v>
      </c>
      <c r="E5" s="168">
        <v>188977527</v>
      </c>
      <c r="F5" s="169" t="s">
        <v>360</v>
      </c>
      <c r="G5" s="168">
        <v>189310287</v>
      </c>
      <c r="H5" s="168">
        <v>181185820.48301852</v>
      </c>
      <c r="I5" s="170">
        <v>173623364</v>
      </c>
    </row>
    <row r="6" spans="1:9" x14ac:dyDescent="0.4">
      <c r="A6" s="158"/>
      <c r="B6" s="167" t="s">
        <v>361</v>
      </c>
      <c r="C6" s="168">
        <v>191451178</v>
      </c>
      <c r="D6" s="168">
        <v>198171819.56837419</v>
      </c>
      <c r="E6" s="168">
        <v>205525257</v>
      </c>
      <c r="F6" s="169" t="s">
        <v>361</v>
      </c>
      <c r="G6" s="168">
        <v>175389800</v>
      </c>
      <c r="H6" s="168">
        <v>181185820.48301852</v>
      </c>
      <c r="I6" s="170">
        <v>187138920</v>
      </c>
    </row>
    <row r="7" spans="1:9" x14ac:dyDescent="0.4">
      <c r="A7" s="158"/>
      <c r="B7" s="167" t="s">
        <v>362</v>
      </c>
      <c r="C7" s="168">
        <v>188639807</v>
      </c>
      <c r="D7" s="168">
        <v>198171819.56837419</v>
      </c>
      <c r="E7" s="168">
        <v>208474564</v>
      </c>
      <c r="F7" s="169" t="s">
        <v>362</v>
      </c>
      <c r="G7" s="168">
        <v>173473697</v>
      </c>
      <c r="H7" s="168">
        <v>181185820.48301852</v>
      </c>
      <c r="I7" s="170">
        <v>189615564</v>
      </c>
    </row>
    <row r="8" spans="1:9" x14ac:dyDescent="0.4">
      <c r="A8" s="158"/>
      <c r="B8" s="167" t="s">
        <v>363</v>
      </c>
      <c r="C8" s="168">
        <v>198311536</v>
      </c>
      <c r="D8" s="168">
        <v>198171819.56837419</v>
      </c>
      <c r="E8" s="168">
        <v>198032300</v>
      </c>
      <c r="F8" s="169" t="s">
        <v>363</v>
      </c>
      <c r="G8" s="168">
        <v>181311469</v>
      </c>
      <c r="H8" s="168">
        <v>181185820.48301852</v>
      </c>
      <c r="I8" s="170">
        <v>181077844</v>
      </c>
    </row>
    <row r="9" spans="1:9" x14ac:dyDescent="0.4">
      <c r="A9" s="158"/>
      <c r="B9" s="167" t="s">
        <v>364</v>
      </c>
      <c r="C9" s="168">
        <v>198832118</v>
      </c>
      <c r="D9" s="168">
        <v>198171819.56837419</v>
      </c>
      <c r="E9" s="168">
        <v>197515892</v>
      </c>
      <c r="F9" s="169" t="s">
        <v>364</v>
      </c>
      <c r="G9" s="168">
        <v>181793462</v>
      </c>
      <c r="H9" s="168">
        <v>181185820.48301852</v>
      </c>
      <c r="I9" s="170">
        <v>180691672</v>
      </c>
    </row>
    <row r="10" spans="1:9" x14ac:dyDescent="0.4">
      <c r="A10" s="158"/>
      <c r="B10" s="167" t="s">
        <v>365</v>
      </c>
      <c r="C10" s="168">
        <v>197929439</v>
      </c>
      <c r="D10" s="168">
        <v>198171819.56837419</v>
      </c>
      <c r="E10" s="168">
        <v>198414794</v>
      </c>
      <c r="F10" s="169" t="s">
        <v>365</v>
      </c>
      <c r="G10" s="168">
        <v>180952651</v>
      </c>
      <c r="H10" s="168">
        <v>181185820.48301852</v>
      </c>
      <c r="I10" s="170">
        <v>181358550</v>
      </c>
    </row>
    <row r="11" spans="1:9" x14ac:dyDescent="0.4">
      <c r="A11" s="158"/>
      <c r="B11" s="167" t="s">
        <v>366</v>
      </c>
      <c r="C11" s="168">
        <v>197253473</v>
      </c>
      <c r="D11" s="168">
        <v>198171819.56837419</v>
      </c>
      <c r="E11" s="168">
        <v>199098757</v>
      </c>
      <c r="F11" s="169" t="s">
        <v>366</v>
      </c>
      <c r="G11" s="168">
        <v>180187952</v>
      </c>
      <c r="H11" s="168">
        <v>181185820.48301852</v>
      </c>
      <c r="I11" s="170">
        <v>182507524</v>
      </c>
    </row>
    <row r="12" spans="1:9" x14ac:dyDescent="0.4">
      <c r="A12" s="158"/>
      <c r="B12" s="167" t="s">
        <v>367</v>
      </c>
      <c r="C12" s="168">
        <v>198016591</v>
      </c>
      <c r="D12" s="168">
        <v>198171819.56837419</v>
      </c>
      <c r="E12" s="168">
        <v>198327049</v>
      </c>
      <c r="F12" s="169" t="s">
        <v>367</v>
      </c>
      <c r="G12" s="168">
        <v>180663691</v>
      </c>
      <c r="H12" s="168">
        <v>181185820.48301852</v>
      </c>
      <c r="I12" s="170">
        <v>181707950</v>
      </c>
    </row>
    <row r="13" spans="1:9" x14ac:dyDescent="0.4">
      <c r="A13" s="158"/>
      <c r="B13" s="167" t="s">
        <v>368</v>
      </c>
      <c r="C13" s="168">
        <v>197938584</v>
      </c>
      <c r="D13" s="168">
        <v>198171819.56837419</v>
      </c>
      <c r="E13" s="168">
        <v>198405055</v>
      </c>
      <c r="F13" s="169" t="s">
        <v>368</v>
      </c>
      <c r="G13" s="168">
        <v>180793400</v>
      </c>
      <c r="H13" s="168">
        <v>181185820.48301852</v>
      </c>
      <c r="I13" s="170">
        <v>181578251</v>
      </c>
    </row>
    <row r="14" spans="1:9" x14ac:dyDescent="0.4">
      <c r="A14" s="158"/>
      <c r="B14" s="167" t="s">
        <v>369</v>
      </c>
      <c r="C14" s="168">
        <v>198288660</v>
      </c>
      <c r="D14" s="168">
        <v>198171819.56837419</v>
      </c>
      <c r="E14" s="168">
        <v>198054979</v>
      </c>
      <c r="F14" s="169" t="s">
        <v>369</v>
      </c>
      <c r="G14" s="168">
        <v>181329241</v>
      </c>
      <c r="H14" s="168">
        <v>181185820.48301852</v>
      </c>
      <c r="I14" s="170">
        <v>181042400</v>
      </c>
    </row>
    <row r="15" spans="1:9" x14ac:dyDescent="0.4">
      <c r="A15" s="158"/>
      <c r="B15" s="167" t="s">
        <v>370</v>
      </c>
      <c r="C15" s="168">
        <v>198542989</v>
      </c>
      <c r="D15" s="168">
        <v>198171819.56837419</v>
      </c>
      <c r="E15" s="168">
        <v>197800650</v>
      </c>
      <c r="F15" s="169" t="s">
        <v>370</v>
      </c>
      <c r="G15" s="168">
        <v>181756617</v>
      </c>
      <c r="H15" s="168">
        <v>181185820.48301852</v>
      </c>
      <c r="I15" s="170">
        <v>180615024</v>
      </c>
    </row>
    <row r="16" spans="1:9" x14ac:dyDescent="0.4">
      <c r="A16" s="158"/>
      <c r="B16" s="167" t="s">
        <v>371</v>
      </c>
      <c r="C16" s="168">
        <v>198169306</v>
      </c>
      <c r="D16" s="168">
        <v>198171819.56837419</v>
      </c>
      <c r="E16" s="168">
        <v>198174334</v>
      </c>
      <c r="F16" s="169" t="s">
        <v>371</v>
      </c>
      <c r="G16" s="168">
        <v>181180649</v>
      </c>
      <c r="H16" s="168">
        <v>181185820.48301852</v>
      </c>
      <c r="I16" s="170">
        <v>181190992</v>
      </c>
    </row>
    <row r="17" spans="1:9" x14ac:dyDescent="0.4">
      <c r="A17" s="158"/>
      <c r="B17" s="167" t="s">
        <v>372</v>
      </c>
      <c r="C17" s="168">
        <v>198070406</v>
      </c>
      <c r="D17" s="168">
        <v>198171819.56837419</v>
      </c>
      <c r="E17" s="168">
        <v>198273233</v>
      </c>
      <c r="F17" s="169" t="s">
        <v>372</v>
      </c>
      <c r="G17" s="168">
        <v>181097167</v>
      </c>
      <c r="H17" s="168">
        <v>181185820.48301852</v>
      </c>
      <c r="I17" s="170">
        <v>181274474</v>
      </c>
    </row>
    <row r="18" spans="1:9" x14ac:dyDescent="0.4">
      <c r="A18" s="158"/>
      <c r="B18" s="167" t="s">
        <v>373</v>
      </c>
      <c r="C18" s="168">
        <v>198199394</v>
      </c>
      <c r="D18" s="168">
        <v>198171819.56837419</v>
      </c>
      <c r="E18" s="168">
        <v>198144246</v>
      </c>
      <c r="F18" s="169" t="s">
        <v>373</v>
      </c>
      <c r="G18" s="168">
        <v>181210751</v>
      </c>
      <c r="H18" s="168">
        <v>181185820.48301852</v>
      </c>
      <c r="I18" s="170">
        <v>181160890</v>
      </c>
    </row>
    <row r="19" spans="1:9" x14ac:dyDescent="0.4">
      <c r="A19" s="158"/>
      <c r="B19" s="167" t="s">
        <v>374</v>
      </c>
      <c r="C19" s="168">
        <v>198893371</v>
      </c>
      <c r="D19" s="168">
        <v>198171819.56837419</v>
      </c>
      <c r="E19" s="168">
        <v>197450268</v>
      </c>
      <c r="F19" s="169" t="s">
        <v>374</v>
      </c>
      <c r="G19" s="168">
        <v>181830899</v>
      </c>
      <c r="H19" s="168">
        <v>181185820.48301852</v>
      </c>
      <c r="I19" s="170">
        <v>180540742</v>
      </c>
    </row>
    <row r="20" spans="1:9" x14ac:dyDescent="0.4">
      <c r="A20" s="158"/>
      <c r="B20" s="167" t="s">
        <v>349</v>
      </c>
      <c r="C20" s="168">
        <v>168816148</v>
      </c>
      <c r="D20" s="168">
        <v>198171819.56837419</v>
      </c>
      <c r="E20" s="168">
        <v>201437293</v>
      </c>
      <c r="F20" s="169" t="s">
        <v>349</v>
      </c>
      <c r="G20" s="168">
        <v>161064526</v>
      </c>
      <c r="H20" s="168">
        <v>181185820.48301852</v>
      </c>
      <c r="I20" s="170">
        <v>183432920</v>
      </c>
    </row>
    <row r="21" spans="1:9" x14ac:dyDescent="0.4">
      <c r="A21" s="158"/>
      <c r="B21" s="167" t="s">
        <v>350</v>
      </c>
      <c r="C21" s="168">
        <v>202053559</v>
      </c>
      <c r="D21" s="168">
        <v>198171819.56837419</v>
      </c>
      <c r="E21" s="168">
        <v>190995602</v>
      </c>
      <c r="F21" s="169" t="s">
        <v>350</v>
      </c>
      <c r="G21" s="168">
        <v>185107323</v>
      </c>
      <c r="H21" s="168">
        <v>181185820.48301852</v>
      </c>
      <c r="I21" s="170">
        <v>173849223</v>
      </c>
    </row>
    <row r="22" spans="1:9" x14ac:dyDescent="0.4">
      <c r="A22" s="158"/>
      <c r="B22" s="167" t="s">
        <v>351</v>
      </c>
      <c r="C22" s="168">
        <v>194239992</v>
      </c>
      <c r="D22" s="168">
        <v>198171819.56837419</v>
      </c>
      <c r="E22" s="168">
        <v>201926737</v>
      </c>
      <c r="F22" s="169" t="s">
        <v>351</v>
      </c>
      <c r="G22" s="168">
        <v>179127320</v>
      </c>
      <c r="H22" s="168">
        <v>181185820.48301852</v>
      </c>
      <c r="I22" s="170">
        <v>183106988</v>
      </c>
    </row>
    <row r="23" spans="1:9" x14ac:dyDescent="0.4">
      <c r="A23" s="158"/>
      <c r="B23" s="167" t="s">
        <v>352</v>
      </c>
      <c r="C23" s="168">
        <v>197515547</v>
      </c>
      <c r="D23" s="168">
        <v>198171819.56837419</v>
      </c>
      <c r="E23" s="168">
        <v>198766516</v>
      </c>
      <c r="F23" s="169" t="s">
        <v>352</v>
      </c>
      <c r="G23" s="168">
        <v>181673969</v>
      </c>
      <c r="H23" s="168">
        <v>181185820.48301852</v>
      </c>
      <c r="I23" s="170">
        <v>180727309</v>
      </c>
    </row>
    <row r="24" spans="1:9" x14ac:dyDescent="0.4">
      <c r="A24" s="158"/>
      <c r="B24" s="167" t="s">
        <v>353</v>
      </c>
      <c r="C24" s="168">
        <v>198202116</v>
      </c>
      <c r="D24" s="168">
        <v>198171819.56837419</v>
      </c>
      <c r="E24" s="168">
        <v>198135927</v>
      </c>
      <c r="F24" s="169" t="s">
        <v>353</v>
      </c>
      <c r="G24" s="168">
        <v>180698824</v>
      </c>
      <c r="H24" s="168">
        <v>181185820.48301852</v>
      </c>
      <c r="I24" s="170">
        <v>181677055</v>
      </c>
    </row>
    <row r="25" spans="1:9" x14ac:dyDescent="0.4">
      <c r="A25" s="158"/>
      <c r="B25" s="167" t="s">
        <v>354</v>
      </c>
      <c r="C25" s="168">
        <v>197518166</v>
      </c>
      <c r="D25" s="168">
        <v>198171819.56837419</v>
      </c>
      <c r="E25" s="168">
        <v>198654458</v>
      </c>
      <c r="F25" s="169" t="s">
        <v>354</v>
      </c>
      <c r="G25" s="168">
        <v>177194305</v>
      </c>
      <c r="H25" s="168">
        <v>181185820.48301852</v>
      </c>
      <c r="I25" s="170">
        <v>184379355</v>
      </c>
    </row>
    <row r="26" spans="1:9" x14ac:dyDescent="0.4">
      <c r="A26" s="158"/>
      <c r="B26" s="167" t="s">
        <v>355</v>
      </c>
      <c r="C26" s="168">
        <v>198171819.56837419</v>
      </c>
      <c r="D26" s="168">
        <v>198171819.56837419</v>
      </c>
      <c r="E26" s="168">
        <v>198171819.56837419</v>
      </c>
      <c r="F26" s="169" t="s">
        <v>355</v>
      </c>
      <c r="G26" s="168">
        <v>181185820.48301852</v>
      </c>
      <c r="H26" s="168">
        <v>181185820.48301852</v>
      </c>
      <c r="I26" s="170">
        <v>181185820.48301852</v>
      </c>
    </row>
    <row r="27" spans="1:9" x14ac:dyDescent="0.4">
      <c r="A27" s="158"/>
      <c r="B27" s="167" t="s">
        <v>356</v>
      </c>
      <c r="C27" s="168">
        <v>196728939</v>
      </c>
      <c r="D27" s="168">
        <v>198171819.56837419</v>
      </c>
      <c r="E27" s="168">
        <v>199512007</v>
      </c>
      <c r="F27" s="169" t="s">
        <v>356</v>
      </c>
      <c r="G27" s="168">
        <v>180213358</v>
      </c>
      <c r="H27" s="168">
        <v>181185820.48301852</v>
      </c>
      <c r="I27" s="170">
        <v>182090412</v>
      </c>
    </row>
    <row r="28" spans="1:9" x14ac:dyDescent="0.4">
      <c r="A28" s="158"/>
      <c r="B28" s="167" t="s">
        <v>357</v>
      </c>
      <c r="C28" s="168">
        <v>198557661</v>
      </c>
      <c r="D28" s="168">
        <v>198171819.56837419</v>
      </c>
      <c r="E28" s="168">
        <v>197704831</v>
      </c>
      <c r="F28" s="169" t="s">
        <v>357</v>
      </c>
      <c r="G28" s="168">
        <v>181355402</v>
      </c>
      <c r="H28" s="168">
        <v>181185820.48301852</v>
      </c>
      <c r="I28" s="170">
        <v>180980761</v>
      </c>
    </row>
    <row r="29" spans="1:9" ht="18" thickBot="1" x14ac:dyDescent="0.45">
      <c r="A29" s="158"/>
      <c r="B29" s="171" t="s">
        <v>358</v>
      </c>
      <c r="C29" s="172">
        <v>198847133</v>
      </c>
      <c r="D29" s="172">
        <v>198171819.56837419</v>
      </c>
      <c r="E29" s="172">
        <v>197544931</v>
      </c>
      <c r="F29" s="173" t="s">
        <v>358</v>
      </c>
      <c r="G29" s="172">
        <v>181363599</v>
      </c>
      <c r="H29" s="172">
        <v>181185820.48301899</v>
      </c>
      <c r="I29" s="174">
        <v>181020682</v>
      </c>
    </row>
    <row r="30" spans="1:9" ht="18" thickBot="1" x14ac:dyDescent="0.45">
      <c r="A30" s="153"/>
      <c r="B30" s="153"/>
    </row>
    <row r="31" spans="1:9" ht="18" thickBot="1" x14ac:dyDescent="0.45">
      <c r="A31" s="153"/>
      <c r="B31" s="175"/>
      <c r="C31" s="176" t="s">
        <v>375</v>
      </c>
      <c r="D31" s="176" t="s">
        <v>376</v>
      </c>
      <c r="E31" s="176" t="s">
        <v>377</v>
      </c>
      <c r="F31" s="177" t="s">
        <v>335</v>
      </c>
      <c r="G31" s="178" t="s">
        <v>375</v>
      </c>
      <c r="H31" s="178" t="s">
        <v>376</v>
      </c>
      <c r="I31" s="179" t="s">
        <v>377</v>
      </c>
    </row>
    <row r="32" spans="1:9" x14ac:dyDescent="0.4">
      <c r="A32" s="158"/>
      <c r="B32" s="163" t="s">
        <v>411</v>
      </c>
      <c r="C32" s="180">
        <v>-0.283330766658282</v>
      </c>
      <c r="D32" s="180">
        <v>0.73946278916344943</v>
      </c>
      <c r="E32" s="181">
        <v>0.73946278916344943</v>
      </c>
      <c r="F32" s="165" t="s">
        <v>411</v>
      </c>
      <c r="G32" s="180">
        <v>-0.28171965856347203</v>
      </c>
      <c r="H32" s="180">
        <v>0.72312135225427954</v>
      </c>
      <c r="I32" s="182">
        <v>0.72312135225427954</v>
      </c>
    </row>
    <row r="33" spans="1:9" x14ac:dyDescent="0.4">
      <c r="A33" s="158"/>
      <c r="B33" s="167" t="s">
        <v>349</v>
      </c>
      <c r="C33" s="183">
        <v>-0.14813242181613898</v>
      </c>
      <c r="D33" s="183">
        <v>1.6477990860346035E-2</v>
      </c>
      <c r="E33" s="184">
        <v>0.14813242181613898</v>
      </c>
      <c r="F33" s="169" t="s">
        <v>349</v>
      </c>
      <c r="G33" s="183">
        <v>-0.11105336184353548</v>
      </c>
      <c r="H33" s="183">
        <v>1.2402181975338903E-2</v>
      </c>
      <c r="I33" s="185">
        <v>0.11105336184353548</v>
      </c>
    </row>
    <row r="34" spans="1:9" x14ac:dyDescent="0.4">
      <c r="A34" s="158"/>
      <c r="B34" s="167" t="s">
        <v>359</v>
      </c>
      <c r="C34" s="183">
        <v>8.7644618036285343E-2</v>
      </c>
      <c r="D34" s="183">
        <v>-8.1203506146452692E-2</v>
      </c>
      <c r="E34" s="184">
        <v>8.7644618036285343E-2</v>
      </c>
      <c r="F34" s="169" t="s">
        <v>359</v>
      </c>
      <c r="G34" s="183">
        <v>8.3776475866135069E-2</v>
      </c>
      <c r="H34" s="183">
        <v>-7.1753895798026893E-2</v>
      </c>
      <c r="I34" s="185">
        <v>8.3776475866135069E-2</v>
      </c>
    </row>
    <row r="35" spans="1:9" x14ac:dyDescent="0.4">
      <c r="A35" s="158"/>
      <c r="B35" s="167" t="s">
        <v>362</v>
      </c>
      <c r="C35" s="183">
        <v>-4.8099737839291556E-2</v>
      </c>
      <c r="D35" s="183">
        <v>5.1988948045517194E-2</v>
      </c>
      <c r="E35" s="184">
        <v>5.1988948045517194E-2</v>
      </c>
      <c r="F35" s="169" t="s">
        <v>362</v>
      </c>
      <c r="G35" s="183">
        <v>-4.2564718709548963E-2</v>
      </c>
      <c r="H35" s="183">
        <v>4.6525404110039352E-2</v>
      </c>
      <c r="I35" s="185">
        <v>4.6525404110039352E-2</v>
      </c>
    </row>
    <row r="36" spans="1:9" x14ac:dyDescent="0.4">
      <c r="A36" s="158"/>
      <c r="B36" s="167" t="s">
        <v>360</v>
      </c>
      <c r="C36" s="183">
        <v>4.805617898835516E-2</v>
      </c>
      <c r="D36" s="183">
        <v>-4.6395560117476378E-2</v>
      </c>
      <c r="E36" s="184">
        <v>4.805617898835516E-2</v>
      </c>
      <c r="F36" s="169" t="s">
        <v>360</v>
      </c>
      <c r="G36" s="183">
        <v>4.4840520606539078E-2</v>
      </c>
      <c r="H36" s="183">
        <v>-4.1738677247799873E-2</v>
      </c>
      <c r="I36" s="185">
        <v>4.4840520606539078E-2</v>
      </c>
    </row>
    <row r="37" spans="1:9" x14ac:dyDescent="0.4">
      <c r="A37" s="158"/>
      <c r="B37" s="167" t="s">
        <v>361</v>
      </c>
      <c r="C37" s="183">
        <v>-3.3913205131849734E-2</v>
      </c>
      <c r="D37" s="183">
        <v>3.7106372882087277E-2</v>
      </c>
      <c r="E37" s="184">
        <v>3.7106372882087277E-2</v>
      </c>
      <c r="F37" s="169" t="s">
        <v>350</v>
      </c>
      <c r="G37" s="183">
        <v>2.1643539800891991E-2</v>
      </c>
      <c r="H37" s="183">
        <v>-4.0492117227827626E-2</v>
      </c>
      <c r="I37" s="185">
        <v>4.0492117227827626E-2</v>
      </c>
    </row>
    <row r="38" spans="1:9" x14ac:dyDescent="0.4">
      <c r="A38" s="158"/>
      <c r="B38" s="167" t="s">
        <v>350</v>
      </c>
      <c r="C38" s="183">
        <v>1.9587746835450118E-2</v>
      </c>
      <c r="D38" s="183">
        <v>-3.6212099096653919E-2</v>
      </c>
      <c r="E38" s="184">
        <v>3.6212099096653919E-2</v>
      </c>
      <c r="F38" s="169" t="s">
        <v>361</v>
      </c>
      <c r="G38" s="183">
        <v>-3.1989371285054531E-2</v>
      </c>
      <c r="H38" s="183">
        <v>3.2856321212726643E-2</v>
      </c>
      <c r="I38" s="185">
        <v>3.2856321212726643E-2</v>
      </c>
    </row>
    <row r="39" spans="1:9" x14ac:dyDescent="0.4">
      <c r="A39" s="158"/>
      <c r="B39" s="167" t="s">
        <v>351</v>
      </c>
      <c r="C39" s="183">
        <v>-1.9840497891869074E-2</v>
      </c>
      <c r="D39" s="183">
        <v>1.8947787025441695E-2</v>
      </c>
      <c r="E39" s="184">
        <v>1.9840497891869074E-2</v>
      </c>
      <c r="F39" s="169" t="s">
        <v>354</v>
      </c>
      <c r="G39" s="183">
        <v>-2.202995506148131E-2</v>
      </c>
      <c r="H39" s="183">
        <v>1.7625741950821113E-2</v>
      </c>
      <c r="I39" s="185">
        <v>2.202995506148131E-2</v>
      </c>
    </row>
    <row r="40" spans="1:9" x14ac:dyDescent="0.4">
      <c r="A40" s="158"/>
      <c r="B40" s="167" t="s">
        <v>356</v>
      </c>
      <c r="C40" s="183">
        <v>-7.2809573607228104E-3</v>
      </c>
      <c r="D40" s="183">
        <v>6.7627548384265376E-3</v>
      </c>
      <c r="E40" s="184">
        <v>7.2809573607228104E-3</v>
      </c>
      <c r="F40" s="169" t="s">
        <v>351</v>
      </c>
      <c r="G40" s="183">
        <v>-1.1361266999430833E-2</v>
      </c>
      <c r="H40" s="183">
        <v>1.0603299484804565E-2</v>
      </c>
      <c r="I40" s="185">
        <v>1.1361266999430833E-2</v>
      </c>
    </row>
    <row r="41" spans="1:9" x14ac:dyDescent="0.4">
      <c r="A41" s="158"/>
      <c r="B41" s="167" t="s">
        <v>366</v>
      </c>
      <c r="C41" s="183">
        <v>-4.6340926291860308E-3</v>
      </c>
      <c r="D41" s="183">
        <v>4.6774432088513822E-3</v>
      </c>
      <c r="E41" s="184">
        <v>4.6774432088513822E-3</v>
      </c>
      <c r="F41" s="169" t="s">
        <v>412</v>
      </c>
      <c r="G41" s="183">
        <v>-5.5074314334219209E-3</v>
      </c>
      <c r="H41" s="183">
        <v>7.2947403580367817E-3</v>
      </c>
      <c r="I41" s="185">
        <v>7.2947403580367817E-3</v>
      </c>
    </row>
    <row r="42" spans="1:9" x14ac:dyDescent="0.4">
      <c r="A42" s="158"/>
      <c r="B42" s="167" t="s">
        <v>374</v>
      </c>
      <c r="C42" s="183">
        <v>3.6410395443579207E-3</v>
      </c>
      <c r="D42" s="183">
        <v>-3.6410402344074638E-3</v>
      </c>
      <c r="E42" s="184">
        <v>3.6410402344074638E-3</v>
      </c>
      <c r="F42" s="169" t="s">
        <v>356</v>
      </c>
      <c r="G42" s="183">
        <v>-5.3672107476515291E-3</v>
      </c>
      <c r="H42" s="183">
        <v>4.9926176042361138E-3</v>
      </c>
      <c r="I42" s="185">
        <v>5.3672107476515291E-3</v>
      </c>
    </row>
    <row r="43" spans="1:9" x14ac:dyDescent="0.4">
      <c r="A43" s="158"/>
      <c r="B43" s="167" t="s">
        <v>358</v>
      </c>
      <c r="C43" s="183">
        <v>3.4077167636481906E-3</v>
      </c>
      <c r="D43" s="183">
        <v>-3.1633587951080738E-3</v>
      </c>
      <c r="E43" s="184">
        <v>3.4077167636481906E-3</v>
      </c>
      <c r="F43" s="169" t="s">
        <v>374</v>
      </c>
      <c r="G43" s="183">
        <v>3.5603145724195451E-3</v>
      </c>
      <c r="H43" s="183">
        <v>-3.5603143849712946E-3</v>
      </c>
      <c r="I43" s="185">
        <v>3.5603145724195451E-3</v>
      </c>
    </row>
    <row r="44" spans="1:9" x14ac:dyDescent="0.4">
      <c r="A44" s="158"/>
      <c r="B44" s="167" t="s">
        <v>364</v>
      </c>
      <c r="C44" s="183">
        <v>3.3319491795754234E-3</v>
      </c>
      <c r="D44" s="183">
        <v>-3.3098932522435437E-3</v>
      </c>
      <c r="E44" s="184">
        <v>3.3319491795754234E-3</v>
      </c>
      <c r="F44" s="169" t="s">
        <v>364</v>
      </c>
      <c r="G44" s="183">
        <v>3.353692443269495E-3</v>
      </c>
      <c r="H44" s="183">
        <v>-2.7273021790622468E-3</v>
      </c>
      <c r="I44" s="185">
        <v>3.353692443269495E-3</v>
      </c>
    </row>
    <row r="45" spans="1:9" x14ac:dyDescent="0.4">
      <c r="A45" s="158"/>
      <c r="B45" s="167" t="s">
        <v>352</v>
      </c>
      <c r="C45" s="183">
        <v>-3.311634165763697E-3</v>
      </c>
      <c r="D45" s="183">
        <v>3.0009132121867018E-3</v>
      </c>
      <c r="E45" s="184">
        <v>3.311634165763697E-3</v>
      </c>
      <c r="F45" s="169" t="s">
        <v>370</v>
      </c>
      <c r="G45" s="183">
        <v>3.1503376779695625E-3</v>
      </c>
      <c r="H45" s="183">
        <v>-3.150337490521312E-3</v>
      </c>
      <c r="I45" s="185">
        <v>3.1503376779695625E-3</v>
      </c>
    </row>
    <row r="46" spans="1:9" x14ac:dyDescent="0.4">
      <c r="A46" s="158"/>
      <c r="B46" s="167" t="s">
        <v>354</v>
      </c>
      <c r="C46" s="183">
        <v>-3.2984183613889665E-3</v>
      </c>
      <c r="D46" s="183">
        <v>2.4354544085885585E-3</v>
      </c>
      <c r="E46" s="184">
        <v>3.2984183613889665E-3</v>
      </c>
      <c r="F46" s="169" t="s">
        <v>367</v>
      </c>
      <c r="G46" s="183">
        <v>-2.8817347937415091E-3</v>
      </c>
      <c r="H46" s="183">
        <v>2.8817349811897596E-3</v>
      </c>
      <c r="I46" s="185">
        <v>2.8817349811897596E-3</v>
      </c>
    </row>
    <row r="47" spans="1:9" x14ac:dyDescent="0.4">
      <c r="A47" s="153"/>
      <c r="B47" s="167" t="s">
        <v>357</v>
      </c>
      <c r="C47" s="183">
        <v>1.9470045360949436E-3</v>
      </c>
      <c r="D47" s="183">
        <v>-2.3564832244630227E-3</v>
      </c>
      <c r="E47" s="184">
        <v>2.3564832244630227E-3</v>
      </c>
      <c r="F47" s="169" t="s">
        <v>353</v>
      </c>
      <c r="G47" s="183">
        <v>-2.6878288914675905E-3</v>
      </c>
      <c r="H47" s="183">
        <v>2.7112194302617793E-3</v>
      </c>
      <c r="I47" s="185">
        <v>2.7112194302617793E-3</v>
      </c>
    </row>
    <row r="48" spans="1:9" x14ac:dyDescent="0.4">
      <c r="A48" s="153"/>
      <c r="B48" s="167" t="s">
        <v>370</v>
      </c>
      <c r="C48" s="183">
        <v>1.8729677732900393E-3</v>
      </c>
      <c r="D48" s="183">
        <v>-1.8729684633395822E-3</v>
      </c>
      <c r="E48" s="184">
        <v>1.8729684633395822E-3</v>
      </c>
      <c r="F48" s="169" t="s">
        <v>352</v>
      </c>
      <c r="G48" s="183">
        <v>2.694187192353906E-3</v>
      </c>
      <c r="H48" s="183">
        <v>-2.5306146021591746E-3</v>
      </c>
      <c r="I48" s="185">
        <v>2.694187192353906E-3</v>
      </c>
    </row>
    <row r="49" spans="1:9" x14ac:dyDescent="0.4">
      <c r="A49" s="153"/>
      <c r="B49" s="167" t="s">
        <v>365</v>
      </c>
      <c r="C49" s="183">
        <v>-1.2230829232032128E-3</v>
      </c>
      <c r="D49" s="183">
        <v>1.2260796320840211E-3</v>
      </c>
      <c r="E49" s="184">
        <v>1.2260796320840211E-3</v>
      </c>
      <c r="F49" s="169" t="s">
        <v>368</v>
      </c>
      <c r="G49" s="183">
        <v>-2.1658454396286313E-3</v>
      </c>
      <c r="H49" s="183">
        <v>2.1659008190338092E-3</v>
      </c>
      <c r="I49" s="185">
        <v>2.1659008190338092E-3</v>
      </c>
    </row>
    <row r="50" spans="1:9" x14ac:dyDescent="0.4">
      <c r="A50" s="153"/>
      <c r="B50" s="167" t="s">
        <v>368</v>
      </c>
      <c r="C50" s="183">
        <v>-1.176936099603782E-3</v>
      </c>
      <c r="D50" s="183">
        <v>1.1769354095542391E-3</v>
      </c>
      <c r="E50" s="184">
        <v>1.176936099603782E-3</v>
      </c>
      <c r="F50" s="169" t="s">
        <v>365</v>
      </c>
      <c r="G50" s="183">
        <v>-1.2869080063600844E-3</v>
      </c>
      <c r="H50" s="183">
        <v>9.5332800613760738E-4</v>
      </c>
      <c r="I50" s="185">
        <v>1.2869080063600844E-3</v>
      </c>
    </row>
    <row r="51" spans="1:9" x14ac:dyDescent="0.4">
      <c r="A51" s="153"/>
      <c r="B51" s="167" t="s">
        <v>367</v>
      </c>
      <c r="C51" s="183">
        <v>-7.8330293738171515E-4</v>
      </c>
      <c r="D51" s="183">
        <v>7.8330729345831756E-4</v>
      </c>
      <c r="E51" s="184">
        <v>7.8330729345831756E-4</v>
      </c>
      <c r="F51" s="169" t="s">
        <v>357</v>
      </c>
      <c r="G51" s="183">
        <v>9.3595357809678258E-4</v>
      </c>
      <c r="H51" s="183">
        <v>-1.1317634154364552E-3</v>
      </c>
      <c r="I51" s="185">
        <v>1.1317634154364552E-3</v>
      </c>
    </row>
    <row r="52" spans="1:9" x14ac:dyDescent="0.4">
      <c r="A52" s="153"/>
      <c r="B52" s="167" t="s">
        <v>363</v>
      </c>
      <c r="C52" s="183">
        <v>7.050267385651552E-4</v>
      </c>
      <c r="D52" s="183">
        <v>-7.0403334176405972E-4</v>
      </c>
      <c r="E52" s="184">
        <v>7.050267385651552E-4</v>
      </c>
      <c r="F52" s="169" t="s">
        <v>358</v>
      </c>
      <c r="G52" s="183">
        <v>9.8119442518774451E-4</v>
      </c>
      <c r="H52" s="183">
        <v>-9.1143160418820607E-4</v>
      </c>
      <c r="I52" s="185">
        <v>9.8119442518774451E-4</v>
      </c>
    </row>
    <row r="53" spans="1:9" x14ac:dyDescent="0.4">
      <c r="A53" s="153"/>
      <c r="B53" s="167" t="s">
        <v>369</v>
      </c>
      <c r="C53" s="183">
        <v>5.8959155686361554E-4</v>
      </c>
      <c r="D53" s="183">
        <v>-5.8959224691315843E-4</v>
      </c>
      <c r="E53" s="184">
        <v>5.8959224691315843E-4</v>
      </c>
      <c r="F53" s="169" t="s">
        <v>369</v>
      </c>
      <c r="G53" s="183">
        <v>7.9156589957835282E-4</v>
      </c>
      <c r="H53" s="183">
        <v>-7.9156571213010265E-4</v>
      </c>
      <c r="I53" s="185">
        <v>7.9156589957835282E-4</v>
      </c>
    </row>
    <row r="54" spans="1:9" x14ac:dyDescent="0.4">
      <c r="A54" s="153"/>
      <c r="B54" s="167" t="s">
        <v>372</v>
      </c>
      <c r="C54" s="183">
        <v>-5.1174565886849804E-4</v>
      </c>
      <c r="D54" s="183">
        <v>5.1174496881895514E-4</v>
      </c>
      <c r="E54" s="184">
        <v>5.1174565886849804E-4</v>
      </c>
      <c r="F54" s="169" t="s">
        <v>363</v>
      </c>
      <c r="G54" s="183">
        <v>6.9347875372653017E-4</v>
      </c>
      <c r="H54" s="183">
        <v>-5.9594333999573375E-4</v>
      </c>
      <c r="I54" s="185">
        <v>6.9347875372653017E-4</v>
      </c>
    </row>
    <row r="55" spans="1:9" x14ac:dyDescent="0.4">
      <c r="A55" s="153"/>
      <c r="B55" s="167" t="s">
        <v>353</v>
      </c>
      <c r="C55" s="183">
        <v>1.5287961573850426E-4</v>
      </c>
      <c r="D55" s="183">
        <v>-1.8111842769755125E-4</v>
      </c>
      <c r="E55" s="184">
        <v>1.8111842769755125E-4</v>
      </c>
      <c r="F55" s="169" t="s">
        <v>372</v>
      </c>
      <c r="G55" s="183">
        <v>-4.8929592162443231E-4</v>
      </c>
      <c r="H55" s="183">
        <v>4.8929610907268248E-4</v>
      </c>
      <c r="I55" s="185">
        <v>4.8929610907268248E-4</v>
      </c>
    </row>
    <row r="56" spans="1:9" x14ac:dyDescent="0.4">
      <c r="A56" s="153"/>
      <c r="B56" s="167" t="s">
        <v>373</v>
      </c>
      <c r="C56" s="183">
        <v>1.3914406037080052E-4</v>
      </c>
      <c r="D56" s="183">
        <v>-1.3913970429419806E-4</v>
      </c>
      <c r="E56" s="184">
        <v>1.3914406037080052E-4</v>
      </c>
      <c r="F56" s="169" t="s">
        <v>373</v>
      </c>
      <c r="G56" s="183">
        <v>1.3759640194260729E-4</v>
      </c>
      <c r="H56" s="183">
        <v>-1.3759621449435709E-4</v>
      </c>
      <c r="I56" s="185">
        <v>1.3759640194260729E-4</v>
      </c>
    </row>
    <row r="57" spans="1:9" x14ac:dyDescent="0.4">
      <c r="A57" s="153"/>
      <c r="B57" s="167" t="s">
        <v>371</v>
      </c>
      <c r="C57" s="183">
        <v>-1.2683783091165042E-5</v>
      </c>
      <c r="D57" s="183">
        <v>1.2688139167767518E-5</v>
      </c>
      <c r="E57" s="184">
        <v>1.2688139167767518E-5</v>
      </c>
      <c r="F57" s="169" t="s">
        <v>371</v>
      </c>
      <c r="G57" s="183">
        <v>-2.8542426801009999E-5</v>
      </c>
      <c r="H57" s="183">
        <v>2.8542614249260206E-5</v>
      </c>
      <c r="I57" s="185">
        <v>2.8542614249260206E-5</v>
      </c>
    </row>
    <row r="58" spans="1:9" ht="18" thickBot="1" x14ac:dyDescent="0.45">
      <c r="A58" s="153"/>
      <c r="B58" s="171" t="s">
        <v>355</v>
      </c>
      <c r="C58" s="186">
        <v>0</v>
      </c>
      <c r="D58" s="186">
        <v>0</v>
      </c>
      <c r="E58" s="187">
        <v>0</v>
      </c>
      <c r="F58" s="173" t="s">
        <v>355</v>
      </c>
      <c r="G58" s="186">
        <v>0</v>
      </c>
      <c r="H58" s="186">
        <v>0</v>
      </c>
      <c r="I58" s="188">
        <v>0</v>
      </c>
    </row>
    <row r="59" spans="1:9" x14ac:dyDescent="0.4">
      <c r="F59" s="137"/>
    </row>
  </sheetData>
  <sortState xmlns:xlrd2="http://schemas.microsoft.com/office/spreadsheetml/2017/richdata2" ref="F32:I58">
    <sortCondition descending="1" ref="I32:I58"/>
  </sortState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15</vt:i4>
      </vt:variant>
      <vt:variant>
        <vt:lpstr>이름 지정된 범위</vt:lpstr>
      </vt:variant>
      <vt:variant>
        <vt:i4>72</vt:i4>
      </vt:variant>
    </vt:vector>
  </HeadingPairs>
  <TitlesOfParts>
    <vt:vector size="87" baseType="lpstr">
      <vt:lpstr>model structure</vt:lpstr>
      <vt:lpstr>input data</vt:lpstr>
      <vt:lpstr>start page</vt:lpstr>
      <vt:lpstr>control</vt:lpstr>
      <vt:lpstr>cost input</vt:lpstr>
      <vt:lpstr>utility input</vt:lpstr>
      <vt:lpstr>Tp</vt:lpstr>
      <vt:lpstr>no treatment</vt:lpstr>
      <vt:lpstr>Lecanemab</vt:lpstr>
      <vt:lpstr>no treatment_hcc</vt:lpstr>
      <vt:lpstr>Lecanemab_hcc</vt:lpstr>
      <vt:lpstr>simulation</vt:lpstr>
      <vt:lpstr>Mortality</vt:lpstr>
      <vt:lpstr>Life table</vt:lpstr>
      <vt:lpstr>One-way SA</vt:lpstr>
      <vt:lpstr>Alz_age</vt:lpstr>
      <vt:lpstr>Alz_cycle</vt:lpstr>
      <vt:lpstr>c_administration</vt:lpstr>
      <vt:lpstr>c_AE</vt:lpstr>
      <vt:lpstr>c_Com_MCI</vt:lpstr>
      <vt:lpstr>c_Com_Mild</vt:lpstr>
      <vt:lpstr>c_Com_Moderate</vt:lpstr>
      <vt:lpstr>c_Com_Severe</vt:lpstr>
      <vt:lpstr>c_lecanemab</vt:lpstr>
      <vt:lpstr>c_LTC_MCI</vt:lpstr>
      <vt:lpstr>c_LTC_Mild</vt:lpstr>
      <vt:lpstr>c_LTC_Moderate</vt:lpstr>
      <vt:lpstr>c_LTC_Severe</vt:lpstr>
      <vt:lpstr>c_monitoring</vt:lpstr>
      <vt:lpstr>cntrl_age_group</vt:lpstr>
      <vt:lpstr>DC_rate_trt</vt:lpstr>
      <vt:lpstr>disc_rate_costs</vt:lpstr>
      <vt:lpstr>disc_rate_effects</vt:lpstr>
      <vt:lpstr>disu_Com_MCI</vt:lpstr>
      <vt:lpstr>disu_Com_Mild</vt:lpstr>
      <vt:lpstr>disu_Com_Moderate</vt:lpstr>
      <vt:lpstr>disu_Com_Severe</vt:lpstr>
      <vt:lpstr>disu_LTC_MCI</vt:lpstr>
      <vt:lpstr>disu_LTC_Mild</vt:lpstr>
      <vt:lpstr>disu_LTC_Moderate</vt:lpstr>
      <vt:lpstr>disu_LTC_Severe</vt:lpstr>
      <vt:lpstr>HR_illness</vt:lpstr>
      <vt:lpstr>Initial_MCI</vt:lpstr>
      <vt:lpstr>Initial_Mild</vt:lpstr>
      <vt:lpstr>LTC_MCI</vt:lpstr>
      <vt:lpstr>LTC_Mild</vt:lpstr>
      <vt:lpstr>LTC_Moderate</vt:lpstr>
      <vt:lpstr>LTC_Severe</vt:lpstr>
      <vt:lpstr>model_type</vt:lpstr>
      <vt:lpstr>Mort_HR_MCI</vt:lpstr>
      <vt:lpstr>Mort_HR_Mild</vt:lpstr>
      <vt:lpstr>Mort_HR_Moderate</vt:lpstr>
      <vt:lpstr>Mort_HR_Severe</vt:lpstr>
      <vt:lpstr>perspective</vt:lpstr>
      <vt:lpstr>prob_ce</vt:lpstr>
      <vt:lpstr>RR_illness</vt:lpstr>
      <vt:lpstr>start_age</vt:lpstr>
      <vt:lpstr>table_MCI_to_Mild</vt:lpstr>
      <vt:lpstr>table_Mild_to_MCI</vt:lpstr>
      <vt:lpstr>table_Mild_to_Moderate</vt:lpstr>
      <vt:lpstr>table_Mild_to_Severe</vt:lpstr>
      <vt:lpstr>table_Moderate_to_Mild</vt:lpstr>
      <vt:lpstr>table_Moderate_to_Severe</vt:lpstr>
      <vt:lpstr>table_mort_MCI</vt:lpstr>
      <vt:lpstr>table_mort_Mild</vt:lpstr>
      <vt:lpstr>table_mort_Moderate</vt:lpstr>
      <vt:lpstr>table_mort_Severe</vt:lpstr>
      <vt:lpstr>table_Severe_to_Moderate</vt:lpstr>
      <vt:lpstr>talbe_mort_Mild</vt:lpstr>
      <vt:lpstr>threshold</vt:lpstr>
      <vt:lpstr>time_horizon</vt:lpstr>
      <vt:lpstr>total_costs_lecanemab</vt:lpstr>
      <vt:lpstr>total_costs_no_treatment</vt:lpstr>
      <vt:lpstr>total_qalys_lecanemab</vt:lpstr>
      <vt:lpstr>total_qalys_no_treatment</vt:lpstr>
      <vt:lpstr>Trt_mci_mild</vt:lpstr>
      <vt:lpstr>Trt_mild_mod</vt:lpstr>
      <vt:lpstr>Trt_mild_sev</vt:lpstr>
      <vt:lpstr>U_Com_MCI</vt:lpstr>
      <vt:lpstr>U_Com_Mild</vt:lpstr>
      <vt:lpstr>U_Com_Moderate</vt:lpstr>
      <vt:lpstr>U_Com_Severe</vt:lpstr>
      <vt:lpstr>U_LTC_MCI</vt:lpstr>
      <vt:lpstr>U_LTC_Mild</vt:lpstr>
      <vt:lpstr>U_LTC_Moderate</vt:lpstr>
      <vt:lpstr>U_LTC_Severe</vt:lpstr>
      <vt:lpstr>wtp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신승연</dc:creator>
  <cp:lastModifiedBy>Shin, Seung Yeon</cp:lastModifiedBy>
  <dcterms:created xsi:type="dcterms:W3CDTF">2023-05-01T04:30:49Z</dcterms:created>
  <dcterms:modified xsi:type="dcterms:W3CDTF">2025-06-01T01:53:55Z</dcterms:modified>
</cp:coreProperties>
</file>